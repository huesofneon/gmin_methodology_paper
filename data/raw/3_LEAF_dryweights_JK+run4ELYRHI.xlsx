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Work\Masters\Minimum Conductance\Huw_min_cond (working ver)\Projected Leaf area versions\data\"/>
    </mc:Choice>
  </mc:AlternateContent>
  <xr:revisionPtr revIDLastSave="0" documentId="13_ncr:1_{515D89CE-39ED-431B-AB6C-DF188E22C084}" xr6:coauthVersionLast="47" xr6:coauthVersionMax="47" xr10:uidLastSave="{00000000-0000-0000-0000-000000000000}"/>
  <bookViews>
    <workbookView xWindow="-110" yWindow="-110" windowWidth="19420" windowHeight="10420" xr2:uid="{292C38AA-D3E9-49EA-BBCE-98C48DD9D377}"/>
  </bookViews>
  <sheets>
    <sheet name="DK_run4_LEAF_dryweigh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20" i="1"/>
  <c r="E21" i="1"/>
  <c r="E22" i="1"/>
  <c r="E23" i="1"/>
  <c r="E24" i="1"/>
  <c r="E25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" i="1"/>
  <c r="B3" i="1"/>
</calcChain>
</file>

<file path=xl/sharedStrings.xml><?xml version="1.0" encoding="utf-8"?>
<sst xmlns="http://schemas.openxmlformats.org/spreadsheetml/2006/main" count="33" uniqueCount="33">
  <si>
    <t>ID_Code</t>
  </si>
  <si>
    <t>SPP</t>
  </si>
  <si>
    <t>Sample</t>
  </si>
  <si>
    <t>Total weight</t>
  </si>
  <si>
    <t>Sample weight</t>
  </si>
  <si>
    <t>Notes</t>
  </si>
  <si>
    <t>DKR250911ELYRHI_20C_sample_1</t>
  </si>
  <si>
    <t>DKR250911ELYRHI_20C_sample_2</t>
  </si>
  <si>
    <t>DKR250911ELYRHI_20C_sample_3</t>
  </si>
  <si>
    <t>DKR250911ELYRHI_20C_sample_4</t>
  </si>
  <si>
    <t>DKR250911ELYRHI_20C_sample_5</t>
  </si>
  <si>
    <t>DKR250911ELYRHI_20C_sample_6</t>
  </si>
  <si>
    <t>Selected only obviously non-woody, scaled pieces (typically easy to break off, this is also what was selected for lma scans)</t>
  </si>
  <si>
    <t>No seeds included in weight</t>
  </si>
  <si>
    <t>No flowers included</t>
  </si>
  <si>
    <t>JKS240702ERIMON_20C_sample_1</t>
  </si>
  <si>
    <t>JKS240702ERIMON_20C_sample_2</t>
  </si>
  <si>
    <t>JKS240702ERIMON_20C_sample_3</t>
  </si>
  <si>
    <t>JKS240702ERIMON_20C_sample_4</t>
  </si>
  <si>
    <t>JKS240702ERIMON_20C_sample_5</t>
  </si>
  <si>
    <t>JKS240702ERIMON_20C_sample_6</t>
  </si>
  <si>
    <t>JKS240702CANCON_20C_sample_2</t>
  </si>
  <si>
    <t>JKS240702CANCON_20C_sample_3</t>
  </si>
  <si>
    <t>JKS240702CANCON_20C_sample_4</t>
  </si>
  <si>
    <t>JKS240702CANCON_20C_sample_5</t>
  </si>
  <si>
    <t>JKS240702CANCON_20C_sample_6</t>
  </si>
  <si>
    <t>JKS240702CANCON_20C_sample_1</t>
  </si>
  <si>
    <t>JKL240702PROREP_20C_sample_1</t>
  </si>
  <si>
    <t>JKL240702PROREP_20C_sample_2</t>
  </si>
  <si>
    <t>JKL240702PROREP_20C_sample_3</t>
  </si>
  <si>
    <t>JKL240702PROREP_20C_sample_4</t>
  </si>
  <si>
    <t>JKL240702PROREP_20C_sample_5</t>
  </si>
  <si>
    <t>JKL240702PROREP_20C_sample_6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</si>
</sst>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6">
    <xf numFmtId="0" fontId="0" fillId="0" borderId="0" xfId="0"/>
    <xf numFmtId="0" fontId="0" fillId="33" borderId="0" xfId="0" applyFill="1"/>
    <xf numFmtId="0" fontId="18" fillId="34" borderId="0" xfId="42" applyFill="1"/>
    <xf numFmtId="0" fontId="19" fillId="33" borderId="0" xfId="42" applyFont="1" applyFill="1" applyAlignment="1">
      <alignment horizontal="left"/>
    </xf>
    <xf numFmtId="0" fontId="19" fillId="33" borderId="10" xfId="42" applyFont="1" applyFill="1" applyBorder="1" applyAlignment="1">
      <alignment horizontal="left"/>
    </xf>
    <xf numFmtId="0" fontId="18" fillId="34" borderId="11" xfId="42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D499425-3902-4EAD-A4CF-0817831B893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7EEF-FF15-4098-BE26-70804F2EE236}">
  <dimension ref="A1:G25"/>
  <sheetViews>
    <sheetView tabSelected="1" workbookViewId="0">
      <pane ySplit="1" topLeftCell="A2" activePane="bottomLeft" state="frozen"/>
      <selection pane="bottomLeft" activeCell="A20" sqref="A20"/>
    </sheetView>
  </sheetViews>
  <sheetFormatPr defaultRowHeight="14.5" x14ac:dyDescent="0.35"/>
  <cols>
    <col min="1" max="1" width="31.1796875" style="1" bestFit="1" customWidth="1"/>
  </cols>
  <sheetData>
    <row r="1" spans="1:7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7" x14ac:dyDescent="0.35">
      <c r="A2" s="2" t="s">
        <v>15</v>
      </c>
      <c r="B2" t="str">
        <f>MID(A2,10,6)</f>
        <v>ERIMON</v>
      </c>
      <c r="C2">
        <v>1</v>
      </c>
      <c r="D2">
        <v>14.256</v>
      </c>
      <c r="E2">
        <f t="shared" ref="E2:E13" si="0">IF(ISBLANK(D2),"",D2-13.531)</f>
        <v>0.72499999999999964</v>
      </c>
      <c r="G2" t="s">
        <v>14</v>
      </c>
    </row>
    <row r="3" spans="1:7" x14ac:dyDescent="0.35">
      <c r="A3" s="2" t="s">
        <v>16</v>
      </c>
      <c r="B3" t="str">
        <f>MID(A3,10,6)</f>
        <v>ERIMON</v>
      </c>
      <c r="C3">
        <v>2</v>
      </c>
      <c r="D3">
        <v>14.179</v>
      </c>
      <c r="E3">
        <f t="shared" si="0"/>
        <v>0.64799999999999969</v>
      </c>
    </row>
    <row r="4" spans="1:7" x14ac:dyDescent="0.35">
      <c r="A4" s="2" t="s">
        <v>17</v>
      </c>
      <c r="B4" t="str">
        <f t="shared" ref="B4:B25" si="1">MID(A4,10,6)</f>
        <v>ERIMON</v>
      </c>
      <c r="C4">
        <v>3</v>
      </c>
      <c r="D4">
        <v>14.157</v>
      </c>
      <c r="E4">
        <f t="shared" si="0"/>
        <v>0.62599999999999945</v>
      </c>
    </row>
    <row r="5" spans="1:7" x14ac:dyDescent="0.35">
      <c r="A5" s="2" t="s">
        <v>18</v>
      </c>
      <c r="B5" t="str">
        <f t="shared" si="1"/>
        <v>ERIMON</v>
      </c>
      <c r="C5">
        <v>4</v>
      </c>
      <c r="D5">
        <v>13.893000000000001</v>
      </c>
      <c r="E5">
        <f t="shared" si="0"/>
        <v>0.3620000000000001</v>
      </c>
    </row>
    <row r="6" spans="1:7" x14ac:dyDescent="0.35">
      <c r="A6" s="2" t="s">
        <v>19</v>
      </c>
      <c r="B6" t="str">
        <f t="shared" si="1"/>
        <v>ERIMON</v>
      </c>
      <c r="C6">
        <v>5</v>
      </c>
      <c r="D6">
        <v>14.151</v>
      </c>
      <c r="E6">
        <f t="shared" si="0"/>
        <v>0.61999999999999922</v>
      </c>
    </row>
    <row r="7" spans="1:7" x14ac:dyDescent="0.35">
      <c r="A7" s="2" t="s">
        <v>20</v>
      </c>
      <c r="B7" t="str">
        <f t="shared" si="1"/>
        <v>ERIMON</v>
      </c>
      <c r="C7">
        <v>6</v>
      </c>
      <c r="D7">
        <v>13.808</v>
      </c>
      <c r="E7">
        <f t="shared" si="0"/>
        <v>0.27699999999999925</v>
      </c>
    </row>
    <row r="8" spans="1:7" x14ac:dyDescent="0.35">
      <c r="A8" s="5" t="s">
        <v>26</v>
      </c>
      <c r="B8" t="str">
        <f t="shared" si="1"/>
        <v>CANCON</v>
      </c>
      <c r="C8">
        <v>1</v>
      </c>
      <c r="D8">
        <v>14.686</v>
      </c>
      <c r="E8">
        <f t="shared" si="0"/>
        <v>1.1549999999999994</v>
      </c>
      <c r="G8" t="s">
        <v>13</v>
      </c>
    </row>
    <row r="9" spans="1:7" x14ac:dyDescent="0.35">
      <c r="A9" s="2" t="s">
        <v>21</v>
      </c>
      <c r="B9" t="str">
        <f t="shared" si="1"/>
        <v>CANCON</v>
      </c>
      <c r="C9">
        <v>2</v>
      </c>
      <c r="D9">
        <v>14.863</v>
      </c>
      <c r="E9">
        <f t="shared" si="0"/>
        <v>1.331999999999999</v>
      </c>
    </row>
    <row r="10" spans="1:7" x14ac:dyDescent="0.35">
      <c r="A10" s="2" t="s">
        <v>22</v>
      </c>
      <c r="B10" t="str">
        <f t="shared" si="1"/>
        <v>CANCON</v>
      </c>
      <c r="C10">
        <v>3</v>
      </c>
      <c r="D10">
        <v>14.231</v>
      </c>
      <c r="E10">
        <f t="shared" si="0"/>
        <v>0.69999999999999929</v>
      </c>
    </row>
    <row r="11" spans="1:7" x14ac:dyDescent="0.35">
      <c r="A11" s="2" t="s">
        <v>23</v>
      </c>
      <c r="B11" t="str">
        <f t="shared" si="1"/>
        <v>CANCON</v>
      </c>
      <c r="C11">
        <v>4</v>
      </c>
      <c r="D11">
        <v>14.637</v>
      </c>
      <c r="E11">
        <f t="shared" si="0"/>
        <v>1.1059999999999999</v>
      </c>
    </row>
    <row r="12" spans="1:7" x14ac:dyDescent="0.35">
      <c r="A12" s="2" t="s">
        <v>24</v>
      </c>
      <c r="B12" t="str">
        <f t="shared" si="1"/>
        <v>CANCON</v>
      </c>
      <c r="C12">
        <v>5</v>
      </c>
      <c r="D12">
        <v>14.727</v>
      </c>
      <c r="E12">
        <f t="shared" si="0"/>
        <v>1.1959999999999997</v>
      </c>
    </row>
    <row r="13" spans="1:7" x14ac:dyDescent="0.35">
      <c r="A13" s="2" t="s">
        <v>25</v>
      </c>
      <c r="B13" t="str">
        <f t="shared" si="1"/>
        <v>CANCON</v>
      </c>
      <c r="C13">
        <v>6</v>
      </c>
      <c r="D13">
        <v>14.510999999999999</v>
      </c>
      <c r="E13">
        <f t="shared" si="0"/>
        <v>0.97999999999999865</v>
      </c>
    </row>
    <row r="14" spans="1:7" x14ac:dyDescent="0.35">
      <c r="A14" s="5" t="s">
        <v>27</v>
      </c>
      <c r="B14" t="str">
        <f t="shared" si="1"/>
        <v>PROREP</v>
      </c>
      <c r="C14">
        <v>1</v>
      </c>
      <c r="E14">
        <v>0.28699999999999998</v>
      </c>
    </row>
    <row r="15" spans="1:7" x14ac:dyDescent="0.35">
      <c r="A15" s="2" t="s">
        <v>28</v>
      </c>
      <c r="B15" t="str">
        <f t="shared" si="1"/>
        <v>PROREP</v>
      </c>
      <c r="C15">
        <v>2</v>
      </c>
      <c r="E15">
        <v>0.20799999999999999</v>
      </c>
    </row>
    <row r="16" spans="1:7" x14ac:dyDescent="0.35">
      <c r="A16" s="2" t="s">
        <v>29</v>
      </c>
      <c r="B16" t="str">
        <f t="shared" si="1"/>
        <v>PROREP</v>
      </c>
      <c r="C16">
        <v>3</v>
      </c>
      <c r="E16">
        <v>0.317</v>
      </c>
    </row>
    <row r="17" spans="1:7" x14ac:dyDescent="0.35">
      <c r="A17" s="2" t="s">
        <v>30</v>
      </c>
      <c r="B17" t="str">
        <f t="shared" si="1"/>
        <v>PROREP</v>
      </c>
      <c r="C17">
        <v>4</v>
      </c>
      <c r="E17">
        <v>0.17299999999999999</v>
      </c>
    </row>
    <row r="18" spans="1:7" x14ac:dyDescent="0.35">
      <c r="A18" s="2" t="s">
        <v>31</v>
      </c>
      <c r="B18" t="str">
        <f t="shared" si="1"/>
        <v>PROREP</v>
      </c>
      <c r="C18">
        <v>5</v>
      </c>
      <c r="E18">
        <v>0.25900000000000001</v>
      </c>
    </row>
    <row r="19" spans="1:7" x14ac:dyDescent="0.35">
      <c r="A19" s="2" t="s">
        <v>32</v>
      </c>
      <c r="B19" t="str">
        <f t="shared" si="1"/>
        <v>PROREP</v>
      </c>
      <c r="C19">
        <v>6</v>
      </c>
      <c r="E19">
        <v>0.21299999999999999</v>
      </c>
    </row>
    <row r="20" spans="1:7" x14ac:dyDescent="0.35">
      <c r="A20" s="5" t="s">
        <v>6</v>
      </c>
      <c r="B20" t="str">
        <f t="shared" si="1"/>
        <v>ELYRHI</v>
      </c>
      <c r="C20">
        <v>1</v>
      </c>
      <c r="D20">
        <v>15.215999999999999</v>
      </c>
      <c r="E20">
        <f t="shared" ref="E20:E25" si="2">IF(ISBLANK(D20),"",D20-13.531)</f>
        <v>1.6849999999999987</v>
      </c>
      <c r="G20" t="s">
        <v>12</v>
      </c>
    </row>
    <row r="21" spans="1:7" x14ac:dyDescent="0.35">
      <c r="A21" s="3" t="s">
        <v>7</v>
      </c>
      <c r="B21" t="str">
        <f t="shared" si="1"/>
        <v>ELYRHI</v>
      </c>
      <c r="C21">
        <v>2</v>
      </c>
      <c r="D21">
        <v>15.356</v>
      </c>
      <c r="E21">
        <f t="shared" si="2"/>
        <v>1.8249999999999993</v>
      </c>
    </row>
    <row r="22" spans="1:7" x14ac:dyDescent="0.35">
      <c r="A22" s="3" t="s">
        <v>8</v>
      </c>
      <c r="B22" t="str">
        <f t="shared" si="1"/>
        <v>ELYRHI</v>
      </c>
      <c r="C22">
        <v>3</v>
      </c>
      <c r="D22">
        <v>16.048999999999999</v>
      </c>
      <c r="E22">
        <f t="shared" si="2"/>
        <v>2.5179999999999989</v>
      </c>
    </row>
    <row r="23" spans="1:7" x14ac:dyDescent="0.35">
      <c r="A23" s="3" t="s">
        <v>9</v>
      </c>
      <c r="B23" t="str">
        <f t="shared" si="1"/>
        <v>ELYRHI</v>
      </c>
      <c r="C23">
        <v>4</v>
      </c>
      <c r="D23">
        <v>15.234999999999999</v>
      </c>
      <c r="E23">
        <f t="shared" si="2"/>
        <v>1.7039999999999988</v>
      </c>
    </row>
    <row r="24" spans="1:7" x14ac:dyDescent="0.35">
      <c r="A24" s="3" t="s">
        <v>10</v>
      </c>
      <c r="B24" t="str">
        <f t="shared" si="1"/>
        <v>ELYRHI</v>
      </c>
      <c r="C24">
        <v>5</v>
      </c>
      <c r="D24">
        <v>14.519</v>
      </c>
      <c r="E24">
        <f t="shared" si="2"/>
        <v>0.98799999999999955</v>
      </c>
    </row>
    <row r="25" spans="1:7" x14ac:dyDescent="0.35">
      <c r="A25" s="4" t="s">
        <v>11</v>
      </c>
      <c r="B25" t="str">
        <f t="shared" si="1"/>
        <v>ELYRHI</v>
      </c>
      <c r="C25">
        <v>6</v>
      </c>
      <c r="D25">
        <v>14.509</v>
      </c>
      <c r="E25">
        <f t="shared" si="2"/>
        <v>0.97799999999999976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DK_run4_LEAF_dryweights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Huw Irlam</cp:lastModifiedBy>
  <dcterms:created xsi:type="dcterms:W3CDTF">2025-09-19T10:47:22Z</dcterms:created>
  <dcterms:modified xsi:type="dcterms:W3CDTF">2025-10-13T13:15:56Z</dcterms:modified>
</cp:coreProperties>
</file>