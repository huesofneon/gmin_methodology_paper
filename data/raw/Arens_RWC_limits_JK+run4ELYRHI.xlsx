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Masters\Minimum Conductance\Huw_min_cond (working ver)\Projected Leaf area versions\data\"/>
    </mc:Choice>
  </mc:AlternateContent>
  <xr:revisionPtr revIDLastSave="0" documentId="13_ncr:1_{DB93ECF3-05FF-4FCC-A7B1-6AD00F0E98CC}" xr6:coauthVersionLast="47" xr6:coauthVersionMax="47" xr10:uidLastSave="{00000000-0000-0000-0000-000000000000}"/>
  <bookViews>
    <workbookView xWindow="-110" yWindow="-110" windowWidth="19420" windowHeight="10420" xr2:uid="{DEBA1CF1-1C24-42B4-A82B-AA7DCE75CAE8}"/>
  </bookViews>
  <sheets>
    <sheet name="RWC_limits_JK" sheetId="1" r:id="rId1"/>
    <sheet name="Cancon" sheetId="2" r:id="rId2"/>
    <sheet name="Erimon" sheetId="4" r:id="rId3"/>
    <sheet name="Prorep" sheetId="5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U3" i="1"/>
  <c r="U4" i="1"/>
  <c r="U5" i="1"/>
  <c r="W2" i="1"/>
  <c r="U2" i="1"/>
  <c r="V3" i="1"/>
  <c r="V4" i="1"/>
  <c r="V5" i="1"/>
  <c r="T3" i="1"/>
  <c r="T4" i="1"/>
  <c r="T5" i="1"/>
  <c r="V2" i="1"/>
  <c r="T2" i="1"/>
  <c r="B7" i="1"/>
  <c r="N4" i="1"/>
  <c r="L4" i="1"/>
  <c r="M4" i="1"/>
  <c r="P4" i="1"/>
  <c r="O4" i="1"/>
  <c r="R4" i="1"/>
  <c r="I4" i="1"/>
  <c r="Q4" i="1"/>
  <c r="S4" i="1"/>
  <c r="H4" i="1"/>
  <c r="L5" i="1"/>
  <c r="I5" i="1"/>
  <c r="Q5" i="1"/>
  <c r="E15" i="1"/>
  <c r="E16" i="1"/>
  <c r="E15" i="5"/>
  <c r="G17" i="2"/>
  <c r="E15" i="4"/>
  <c r="E16" i="2"/>
  <c r="H2" i="1"/>
  <c r="N2" i="1"/>
  <c r="M3" i="1"/>
  <c r="S3" i="1"/>
  <c r="M5" i="1"/>
  <c r="S5" i="1"/>
  <c r="M2" i="1"/>
  <c r="S2" i="1"/>
  <c r="I2" i="1"/>
  <c r="Q2" i="1"/>
  <c r="I3" i="1"/>
  <c r="Q3" i="1"/>
  <c r="L3" i="1"/>
  <c r="O3" i="1"/>
  <c r="O5" i="1"/>
  <c r="L2" i="1"/>
  <c r="O2" i="1"/>
  <c r="H3" i="1"/>
  <c r="N3" i="1"/>
  <c r="P3" i="1"/>
  <c r="H5" i="1"/>
  <c r="N5" i="1"/>
  <c r="E14" i="1"/>
  <c r="R5" i="1"/>
  <c r="F14" i="1"/>
  <c r="P5" i="1"/>
  <c r="P2" i="1"/>
  <c r="F13" i="1"/>
  <c r="F12" i="1"/>
  <c r="H12" i="1"/>
  <c r="R3" i="1"/>
  <c r="R2" i="1"/>
  <c r="P12" i="1"/>
  <c r="N12" i="1"/>
  <c r="N10" i="1"/>
</calcChain>
</file>

<file path=xl/sharedStrings.xml><?xml version="1.0" encoding="utf-8"?>
<sst xmlns="http://schemas.openxmlformats.org/spreadsheetml/2006/main" count="68" uniqueCount="56">
  <si>
    <t>non-linear, segmented, model of matts data then transform P50/P88 as y values to find 100-RWC as x then transform to RWC</t>
  </si>
  <si>
    <t>use sigmoid slope + 88 as y values. Use means but report error bars</t>
  </si>
  <si>
    <t>rob paper/ from rob data. Use means but report error bars.</t>
  </si>
  <si>
    <t>PROREP</t>
  </si>
  <si>
    <t>ERIMON</t>
  </si>
  <si>
    <t>CANCON</t>
  </si>
  <si>
    <t>RWC_tlp_se</t>
  </si>
  <si>
    <t>RWC_tlp</t>
  </si>
  <si>
    <t>GENSPP</t>
  </si>
  <si>
    <t>se</t>
  </si>
  <si>
    <t>sd</t>
  </si>
  <si>
    <t>avg</t>
  </si>
  <si>
    <t>x</t>
  </si>
  <si>
    <t xml:space="preserve"> y</t>
  </si>
  <si>
    <t>Cancon</t>
  </si>
  <si>
    <t>tlp</t>
  </si>
  <si>
    <t>Erimon</t>
  </si>
  <si>
    <t>Prorep</t>
  </si>
  <si>
    <t>-1/p88</t>
  </si>
  <si>
    <t>p88</t>
  </si>
  <si>
    <t>p50</t>
  </si>
  <si>
    <t>-1/p50</t>
  </si>
  <si>
    <t>RWC_p50</t>
  </si>
  <si>
    <t>RWC_p88</t>
  </si>
  <si>
    <t>y= -0.6637x + 5.8537</t>
  </si>
  <si>
    <t>(y-5.8537)/-0.6637</t>
  </si>
  <si>
    <t>100-RWC_p50</t>
  </si>
  <si>
    <t>100-RWC_p88</t>
  </si>
  <si>
    <t>100-rwc</t>
  </si>
  <si>
    <t>100-rwc=x</t>
  </si>
  <si>
    <t>-1/p50.se</t>
  </si>
  <si>
    <t>p50.se</t>
  </si>
  <si>
    <t>p88.se</t>
  </si>
  <si>
    <t>RWC_p50.se</t>
  </si>
  <si>
    <t>RWC_p88.se</t>
  </si>
  <si>
    <t>-1/p88.se</t>
  </si>
  <si>
    <t>100-RWC_tlp</t>
  </si>
  <si>
    <t>tlp.se</t>
  </si>
  <si>
    <t>m</t>
  </si>
  <si>
    <t>c</t>
  </si>
  <si>
    <t xml:space="preserve">RWC@tlp formula </t>
  </si>
  <si>
    <t>"-(((-1/tlp)-c)/m)+100"</t>
  </si>
  <si>
    <t>tlp formula</t>
  </si>
  <si>
    <t>"=-1/(((-D2+100)*B8)+C8)"</t>
  </si>
  <si>
    <t>fill=enter from external source</t>
  </si>
  <si>
    <t>^get these from</t>
  </si>
  <si>
    <t>combined summary</t>
  </si>
  <si>
    <t xml:space="preserve">Arens-pv-slopes </t>
  </si>
  <si>
    <t>^get from Arens-pv curve summary</t>
  </si>
  <si>
    <t>^from Matt data^</t>
  </si>
  <si>
    <t>ELYRHI</t>
  </si>
  <si>
    <t>*Note: ELYRHI from Dunja (see starred messages)</t>
  </si>
  <si>
    <t>HSM_p50</t>
  </si>
  <si>
    <t>HSM_p50.se</t>
  </si>
  <si>
    <t>HSM_p88</t>
  </si>
  <si>
    <t>HSM_p88.se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</si>
</sst>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10" xfId="0" applyBorder="1"/>
    <xf numFmtId="0" fontId="0" fillId="0" borderId="10" xfId="0" quotePrefix="1" applyBorder="1"/>
    <xf numFmtId="0" fontId="0" fillId="0" borderId="10" xfId="0" applyBorder="1" applyAlignment="1">
      <alignment horizontal="center" wrapText="1"/>
    </xf>
    <xf numFmtId="0" fontId="0" fillId="0" borderId="0" xfId="0" quotePrefix="1"/>
    <xf numFmtId="0" fontId="0" fillId="33" borderId="13" xfId="0" applyFill="1" applyBorder="1"/>
    <xf numFmtId="0" fontId="0" fillId="33" borderId="14" xfId="0" applyFill="1" applyBorder="1"/>
    <xf numFmtId="0" fontId="0" fillId="33" borderId="12" xfId="0" applyFill="1" applyBorder="1"/>
    <xf numFmtId="0" fontId="0" fillId="33" borderId="10" xfId="0" applyFill="1" applyBorder="1"/>
    <xf numFmtId="0" fontId="0" fillId="33" borderId="11" xfId="0" applyFill="1" applyBorder="1"/>
    <xf numFmtId="0" fontId="0" fillId="33" borderId="15" xfId="0" applyFill="1" applyBorder="1"/>
    <xf numFmtId="0" fontId="0" fillId="33" borderId="0" xfId="0" applyFill="1"/>
    <xf numFmtId="0" fontId="19" fillId="33" borderId="0" xfId="0" applyFont="1" applyFill="1"/>
    <xf numFmtId="0" fontId="0" fillId="0" borderId="12" xfId="0" applyBorder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preTLP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13867016622919"/>
                  <c:y val="-0.3519133437197355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-0.6637x + 5.8537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Cancon!$A$3:$A$10</c:f>
              <c:numCache>
                <c:formatCode>General</c:formatCode>
                <c:ptCount val="8"/>
                <c:pt idx="0">
                  <c:v>0.27149520901773999</c:v>
                </c:pt>
                <c:pt idx="1">
                  <c:v>1.4932143286203701</c:v>
                </c:pt>
                <c:pt idx="2">
                  <c:v>2.7149334482229999</c:v>
                </c:pt>
                <c:pt idx="3">
                  <c:v>4.0723970653421198</c:v>
                </c:pt>
                <c:pt idx="4">
                  <c:v>5.0226271899118</c:v>
                </c:pt>
                <c:pt idx="5">
                  <c:v>5.8371066029802199</c:v>
                </c:pt>
                <c:pt idx="6">
                  <c:v>6.7873367275499099</c:v>
                </c:pt>
                <c:pt idx="7">
                  <c:v>7.6018161406183298</c:v>
                </c:pt>
              </c:numCache>
            </c:numRef>
          </c:xVal>
          <c:yVal>
            <c:numRef>
              <c:f>Cancon!$B$3:$B$10</c:f>
              <c:numCache>
                <c:formatCode>General</c:formatCode>
                <c:ptCount val="8"/>
                <c:pt idx="0">
                  <c:v>5.6703302010060197</c:v>
                </c:pt>
                <c:pt idx="1">
                  <c:v>4.8791214761317701</c:v>
                </c:pt>
                <c:pt idx="2">
                  <c:v>4.0000010060739104</c:v>
                </c:pt>
                <c:pt idx="3">
                  <c:v>3.1648348994969799</c:v>
                </c:pt>
                <c:pt idx="4">
                  <c:v>2.5494516771378</c:v>
                </c:pt>
                <c:pt idx="5">
                  <c:v>2.0219791938883001</c:v>
                </c:pt>
                <c:pt idx="6">
                  <c:v>1.31868120812374</c:v>
                </c:pt>
                <c:pt idx="7">
                  <c:v>0.79120872487424698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C3-4D6B-BE88-C7951374F4C5}"/>
            </c:ext>
          </c:extLst>
        </c:ser>
        <c:ser>
          <c:idx val="1"/>
          <c:order val="1"/>
          <c:tx>
            <c:v>postTLP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39938757655291E-2"/>
                  <c:y val="-9.57042401785338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Cancon!$A$10:$A$16</c:f>
              <c:numCache>
                <c:formatCode>General</c:formatCode>
                <c:ptCount val="7"/>
                <c:pt idx="0">
                  <c:v>7.6018161406183298</c:v>
                </c:pt>
                <c:pt idx="1">
                  <c:v>12.0814529124946</c:v>
                </c:pt>
                <c:pt idx="2">
                  <c:v>15.4751088483</c:v>
                </c:pt>
                <c:pt idx="3">
                  <c:v>18.1900485105078</c:v>
                </c:pt>
                <c:pt idx="4">
                  <c:v>21.990944152847401</c:v>
                </c:pt>
                <c:pt idx="5">
                  <c:v>24.8416220985869</c:v>
                </c:pt>
                <c:pt idx="6">
                  <c:v>27.5565617607947</c:v>
                </c:pt>
              </c:numCache>
            </c:numRef>
          </c:xVal>
          <c:yVal>
            <c:numRef>
              <c:f>Cancon!$B$10:$B$16</c:f>
              <c:numCache>
                <c:formatCode>General</c:formatCode>
                <c:ptCount val="7"/>
                <c:pt idx="0">
                  <c:v>0.79120872487424698</c:v>
                </c:pt>
                <c:pt idx="1">
                  <c:v>0.659340604061872</c:v>
                </c:pt>
                <c:pt idx="2">
                  <c:v>0.52747248324949803</c:v>
                </c:pt>
                <c:pt idx="3">
                  <c:v>0.43956174413980797</c:v>
                </c:pt>
                <c:pt idx="4">
                  <c:v>0.35164899288227802</c:v>
                </c:pt>
                <c:pt idx="5">
                  <c:v>0.26373624162474901</c:v>
                </c:pt>
                <c:pt idx="6">
                  <c:v>0.17582550251505899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C3-4D6B-BE88-C7951374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01903"/>
        <c:axId val="985100943"/>
      </c:scatterChart>
      <c:valAx>
        <c:axId val="98510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100 - RWC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0943"/>
        <c:crosses val="autoZero"/>
        <c:crossBetween val="midCat"/>
      </c:valAx>
      <c:valAx>
        <c:axId val="98510094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-1/</a:t>
                </a:r>
                <a:r>
                  <a:rPr lang="el-GR" sz="1000" b="0" i="0" u="none" strike="noStrike" baseline="0">
                    <a:effectLst/>
                  </a:rPr>
                  <a:t>Ψ</a:t>
                </a:r>
                <a:r>
                  <a:rPr lang="en-ZA" sz="1000" b="0" i="0" u="none" strike="noStrike" baseline="0">
                    <a:effectLst/>
                  </a:rPr>
                  <a:t> (MPa)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190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Erimon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preTLP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13867016622919"/>
                  <c:y val="-0.351913343719735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Erimon!$A$3:$A$12</c:f>
              <c:numCache>
                <c:formatCode>General</c:formatCode>
                <c:ptCount val="10"/>
                <c:pt idx="0">
                  <c:v>0.13636153670411599</c:v>
                </c:pt>
                <c:pt idx="1">
                  <c:v>1.7727249460775301</c:v>
                </c:pt>
                <c:pt idx="2">
                  <c:v>2.8636359664034798</c:v>
                </c:pt>
                <c:pt idx="3">
                  <c:v>4.6363609124809999</c:v>
                </c:pt>
                <c:pt idx="4">
                  <c:v>6.2727243218544197</c:v>
                </c:pt>
                <c:pt idx="5">
                  <c:v>8.04544926793195</c:v>
                </c:pt>
                <c:pt idx="6">
                  <c:v>10.636362160927201</c:v>
                </c:pt>
                <c:pt idx="7">
                  <c:v>12.4090933492357</c:v>
                </c:pt>
                <c:pt idx="8">
                  <c:v>13.7727212007389</c:v>
                </c:pt>
                <c:pt idx="9">
                  <c:v>15.5454523890474</c:v>
                </c:pt>
              </c:numCache>
            </c:numRef>
          </c:xVal>
          <c:yVal>
            <c:numRef>
              <c:f>Erimon!$B$3:$B$12</c:f>
              <c:numCache>
                <c:formatCode>General</c:formatCode>
                <c:ptCount val="10"/>
                <c:pt idx="0">
                  <c:v>7.8688524590163897</c:v>
                </c:pt>
                <c:pt idx="1">
                  <c:v>7.1693995741547099</c:v>
                </c:pt>
                <c:pt idx="2">
                  <c:v>6.6448094102202804</c:v>
                </c:pt>
                <c:pt idx="3">
                  <c:v>5.8142069832223298</c:v>
                </c:pt>
                <c:pt idx="4">
                  <c:v>5.1147540983606499</c:v>
                </c:pt>
                <c:pt idx="5">
                  <c:v>4.2841536725153597</c:v>
                </c:pt>
                <c:pt idx="6">
                  <c:v>3.1038258036629101</c:v>
                </c:pt>
                <c:pt idx="7">
                  <c:v>2.3169405577612698</c:v>
                </c:pt>
                <c:pt idx="8">
                  <c:v>1.6174856717469199</c:v>
                </c:pt>
                <c:pt idx="9">
                  <c:v>0.83060042584528604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9D-4A4C-844E-8602D640F4A4}"/>
            </c:ext>
          </c:extLst>
        </c:ser>
        <c:ser>
          <c:idx val="1"/>
          <c:order val="1"/>
          <c:tx>
            <c:v>postTLP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39938757655291E-2"/>
                  <c:y val="-9.57042401785338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Erimon!$A$12:$A$18</c:f>
              <c:numCache>
                <c:formatCode>General</c:formatCode>
                <c:ptCount val="7"/>
                <c:pt idx="0">
                  <c:v>15.5454523890474</c:v>
                </c:pt>
                <c:pt idx="1">
                  <c:v>18.545456134386001</c:v>
                </c:pt>
                <c:pt idx="2">
                  <c:v>20.0454517648243</c:v>
                </c:pt>
                <c:pt idx="3">
                  <c:v>22.3636290999493</c:v>
                </c:pt>
                <c:pt idx="4">
                  <c:v>24.681818919536301</c:v>
                </c:pt>
                <c:pt idx="5">
                  <c:v>26.7272731812531</c:v>
                </c:pt>
                <c:pt idx="6">
                  <c:v>29.181818295313199</c:v>
                </c:pt>
              </c:numCache>
            </c:numRef>
          </c:xVal>
          <c:yVal>
            <c:numRef>
              <c:f>Erimon!$B$12:$B$18</c:f>
              <c:numCache>
                <c:formatCode>General</c:formatCode>
                <c:ptCount val="7"/>
                <c:pt idx="0">
                  <c:v>0.83060042584528604</c:v>
                </c:pt>
                <c:pt idx="1">
                  <c:v>0.74317006595799096</c:v>
                </c:pt>
                <c:pt idx="2">
                  <c:v>0.69945288486168</c:v>
                </c:pt>
                <c:pt idx="3">
                  <c:v>0.61202252497438503</c:v>
                </c:pt>
                <c:pt idx="4">
                  <c:v>0.56830534387807297</c:v>
                </c:pt>
                <c:pt idx="5">
                  <c:v>0.52459016393442603</c:v>
                </c:pt>
                <c:pt idx="6">
                  <c:v>0.43715780289446698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9D-4A4C-844E-8602D640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01903"/>
        <c:axId val="985100943"/>
      </c:scatterChart>
      <c:valAx>
        <c:axId val="985101903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100 - RWC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0943"/>
        <c:crosses val="autoZero"/>
        <c:crossBetween val="midCat"/>
      </c:valAx>
      <c:valAx>
        <c:axId val="98510094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-1/</a:t>
                </a:r>
                <a:r>
                  <a:rPr lang="el-GR" sz="1000" b="0" i="0" u="none" strike="noStrike" baseline="0">
                    <a:effectLst/>
                  </a:rPr>
                  <a:t>Ψ</a:t>
                </a:r>
                <a:r>
                  <a:rPr lang="en-ZA" sz="1000" b="0" i="0" u="none" strike="noStrike" baseline="0">
                    <a:effectLst/>
                  </a:rPr>
                  <a:t> (MPa)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13867016622919"/>
                  <c:y val="-0.351913343719735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Prorep!$A$3:$A$13</c:f>
              <c:numCache>
                <c:formatCode>General</c:formatCode>
                <c:ptCount val="11"/>
                <c:pt idx="0">
                  <c:v>2.0454542617167699</c:v>
                </c:pt>
                <c:pt idx="1">
                  <c:v>2.59090665076423</c:v>
                </c:pt>
                <c:pt idx="2">
                  <c:v>3.5454498921550601</c:v>
                </c:pt>
                <c:pt idx="3">
                  <c:v>4.2272700601376503</c:v>
                </c:pt>
                <c:pt idx="4">
                  <c:v>4.9090902281202498</c:v>
                </c:pt>
                <c:pt idx="5">
                  <c:v>5.7272719328069597</c:v>
                </c:pt>
                <c:pt idx="6">
                  <c:v>6.5454536374936696</c:v>
                </c:pt>
                <c:pt idx="7">
                  <c:v>7.3636353421803804</c:v>
                </c:pt>
                <c:pt idx="8">
                  <c:v>8.1818170468670903</c:v>
                </c:pt>
                <c:pt idx="9">
                  <c:v>8.7272756781455794</c:v>
                </c:pt>
                <c:pt idx="10">
                  <c:v>9.6818126773053699</c:v>
                </c:pt>
              </c:numCache>
            </c:numRef>
          </c:xVal>
          <c:yVal>
            <c:numRef>
              <c:f>Prorep!$B$3:$B$13</c:f>
              <c:numCache>
                <c:formatCode>General</c:formatCode>
                <c:ptCount val="11"/>
                <c:pt idx="0">
                  <c:v>7.4725273840813902</c:v>
                </c:pt>
                <c:pt idx="1">
                  <c:v>6.9890121609215603</c:v>
                </c:pt>
                <c:pt idx="2">
                  <c:v>6.15384584428487</c:v>
                </c:pt>
                <c:pt idx="3">
                  <c:v>5.5824158356074802</c:v>
                </c:pt>
                <c:pt idx="4">
                  <c:v>5.0549432196888704</c:v>
                </c:pt>
                <c:pt idx="5">
                  <c:v>4.35164908132852</c:v>
                </c:pt>
                <c:pt idx="6">
                  <c:v>3.6923083114302599</c:v>
                </c:pt>
                <c:pt idx="7">
                  <c:v>2.9010993875523399</c:v>
                </c:pt>
                <c:pt idx="8">
                  <c:v>2.2857119861161701</c:v>
                </c:pt>
                <c:pt idx="9">
                  <c:v>1.80219676295634</c:v>
                </c:pt>
                <c:pt idx="10">
                  <c:v>1.0109878390784299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71-4F2C-8A87-2E42E8AA63E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39938757655291E-2"/>
                  <c:y val="-9.57042401785338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Prorep!$A$13:$A$22</c:f>
              <c:numCache>
                <c:formatCode>General</c:formatCode>
                <c:ptCount val="10"/>
                <c:pt idx="0">
                  <c:v>9.6818126773053699</c:v>
                </c:pt>
                <c:pt idx="1">
                  <c:v>10.9090852343354</c:v>
                </c:pt>
                <c:pt idx="2">
                  <c:v>13.2272750539224</c:v>
                </c:pt>
                <c:pt idx="3">
                  <c:v>15.818175462455599</c:v>
                </c:pt>
                <c:pt idx="4">
                  <c:v>18.1363652820427</c:v>
                </c:pt>
                <c:pt idx="5">
                  <c:v>21.818182953132901</c:v>
                </c:pt>
                <c:pt idx="6">
                  <c:v>23.727269435914501</c:v>
                </c:pt>
                <c:pt idx="7">
                  <c:v>25.2272650663528</c:v>
                </c:pt>
                <c:pt idx="8">
                  <c:v>27.272719328069599</c:v>
                </c:pt>
                <c:pt idx="9">
                  <c:v>29.181818295313199</c:v>
                </c:pt>
              </c:numCache>
            </c:numRef>
          </c:xVal>
          <c:yVal>
            <c:numRef>
              <c:f>Prorep!$B$13:$B$22</c:f>
              <c:numCache>
                <c:formatCode>General</c:formatCode>
                <c:ptCount val="10"/>
                <c:pt idx="0">
                  <c:v>1.0109878390784299</c:v>
                </c:pt>
                <c:pt idx="1">
                  <c:v>0.96703044631965496</c:v>
                </c:pt>
                <c:pt idx="2">
                  <c:v>0.87911968509878302</c:v>
                </c:pt>
                <c:pt idx="3">
                  <c:v>0.79120892387791297</c:v>
                </c:pt>
                <c:pt idx="4">
                  <c:v>0.70329413836035004</c:v>
                </c:pt>
                <c:pt idx="5">
                  <c:v>0.61538337713947899</c:v>
                </c:pt>
                <c:pt idx="6">
                  <c:v>0.52747261591860795</c:v>
                </c:pt>
                <c:pt idx="7">
                  <c:v>0.48351522315982698</c:v>
                </c:pt>
                <c:pt idx="8">
                  <c:v>0.39560446193895599</c:v>
                </c:pt>
                <c:pt idx="9">
                  <c:v>0.35164706918017502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71-4F2C-8A87-2E42E8AA6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01903"/>
        <c:axId val="985100943"/>
      </c:scatterChart>
      <c:valAx>
        <c:axId val="985101903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100 - RWC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0943"/>
        <c:crosses val="autoZero"/>
        <c:crossBetween val="midCat"/>
      </c:valAx>
      <c:valAx>
        <c:axId val="9851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-1/</a:t>
                </a:r>
                <a:r>
                  <a:rPr lang="el-GR" sz="1000" b="0" i="0" u="none" strike="noStrike" baseline="0">
                    <a:effectLst/>
                  </a:rPr>
                  <a:t>Ψ</a:t>
                </a:r>
                <a:r>
                  <a:rPr lang="en-ZA" sz="1000" b="0" i="0" u="none" strike="noStrike" baseline="0">
                    <a:effectLst/>
                  </a:rPr>
                  <a:t> (MPa)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0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0</xdr:row>
      <xdr:rowOff>57150</xdr:rowOff>
    </xdr:from>
    <xdr:to>
      <xdr:col>10</xdr:col>
      <xdr:colOff>393700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4BF52-3597-4D14-A83F-91F401F8C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0</xdr:row>
      <xdr:rowOff>57150</xdr:rowOff>
    </xdr:from>
    <xdr:to>
      <xdr:col>10</xdr:col>
      <xdr:colOff>393700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3D181-542B-47FD-9130-A544C75F6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0</xdr:row>
      <xdr:rowOff>57150</xdr:rowOff>
    </xdr:from>
    <xdr:to>
      <xdr:col>10</xdr:col>
      <xdr:colOff>393700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11519-8406-4B5D-B7B2-76FA47D05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071B-1DF9-4588-8659-FDEFE1E0B0D7}">
  <dimension ref="A1:W17"/>
  <sheetViews>
    <sheetView tabSelected="1" topLeftCell="I1" workbookViewId="0">
      <selection activeCell="D8" sqref="D8"/>
    </sheetView>
  </sheetViews>
  <sheetFormatPr defaultRowHeight="14.5" x14ac:dyDescent="0.35"/>
  <cols>
    <col min="1" max="1" width="8.7265625" style="2"/>
    <col min="5" max="5" width="10.453125" style="2" bestFit="1" customWidth="1"/>
    <col min="9" max="9" width="8.7265625" style="2"/>
    <col min="13" max="13" width="8.7265625" style="2"/>
    <col min="14" max="14" width="12.36328125" customWidth="1"/>
    <col min="15" max="15" width="12.26953125" style="2" customWidth="1"/>
    <col min="17" max="17" width="11.453125" style="2" bestFit="1" customWidth="1"/>
    <col min="19" max="19" width="11.453125" style="2" bestFit="1" customWidth="1"/>
    <col min="21" max="21" width="10.81640625" bestFit="1" customWidth="1"/>
    <col min="22" max="22" width="8.7265625" style="14"/>
    <col min="23" max="23" width="10.81640625" bestFit="1" customWidth="1"/>
  </cols>
  <sheetData>
    <row r="1" spans="1:23" x14ac:dyDescent="0.35">
      <c r="A1" s="2" t="s">
        <v>8</v>
      </c>
      <c r="B1" t="s">
        <v>15</v>
      </c>
      <c r="C1" t="s">
        <v>37</v>
      </c>
      <c r="D1" t="s">
        <v>7</v>
      </c>
      <c r="E1" s="2" t="s">
        <v>6</v>
      </c>
      <c r="F1" t="s">
        <v>20</v>
      </c>
      <c r="G1" t="s">
        <v>31</v>
      </c>
      <c r="H1" s="5" t="s">
        <v>21</v>
      </c>
      <c r="I1" s="3" t="s">
        <v>30</v>
      </c>
      <c r="J1" t="s">
        <v>19</v>
      </c>
      <c r="K1" t="s">
        <v>32</v>
      </c>
      <c r="L1" s="5" t="s">
        <v>18</v>
      </c>
      <c r="M1" s="3" t="s">
        <v>35</v>
      </c>
      <c r="N1" s="5" t="s">
        <v>26</v>
      </c>
      <c r="O1" s="3" t="s">
        <v>27</v>
      </c>
      <c r="P1" t="s">
        <v>22</v>
      </c>
      <c r="Q1" s="2" t="s">
        <v>33</v>
      </c>
      <c r="R1" t="s">
        <v>23</v>
      </c>
      <c r="S1" s="2" t="s">
        <v>34</v>
      </c>
      <c r="T1" t="s">
        <v>52</v>
      </c>
      <c r="U1" t="s">
        <v>53</v>
      </c>
      <c r="V1" s="14" t="s">
        <v>54</v>
      </c>
      <c r="W1" t="s">
        <v>55</v>
      </c>
    </row>
    <row r="2" spans="1:23" x14ac:dyDescent="0.35">
      <c r="A2" s="2" t="s">
        <v>5</v>
      </c>
      <c r="B2" s="13">
        <v>-1.4962299999999999</v>
      </c>
      <c r="C2" s="13">
        <v>1.248E-2</v>
      </c>
      <c r="D2" s="12">
        <v>90.893763544999999</v>
      </c>
      <c r="E2" s="9">
        <v>0.23967746980732227</v>
      </c>
      <c r="F2" s="12">
        <v>-2.30221484799221</v>
      </c>
      <c r="G2" s="12">
        <v>0.115068799965983</v>
      </c>
      <c r="H2">
        <f>-1/F2</f>
        <v>0.43436432567191213</v>
      </c>
      <c r="I2" s="2">
        <f>ABS(1/(POWER((F2),2)))*G2</f>
        <v>2.1710302905347898E-2</v>
      </c>
      <c r="J2" s="12">
        <v>-2.6655290587610199</v>
      </c>
      <c r="K2" s="12">
        <v>0.296268204776309</v>
      </c>
      <c r="L2">
        <f>-1/J2</f>
        <v>0.37516004438714162</v>
      </c>
      <c r="M2" s="2">
        <f>ABS(1/(POWER((J2),2)))*K2</f>
        <v>4.1698285932790465E-2</v>
      </c>
      <c r="N2">
        <f>((H2)-C9)/B9</f>
        <v>18.816911521609907</v>
      </c>
      <c r="O2" s="2">
        <f>((L2)-C9)/B9</f>
        <v>21.27802430165606</v>
      </c>
      <c r="P2">
        <f>-N2+100</f>
        <v>81.18308847839009</v>
      </c>
      <c r="Q2" s="2">
        <f>ABS(1/B9)*I2</f>
        <v>0.90249392070180356</v>
      </c>
      <c r="R2">
        <f>-O2+100</f>
        <v>78.72197569834394</v>
      </c>
      <c r="S2" s="2">
        <f>ABS(1/B9)*M2</f>
        <v>1.7333912715127953</v>
      </c>
      <c r="T2">
        <f>B2-F2</f>
        <v>0.80598484799221004</v>
      </c>
      <c r="U2">
        <f>SQRT(POWER(C2,2)+POWER(G2,2))</f>
        <v>0.11574359215788756</v>
      </c>
      <c r="V2" s="14">
        <f>B2-J2</f>
        <v>1.1692990587610199</v>
      </c>
      <c r="W2">
        <f>SQRT(POWER(C2,2)+POWER(K2,2))</f>
        <v>0.29653094199657642</v>
      </c>
    </row>
    <row r="3" spans="1:23" x14ac:dyDescent="0.35">
      <c r="A3" s="2" t="s">
        <v>4</v>
      </c>
      <c r="B3" s="12">
        <v>-1.5875839331111112</v>
      </c>
      <c r="C3" s="12">
        <v>7.4669395511300779E-3</v>
      </c>
      <c r="D3" s="12">
        <v>84.033325221111113</v>
      </c>
      <c r="E3" s="9">
        <v>0.37303492980283287</v>
      </c>
      <c r="F3" s="12">
        <v>-5.6789634517834804</v>
      </c>
      <c r="G3" s="12">
        <v>0.781101182596041</v>
      </c>
      <c r="H3">
        <f>-1/F3</f>
        <v>0.17608847256904772</v>
      </c>
      <c r="I3" s="2">
        <f t="shared" ref="I3" si="0">ABS(1/(POWER((F3),2)))*G3</f>
        <v>2.4219721668048123E-2</v>
      </c>
      <c r="J3" s="12">
        <v>-7.0125794119941602</v>
      </c>
      <c r="K3" s="12">
        <v>0.78139145988708003</v>
      </c>
      <c r="L3">
        <f t="shared" ref="L3" si="1">-1/J3</f>
        <v>0.1426008806815966</v>
      </c>
      <c r="M3" s="2">
        <f t="shared" ref="M3:M5" si="2">ABS(1/(POWER((J3),2)))*K3</f>
        <v>1.5889604065858223E-2</v>
      </c>
      <c r="N3">
        <f>((H3)-C10)/B10</f>
        <v>73.208273654144989</v>
      </c>
      <c r="O3" s="2">
        <f>((L3)-C10)/B10</f>
        <v>77.428628733161801</v>
      </c>
      <c r="P3">
        <f>-N3+100</f>
        <v>26.791726345855011</v>
      </c>
      <c r="Q3" s="2">
        <f>ABS(1/B10)*I3</f>
        <v>3.0523492312513563</v>
      </c>
      <c r="R3">
        <f t="shared" ref="R3:R5" si="3">-O3+100</f>
        <v>22.571371266838199</v>
      </c>
      <c r="S3" s="2">
        <f>ABS(1/B10)*M3</f>
        <v>2.0025259340323154</v>
      </c>
      <c r="T3">
        <f t="shared" ref="T3:T5" si="4">B3-F3</f>
        <v>4.0913795186723689</v>
      </c>
      <c r="U3">
        <f t="shared" ref="U3:U5" si="5">SQRT(POWER(C3,2)+POWER(G3,2))</f>
        <v>0.7811368718983851</v>
      </c>
      <c r="V3" s="14">
        <f t="shared" ref="V3:V5" si="6">B3-J3</f>
        <v>5.4249954788830488</v>
      </c>
      <c r="W3">
        <f t="shared" ref="W3:W5" si="7">SQRT(POWER(C3,2)+POWER(K3,2))</f>
        <v>0.78142713593189383</v>
      </c>
    </row>
    <row r="4" spans="1:23" x14ac:dyDescent="0.35">
      <c r="A4" s="2" t="s">
        <v>50</v>
      </c>
      <c r="B4" s="12">
        <v>-2.0009999999999999</v>
      </c>
      <c r="C4" s="12">
        <v>0.06</v>
      </c>
      <c r="D4" s="12">
        <v>74.936000000000007</v>
      </c>
      <c r="E4" s="9">
        <v>1.53</v>
      </c>
      <c r="F4" s="12">
        <v>-5.42</v>
      </c>
      <c r="G4" s="12">
        <v>0.33</v>
      </c>
      <c r="H4">
        <f>-1/F4</f>
        <v>0.18450184501845018</v>
      </c>
      <c r="I4" s="2">
        <f t="shared" ref="I4" si="8">ABS(1/(POWER((F4),2)))*G4</f>
        <v>1.1233507169020031E-2</v>
      </c>
      <c r="J4" s="12">
        <v>-7.11</v>
      </c>
      <c r="K4" s="12">
        <v>0.13</v>
      </c>
      <c r="L4">
        <f t="shared" ref="L4" si="9">-1/J4</f>
        <v>0.14064697609001406</v>
      </c>
      <c r="M4" s="2">
        <f t="shared" ref="M4" si="10">ABS(1/(POWER((J4),2)))*K4</f>
        <v>2.5716043448244484E-3</v>
      </c>
      <c r="N4">
        <f>((H4)-C11)/B11</f>
        <v>53.95437772559545</v>
      </c>
      <c r="O4" s="2">
        <f>((L4)-C11)/B11</f>
        <v>57.941183991816906</v>
      </c>
      <c r="P4">
        <f>-N4+100</f>
        <v>46.04562227440455</v>
      </c>
      <c r="Q4" s="2">
        <f>ABS(1/B11)*I4</f>
        <v>1.0212279244563667</v>
      </c>
      <c r="R4">
        <f t="shared" ref="R4" si="11">-O4+100</f>
        <v>42.058816008183094</v>
      </c>
      <c r="S4" s="2">
        <f>ABS(1/B11)*M4</f>
        <v>0.23378221316585898</v>
      </c>
      <c r="T4">
        <f t="shared" si="4"/>
        <v>3.419</v>
      </c>
      <c r="U4">
        <f t="shared" si="5"/>
        <v>0.33541019662496846</v>
      </c>
      <c r="V4" s="14">
        <f t="shared" si="6"/>
        <v>5.109</v>
      </c>
      <c r="W4">
        <f t="shared" si="7"/>
        <v>0.14317821063276354</v>
      </c>
    </row>
    <row r="5" spans="1:23" x14ac:dyDescent="0.35">
      <c r="A5" s="2" t="s">
        <v>3</v>
      </c>
      <c r="B5" s="12">
        <v>-1.5301528826666664</v>
      </c>
      <c r="C5" s="12">
        <v>1.0130368110752573E-2</v>
      </c>
      <c r="D5" s="12">
        <v>88.593780901666662</v>
      </c>
      <c r="E5" s="9">
        <v>0.3380296052739924</v>
      </c>
      <c r="F5" s="12">
        <v>-3.50413240428054</v>
      </c>
      <c r="G5" s="12">
        <v>5.74307951299632E-2</v>
      </c>
      <c r="H5">
        <f>-1/F5</f>
        <v>0.28537734441153845</v>
      </c>
      <c r="I5" s="2">
        <f>ABS(1/(POWER((F5),2)))*G5</f>
        <v>4.6771770900012714E-3</v>
      </c>
      <c r="J5" s="12">
        <v>-3.9535392030719301</v>
      </c>
      <c r="K5" s="12">
        <v>6.4185356451449099E-2</v>
      </c>
      <c r="L5">
        <f>-1/J5</f>
        <v>0.25293792438506552</v>
      </c>
      <c r="M5" s="2">
        <f t="shared" si="2"/>
        <v>4.1064246496229145E-3</v>
      </c>
      <c r="N5">
        <f>((H5)-C12)/B12</f>
        <v>51.569870057126614</v>
      </c>
      <c r="O5" s="2">
        <f t="shared" ref="O5" si="12">((L5)-C12)/B12</f>
        <v>55.111222576285911</v>
      </c>
      <c r="P5">
        <f>-N5+100</f>
        <v>48.430129942873386</v>
      </c>
      <c r="Q5" s="2">
        <f t="shared" ref="Q5" si="13">ABS(1/B12)*I5</f>
        <v>0.51059892121107808</v>
      </c>
      <c r="R5">
        <f t="shared" si="3"/>
        <v>44.888777423714089</v>
      </c>
      <c r="S5" s="2">
        <f t="shared" ref="S5" si="14">ABS(1/B12)*M5</f>
        <v>0.44829091475163058</v>
      </c>
      <c r="T5">
        <f t="shared" si="4"/>
        <v>1.9739795216138736</v>
      </c>
      <c r="U5">
        <f t="shared" si="5"/>
        <v>5.8317412385317277E-2</v>
      </c>
      <c r="V5" s="14">
        <f t="shared" si="6"/>
        <v>2.4233863204052639</v>
      </c>
      <c r="W5">
        <f t="shared" si="7"/>
        <v>6.4979876430006633E-2</v>
      </c>
    </row>
    <row r="6" spans="1:23" ht="80.5" customHeight="1" x14ac:dyDescent="0.35">
      <c r="B6" t="s">
        <v>49</v>
      </c>
      <c r="D6" s="15" t="s">
        <v>48</v>
      </c>
      <c r="E6" s="15"/>
      <c r="F6" s="15" t="s">
        <v>2</v>
      </c>
      <c r="G6" s="15"/>
      <c r="H6" s="1"/>
      <c r="I6" s="4"/>
      <c r="J6" s="15" t="s">
        <v>1</v>
      </c>
      <c r="K6" s="15"/>
      <c r="L6" s="1"/>
      <c r="M6" s="4"/>
      <c r="N6" t="s">
        <v>24</v>
      </c>
      <c r="O6" s="4"/>
      <c r="P6" s="15" t="s">
        <v>0</v>
      </c>
      <c r="Q6" s="15"/>
      <c r="R6" s="15"/>
    </row>
    <row r="7" spans="1:23" x14ac:dyDescent="0.35">
      <c r="B7">
        <f>-1/(((-D2+100)*-0.6637)+5.8537)</f>
        <v>5.2601364949388802</v>
      </c>
      <c r="F7" t="s">
        <v>51</v>
      </c>
      <c r="N7" t="s">
        <v>25</v>
      </c>
    </row>
    <row r="8" spans="1:23" x14ac:dyDescent="0.35">
      <c r="B8" t="s">
        <v>38</v>
      </c>
      <c r="C8" t="s">
        <v>39</v>
      </c>
      <c r="N8" t="s">
        <v>28</v>
      </c>
    </row>
    <row r="9" spans="1:23" x14ac:dyDescent="0.35">
      <c r="A9" s="2" t="s">
        <v>5</v>
      </c>
      <c r="B9" s="6">
        <v>-2.4055899333333328E-2</v>
      </c>
      <c r="C9" s="7">
        <v>0.88702205500000009</v>
      </c>
      <c r="N9" t="s">
        <v>29</v>
      </c>
    </row>
    <row r="10" spans="1:23" x14ac:dyDescent="0.35">
      <c r="A10" s="2" t="s">
        <v>4</v>
      </c>
      <c r="B10" s="8">
        <v>-7.934780666666667E-3</v>
      </c>
      <c r="C10" s="9">
        <v>0.75698006700000009</v>
      </c>
      <c r="E10" s="2">
        <v>-6.7525079999999997</v>
      </c>
      <c r="N10">
        <f>N2+P2</f>
        <v>100</v>
      </c>
    </row>
    <row r="11" spans="1:23" x14ac:dyDescent="0.35">
      <c r="A11" s="2" t="s">
        <v>50</v>
      </c>
      <c r="B11" s="8">
        <v>-1.0999999999999999E-2</v>
      </c>
      <c r="C11" s="9">
        <v>0.77800000000000002</v>
      </c>
    </row>
    <row r="12" spans="1:23" x14ac:dyDescent="0.35">
      <c r="A12" s="2" t="s">
        <v>3</v>
      </c>
      <c r="B12" s="10">
        <v>-9.1601781666666663E-3</v>
      </c>
      <c r="C12" s="11">
        <v>0.75776654216666672</v>
      </c>
      <c r="E12" s="2">
        <v>-4.1593460000000002</v>
      </c>
      <c r="F12">
        <f>-1/H2</f>
        <v>-2.30221484799221</v>
      </c>
      <c r="H12">
        <f>(N2*-0.0306)+1.0173</f>
        <v>0.44150250743873698</v>
      </c>
      <c r="N12">
        <f>-P2+100</f>
        <v>18.81691152160991</v>
      </c>
      <c r="P12">
        <f>P2</f>
        <v>81.18308847839009</v>
      </c>
    </row>
    <row r="13" spans="1:23" x14ac:dyDescent="0.35">
      <c r="B13" t="s">
        <v>45</v>
      </c>
      <c r="E13" s="2">
        <v>-6.1250359999999997</v>
      </c>
      <c r="F13">
        <f>-1/(((-P2+100)*-0.0306)+1.0173)</f>
        <v>-2.2649927987980014</v>
      </c>
    </row>
    <row r="14" spans="1:23" x14ac:dyDescent="0.35">
      <c r="B14" t="s">
        <v>47</v>
      </c>
      <c r="D14" t="s">
        <v>11</v>
      </c>
      <c r="E14" s="2">
        <f>AVERAGE(E10:E13)</f>
        <v>-5.6789633333333329</v>
      </c>
      <c r="F14">
        <f>-1/(((-P3+100)*-0.0283)+1.2648)</f>
        <v>1.2391663643709014</v>
      </c>
      <c r="H14" t="s">
        <v>40</v>
      </c>
    </row>
    <row r="15" spans="1:23" x14ac:dyDescent="0.35">
      <c r="B15" t="s">
        <v>46</v>
      </c>
      <c r="D15" t="s">
        <v>10</v>
      </c>
      <c r="E15" s="2">
        <f>_xlfn.STDEV.S(E10:E13)</f>
        <v>1.3529072058058251</v>
      </c>
      <c r="H15" t="s">
        <v>41</v>
      </c>
    </row>
    <row r="16" spans="1:23" x14ac:dyDescent="0.35">
      <c r="D16" t="s">
        <v>9</v>
      </c>
      <c r="E16" s="2">
        <f>E15/SQRT(3)</f>
        <v>0.78110133946057758</v>
      </c>
      <c r="H16" t="s">
        <v>42</v>
      </c>
    </row>
    <row r="17" spans="2:8" x14ac:dyDescent="0.35">
      <c r="B17" s="12" t="s">
        <v>44</v>
      </c>
      <c r="H17" t="s">
        <v>43</v>
      </c>
    </row>
  </sheetData>
  <mergeCells count="4">
    <mergeCell ref="P6:R6"/>
    <mergeCell ref="D6:E6"/>
    <mergeCell ref="F6:G6"/>
    <mergeCell ref="J6:K6"/>
  </mergeCells>
  <phoneticPr fontId="18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37FE-F83D-4C80-8285-DA98828E2B09}">
  <dimension ref="A1:G17"/>
  <sheetViews>
    <sheetView workbookViewId="0">
      <selection activeCell="E16" sqref="E16"/>
    </sheetView>
  </sheetViews>
  <sheetFormatPr defaultRowHeight="14.5" x14ac:dyDescent="0.35"/>
  <sheetData>
    <row r="1" spans="1:7" x14ac:dyDescent="0.35">
      <c r="A1" t="s">
        <v>14</v>
      </c>
    </row>
    <row r="2" spans="1:7" x14ac:dyDescent="0.35">
      <c r="A2" t="s">
        <v>12</v>
      </c>
      <c r="B2" t="s">
        <v>13</v>
      </c>
    </row>
    <row r="3" spans="1:7" x14ac:dyDescent="0.35">
      <c r="A3">
        <v>0.27149520901773999</v>
      </c>
      <c r="B3">
        <v>5.6703302010060197</v>
      </c>
    </row>
    <row r="4" spans="1:7" x14ac:dyDescent="0.35">
      <c r="A4">
        <v>1.4932143286203701</v>
      </c>
      <c r="B4">
        <v>4.8791214761317701</v>
      </c>
    </row>
    <row r="5" spans="1:7" x14ac:dyDescent="0.35">
      <c r="A5">
        <v>2.7149334482229999</v>
      </c>
      <c r="B5">
        <v>4.0000010060739104</v>
      </c>
    </row>
    <row r="6" spans="1:7" x14ac:dyDescent="0.35">
      <c r="A6">
        <v>4.0723970653421198</v>
      </c>
      <c r="B6">
        <v>3.1648348994969799</v>
      </c>
    </row>
    <row r="7" spans="1:7" x14ac:dyDescent="0.35">
      <c r="A7">
        <v>5.0226271899118</v>
      </c>
      <c r="B7">
        <v>2.5494516771378</v>
      </c>
    </row>
    <row r="8" spans="1:7" x14ac:dyDescent="0.35">
      <c r="A8">
        <v>5.8371066029802199</v>
      </c>
      <c r="B8">
        <v>2.0219791938883001</v>
      </c>
    </row>
    <row r="9" spans="1:7" x14ac:dyDescent="0.35">
      <c r="A9">
        <v>6.7873367275499099</v>
      </c>
      <c r="B9">
        <v>1.31868120812374</v>
      </c>
    </row>
    <row r="10" spans="1:7" x14ac:dyDescent="0.35">
      <c r="A10">
        <v>7.6018161406183298</v>
      </c>
      <c r="B10">
        <v>0.79120872487424698</v>
      </c>
      <c r="C10" t="s">
        <v>15</v>
      </c>
    </row>
    <row r="11" spans="1:7" x14ac:dyDescent="0.35">
      <c r="A11">
        <v>12.0814529124946</v>
      </c>
      <c r="B11">
        <v>0.659340604061872</v>
      </c>
    </row>
    <row r="12" spans="1:7" x14ac:dyDescent="0.35">
      <c r="A12">
        <v>15.4751088483</v>
      </c>
      <c r="B12">
        <v>0.52747248324949803</v>
      </c>
    </row>
    <row r="13" spans="1:7" x14ac:dyDescent="0.35">
      <c r="A13">
        <v>18.1900485105078</v>
      </c>
      <c r="B13">
        <v>0.43956174413980797</v>
      </c>
    </row>
    <row r="14" spans="1:7" x14ac:dyDescent="0.35">
      <c r="A14">
        <v>21.990944152847401</v>
      </c>
      <c r="B14">
        <v>0.35164899288227802</v>
      </c>
    </row>
    <row r="15" spans="1:7" x14ac:dyDescent="0.35">
      <c r="A15">
        <v>24.8416220985869</v>
      </c>
      <c r="B15">
        <v>0.26373624162474901</v>
      </c>
    </row>
    <row r="16" spans="1:7" x14ac:dyDescent="0.35">
      <c r="A16">
        <v>27.5565617607947</v>
      </c>
      <c r="B16">
        <v>0.17582550251505899</v>
      </c>
      <c r="E16">
        <f>100-A10</f>
        <v>92.398183859381675</v>
      </c>
      <c r="F16" t="s">
        <v>7</v>
      </c>
      <c r="G16" t="s">
        <v>36</v>
      </c>
    </row>
    <row r="17" spans="6:7" x14ac:dyDescent="0.35">
      <c r="F17">
        <v>91.649745290553199</v>
      </c>
      <c r="G17">
        <f>100-F17</f>
        <v>8.3502547094468014</v>
      </c>
    </row>
  </sheetData>
  <sortState xmlns:xlrd2="http://schemas.microsoft.com/office/spreadsheetml/2017/richdata2" ref="A3:C10">
    <sortCondition ref="A3:A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EF5A-0869-46E9-B6D8-2237B4381CE8}">
  <dimension ref="A1:E18"/>
  <sheetViews>
    <sheetView workbookViewId="0">
      <selection activeCell="E15" sqref="E15"/>
    </sheetView>
  </sheetViews>
  <sheetFormatPr defaultRowHeight="14.5" x14ac:dyDescent="0.35"/>
  <sheetData>
    <row r="1" spans="1:5" x14ac:dyDescent="0.35">
      <c r="A1" t="s">
        <v>16</v>
      </c>
    </row>
    <row r="2" spans="1:5" x14ac:dyDescent="0.35">
      <c r="A2" t="s">
        <v>12</v>
      </c>
      <c r="B2" t="s">
        <v>13</v>
      </c>
    </row>
    <row r="3" spans="1:5" x14ac:dyDescent="0.35">
      <c r="A3">
        <v>0.13636153670411599</v>
      </c>
      <c r="B3">
        <v>7.8688524590163897</v>
      </c>
    </row>
    <row r="4" spans="1:5" x14ac:dyDescent="0.35">
      <c r="A4">
        <v>1.7727249460775301</v>
      </c>
      <c r="B4">
        <v>7.1693995741547099</v>
      </c>
    </row>
    <row r="5" spans="1:5" x14ac:dyDescent="0.35">
      <c r="A5">
        <v>2.8636359664034798</v>
      </c>
      <c r="B5">
        <v>6.6448094102202804</v>
      </c>
    </row>
    <row r="6" spans="1:5" x14ac:dyDescent="0.35">
      <c r="A6">
        <v>4.6363609124809999</v>
      </c>
      <c r="B6">
        <v>5.8142069832223298</v>
      </c>
    </row>
    <row r="7" spans="1:5" x14ac:dyDescent="0.35">
      <c r="A7">
        <v>6.2727243218544197</v>
      </c>
      <c r="B7">
        <v>5.1147540983606499</v>
      </c>
    </row>
    <row r="8" spans="1:5" x14ac:dyDescent="0.35">
      <c r="A8">
        <v>8.04544926793195</v>
      </c>
      <c r="B8">
        <v>4.2841536725153597</v>
      </c>
    </row>
    <row r="9" spans="1:5" x14ac:dyDescent="0.35">
      <c r="A9">
        <v>10.636362160927201</v>
      </c>
      <c r="B9">
        <v>3.1038258036629101</v>
      </c>
    </row>
    <row r="10" spans="1:5" x14ac:dyDescent="0.35">
      <c r="A10">
        <v>12.4090933492357</v>
      </c>
      <c r="B10">
        <v>2.3169405577612698</v>
      </c>
    </row>
    <row r="11" spans="1:5" x14ac:dyDescent="0.35">
      <c r="A11">
        <v>13.7727212007389</v>
      </c>
      <c r="B11">
        <v>1.6174856717469199</v>
      </c>
    </row>
    <row r="12" spans="1:5" x14ac:dyDescent="0.35">
      <c r="A12">
        <v>15.5454523890474</v>
      </c>
      <c r="B12">
        <v>0.83060042584528604</v>
      </c>
      <c r="C12" t="s">
        <v>15</v>
      </c>
    </row>
    <row r="13" spans="1:5" x14ac:dyDescent="0.35">
      <c r="A13">
        <v>18.545456134386001</v>
      </c>
      <c r="B13">
        <v>0.74317006595799096</v>
      </c>
    </row>
    <row r="14" spans="1:5" x14ac:dyDescent="0.35">
      <c r="A14">
        <v>20.0454517648243</v>
      </c>
      <c r="B14">
        <v>0.69945288486168</v>
      </c>
    </row>
    <row r="15" spans="1:5" x14ac:dyDescent="0.35">
      <c r="A15">
        <v>22.3636290999493</v>
      </c>
      <c r="B15">
        <v>0.61202252497438503</v>
      </c>
      <c r="E15">
        <f>100-A12</f>
        <v>84.454547610952602</v>
      </c>
    </row>
    <row r="16" spans="1:5" x14ac:dyDescent="0.35">
      <c r="A16">
        <v>24.681818919536301</v>
      </c>
      <c r="B16">
        <v>0.56830534387807297</v>
      </c>
    </row>
    <row r="17" spans="1:2" x14ac:dyDescent="0.35">
      <c r="A17">
        <v>26.7272731812531</v>
      </c>
      <c r="B17">
        <v>0.52459016393442603</v>
      </c>
    </row>
    <row r="18" spans="1:2" x14ac:dyDescent="0.35">
      <c r="A18">
        <v>29.181818295313199</v>
      </c>
      <c r="B18">
        <v>0.43715780289446698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3745-D59F-4FFE-9E58-A0B079FE39DA}">
  <dimension ref="A1:E22"/>
  <sheetViews>
    <sheetView workbookViewId="0">
      <selection activeCell="G15" sqref="G15"/>
    </sheetView>
  </sheetViews>
  <sheetFormatPr defaultRowHeight="14.5" x14ac:dyDescent="0.35"/>
  <sheetData>
    <row r="1" spans="1:5" x14ac:dyDescent="0.35">
      <c r="A1" t="s">
        <v>17</v>
      </c>
    </row>
    <row r="2" spans="1:5" x14ac:dyDescent="0.35">
      <c r="A2" t="s">
        <v>12</v>
      </c>
      <c r="B2" t="s">
        <v>13</v>
      </c>
    </row>
    <row r="3" spans="1:5" x14ac:dyDescent="0.35">
      <c r="A3">
        <v>2.0454542617167699</v>
      </c>
      <c r="B3">
        <v>7.4725273840813902</v>
      </c>
    </row>
    <row r="4" spans="1:5" x14ac:dyDescent="0.35">
      <c r="A4">
        <v>2.59090665076423</v>
      </c>
      <c r="B4">
        <v>6.9890121609215603</v>
      </c>
    </row>
    <row r="5" spans="1:5" x14ac:dyDescent="0.35">
      <c r="A5">
        <v>3.5454498921550601</v>
      </c>
      <c r="B5">
        <v>6.15384584428487</v>
      </c>
    </row>
    <row r="6" spans="1:5" x14ac:dyDescent="0.35">
      <c r="A6">
        <v>4.2272700601376503</v>
      </c>
      <c r="B6">
        <v>5.5824158356074802</v>
      </c>
    </row>
    <row r="7" spans="1:5" x14ac:dyDescent="0.35">
      <c r="A7">
        <v>4.9090902281202498</v>
      </c>
      <c r="B7">
        <v>5.0549432196888704</v>
      </c>
    </row>
    <row r="8" spans="1:5" x14ac:dyDescent="0.35">
      <c r="A8">
        <v>5.7272719328069597</v>
      </c>
      <c r="B8">
        <v>4.35164908132852</v>
      </c>
    </row>
    <row r="9" spans="1:5" x14ac:dyDescent="0.35">
      <c r="A9">
        <v>6.5454536374936696</v>
      </c>
      <c r="B9">
        <v>3.6923083114302599</v>
      </c>
    </row>
    <row r="10" spans="1:5" x14ac:dyDescent="0.35">
      <c r="A10">
        <v>7.3636353421803804</v>
      </c>
      <c r="B10">
        <v>2.9010993875523399</v>
      </c>
    </row>
    <row r="11" spans="1:5" x14ac:dyDescent="0.35">
      <c r="A11">
        <v>8.1818170468670903</v>
      </c>
      <c r="B11">
        <v>2.2857119861161701</v>
      </c>
    </row>
    <row r="12" spans="1:5" x14ac:dyDescent="0.35">
      <c r="A12">
        <v>8.7272756781455794</v>
      </c>
      <c r="B12">
        <v>1.80219676295634</v>
      </c>
    </row>
    <row r="13" spans="1:5" x14ac:dyDescent="0.35">
      <c r="A13">
        <v>9.6818126773053699</v>
      </c>
      <c r="B13">
        <v>1.0109878390784299</v>
      </c>
      <c r="C13" t="s">
        <v>15</v>
      </c>
    </row>
    <row r="14" spans="1:5" x14ac:dyDescent="0.35">
      <c r="A14">
        <v>10.9090852343354</v>
      </c>
      <c r="B14">
        <v>0.96703044631965496</v>
      </c>
    </row>
    <row r="15" spans="1:5" x14ac:dyDescent="0.35">
      <c r="A15">
        <v>13.2272750539224</v>
      </c>
      <c r="B15">
        <v>0.87911968509878302</v>
      </c>
      <c r="E15">
        <f>100-A13</f>
        <v>90.318187322694627</v>
      </c>
    </row>
    <row r="16" spans="1:5" x14ac:dyDescent="0.35">
      <c r="A16">
        <v>15.818175462455599</v>
      </c>
      <c r="B16">
        <v>0.79120892387791297</v>
      </c>
    </row>
    <row r="17" spans="1:2" x14ac:dyDescent="0.35">
      <c r="A17">
        <v>18.1363652820427</v>
      </c>
      <c r="B17">
        <v>0.70329413836035004</v>
      </c>
    </row>
    <row r="18" spans="1:2" x14ac:dyDescent="0.35">
      <c r="A18">
        <v>21.818182953132901</v>
      </c>
      <c r="B18">
        <v>0.61538337713947899</v>
      </c>
    </row>
    <row r="19" spans="1:2" x14ac:dyDescent="0.35">
      <c r="A19">
        <v>23.727269435914501</v>
      </c>
      <c r="B19">
        <v>0.52747261591860795</v>
      </c>
    </row>
    <row r="20" spans="1:2" x14ac:dyDescent="0.35">
      <c r="A20">
        <v>25.2272650663528</v>
      </c>
      <c r="B20">
        <v>0.48351522315982698</v>
      </c>
    </row>
    <row r="21" spans="1:2" x14ac:dyDescent="0.35">
      <c r="A21">
        <v>27.272719328069599</v>
      </c>
      <c r="B21">
        <v>0.39560446193895599</v>
      </c>
    </row>
    <row r="22" spans="1:2" x14ac:dyDescent="0.35">
      <c r="A22">
        <v>29.181818295313199</v>
      </c>
      <c r="B22">
        <v>0.35164706918017502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RWC_limits_JK</vt:lpstr>
      <vt:lpstr>Cancon</vt:lpstr>
      <vt:lpstr>Erimon</vt:lpstr>
      <vt:lpstr>Prorep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Huw Irlam</dc:creator>
  <cp:lastModifiedBy>Huw Irlam</cp:lastModifiedBy>
  <dcterms:created xsi:type="dcterms:W3CDTF">2024-07-29T18:18:45Z</dcterms:created>
  <dcterms:modified xsi:type="dcterms:W3CDTF">2025-10-12T18:31:57Z</dcterms:modified>
</cp:coreProperties>
</file>