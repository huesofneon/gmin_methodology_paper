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40C" sheetId="1" r:id="rId4"/>
    <sheet state="visible" name="35C" sheetId="2" r:id="rId5"/>
    <sheet state="visible" name="20C" sheetId="3" r:id="rId6"/>
    <sheet state="visible" name="25C" sheetId="4" r:id="rId7"/>
    <sheet state="hidden" name="Data Feed (40C)" sheetId="5" r:id="rId8"/>
    <sheet state="hidden" name="Data Feed (35C)" sheetId="6" r:id="rId9"/>
    <sheet state="hidden" name="Data Feed (20C)" sheetId="7" r:id="rId10"/>
    <sheet state="hidden" name="Data Feed (25C)" sheetId="8" r:id="rId11"/>
  </sheets>
  <definedNames/>
  <calcPr/>
</workbook>
</file>

<file path=xl/sharedStrings.xml><?xml version="1.0" encoding="utf-8"?>
<sst xmlns="http://schemas.openxmlformats.org/spreadsheetml/2006/main" count="404" uniqueCount="22">
  <si>
    <t>GENSPP</t>
  </si>
  <si>
    <t>ID_Code</t>
  </si>
  <si>
    <t>Species</t>
  </si>
  <si>
    <t>Treat</t>
  </si>
  <si>
    <t>Sample_no</t>
  </si>
  <si>
    <t>Date_Time</t>
  </si>
  <si>
    <t>Weight</t>
  </si>
  <si>
    <t>ERIMON</t>
  </si>
  <si>
    <t>PROREP (L)</t>
  </si>
  <si>
    <t>PROREP (S)</t>
  </si>
  <si>
    <t>CANCON</t>
  </si>
  <si>
    <t>Site</t>
  </si>
  <si>
    <t>Sampling Date</t>
  </si>
  <si>
    <t>Sample No.</t>
  </si>
  <si>
    <t>Protea repens</t>
  </si>
  <si>
    <t>40C</t>
  </si>
  <si>
    <t>Jonaskop</t>
  </si>
  <si>
    <t>Erica monsoniana</t>
  </si>
  <si>
    <t>Cannomois congesta</t>
  </si>
  <si>
    <t>35C</t>
  </si>
  <si>
    <t>20C</t>
  </si>
  <si>
    <t>25C</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</si>
</sst>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 mmm h:mm"/>
    <numFmt numFmtId="165" formatCode="d mmm"/>
  </numFmts>
  <fonts count="3">
    <font>
      <sz val="10.0"/>
      <color rgb="FF000000"/>
      <name val="Arial"/>
      <scheme val="minor"/>
    </font>
    <font>
      <color theme="1"/>
      <name val="Arial"/>
      <scheme val="minor"/>
    </font>
    <font>
      <color theme="1"/>
      <name val="Arial"/>
    </font>
  </fonts>
  <fills count="3">
    <fill>
      <patternFill patternType="none"/>
    </fill>
    <fill>
      <patternFill patternType="lightGray"/>
    </fill>
    <fill>
      <patternFill patternType="solid">
        <fgColor rgb="FFFFFFFF"/>
        <bgColor rgb="FFFFFFFF"/>
      </patternFill>
    </fill>
  </fills>
  <borders count="4">
    <border/>
    <border>
      <bottom style="thin">
        <color rgb="FF000000"/>
      </bottom>
    </border>
    <border>
      <left style="thin">
        <color rgb="FF000000"/>
      </left>
      <bottom style="thin">
        <color rgb="FF000000"/>
      </bottom>
    </border>
    <border>
      <left style="thin">
        <color rgb="FF000000"/>
      </left>
    </border>
  </borders>
  <cellStyleXfs count="1">
    <xf borderId="0" fillId="0" fontId="0" numFmtId="0" applyAlignment="1" applyFont="1"/>
  </cellStyleXfs>
  <cellXfs count="25">
    <xf borderId="0" fillId="0" fontId="0" numFmtId="0" xfId="0" applyAlignment="1" applyFont="1">
      <alignment readingOrder="0" shrinkToFit="0" vertical="bottom" wrapText="0"/>
    </xf>
    <xf borderId="1" fillId="0" fontId="1" numFmtId="0" xfId="0" applyAlignment="1" applyBorder="1" applyFont="1">
      <alignment horizontal="left" readingOrder="0"/>
    </xf>
    <xf borderId="1" fillId="0" fontId="1" numFmtId="0" xfId="0" applyAlignment="1" applyBorder="1" applyFont="1">
      <alignment readingOrder="0"/>
    </xf>
    <xf borderId="2" fillId="0" fontId="2" numFmtId="0" xfId="0" applyAlignment="1" applyBorder="1" applyFont="1">
      <alignment readingOrder="0" vertical="bottom"/>
    </xf>
    <xf borderId="1" fillId="0" fontId="2" numFmtId="0" xfId="0" applyAlignment="1" applyBorder="1" applyFont="1">
      <alignment vertical="bottom"/>
    </xf>
    <xf borderId="0" fillId="0" fontId="1" numFmtId="0" xfId="0" applyAlignment="1" applyFont="1">
      <alignment horizontal="left" readingOrder="0"/>
    </xf>
    <xf borderId="0" fillId="2" fontId="0" numFmtId="0" xfId="0" applyFill="1" applyFont="1"/>
    <xf borderId="3" fillId="0" fontId="2" numFmtId="164" xfId="0" applyAlignment="1" applyBorder="1" applyFont="1" applyNumberFormat="1">
      <alignment readingOrder="0" vertical="bottom"/>
    </xf>
    <xf borderId="0" fillId="0" fontId="2" numFmtId="0" xfId="0" applyAlignment="1" applyFont="1">
      <alignment readingOrder="0" vertical="bottom"/>
    </xf>
    <xf borderId="0" fillId="0" fontId="1" numFmtId="0" xfId="0" applyAlignment="1" applyFont="1">
      <alignment horizontal="left"/>
    </xf>
    <xf borderId="0" fillId="0" fontId="1" numFmtId="0" xfId="0" applyAlignment="1" applyFont="1">
      <alignment horizontal="right"/>
    </xf>
    <xf borderId="3" fillId="0" fontId="2" numFmtId="164" xfId="0" applyAlignment="1" applyBorder="1" applyFont="1" applyNumberFormat="1">
      <alignment vertical="bottom"/>
    </xf>
    <xf borderId="1" fillId="0" fontId="1" numFmtId="0" xfId="0" applyAlignment="1" applyBorder="1" applyFont="1">
      <alignment horizontal="left"/>
    </xf>
    <xf borderId="1" fillId="2" fontId="0" numFmtId="0" xfId="0" applyBorder="1" applyFont="1"/>
    <xf borderId="1" fillId="0" fontId="1" numFmtId="0" xfId="0" applyAlignment="1" applyBorder="1" applyFont="1">
      <alignment horizontal="right"/>
    </xf>
    <xf borderId="2" fillId="0" fontId="2" numFmtId="164" xfId="0" applyAlignment="1" applyBorder="1" applyFont="1" applyNumberFormat="1">
      <alignment vertical="bottom"/>
    </xf>
    <xf borderId="1" fillId="0" fontId="2" numFmtId="0" xfId="0" applyAlignment="1" applyBorder="1" applyFont="1">
      <alignment readingOrder="0" vertical="bottom"/>
    </xf>
    <xf borderId="0" fillId="0" fontId="1" numFmtId="0" xfId="0" applyAlignment="1" applyFont="1">
      <alignment readingOrder="0"/>
    </xf>
    <xf borderId="2" fillId="0" fontId="2" numFmtId="164" xfId="0" applyAlignment="1" applyBorder="1" applyFont="1" applyNumberFormat="1">
      <alignment readingOrder="0" vertical="bottom"/>
    </xf>
    <xf borderId="0" fillId="0" fontId="1" numFmtId="0" xfId="0" applyFont="1"/>
    <xf borderId="0" fillId="0" fontId="1" numFmtId="0" xfId="0" applyAlignment="1" applyFont="1">
      <alignment horizontal="right" readingOrder="0"/>
    </xf>
    <xf borderId="0" fillId="0" fontId="1" numFmtId="165" xfId="0" applyAlignment="1" applyFont="1" applyNumberFormat="1">
      <alignment readingOrder="0"/>
    </xf>
    <xf borderId="0" fillId="0" fontId="2" numFmtId="0" xfId="0" applyAlignment="1" applyFont="1">
      <alignment vertical="bottom"/>
    </xf>
    <xf borderId="0" fillId="0" fontId="2" numFmtId="0" xfId="0" applyAlignment="1" applyFont="1">
      <alignment horizontal="right" vertical="bottom"/>
    </xf>
    <xf borderId="0" fillId="0" fontId="2" numFmtId="165" xfId="0" applyAlignment="1" applyFont="1" applyNumberFormat="1">
      <alignment horizontal="righ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2" width="31.88"/>
    <col customWidth="1" min="3" max="3" width="19.75"/>
    <col customWidth="1" min="6" max="6" width="11.25"/>
    <col customWidth="1" min="7" max="7" width="6.13"/>
  </cols>
  <sheetData>
    <row r="1">
      <c r="A1" s="1" t="s">
        <v>0</v>
      </c>
      <c r="B1" s="1" t="s">
        <v>1</v>
      </c>
      <c r="C1" s="2" t="s">
        <v>2</v>
      </c>
      <c r="D1" s="2" t="s">
        <v>3</v>
      </c>
      <c r="E1" s="2" t="s">
        <v>4</v>
      </c>
      <c r="F1" s="3" t="s">
        <v>5</v>
      </c>
      <c r="G1" s="4" t="s">
        <v>6</v>
      </c>
    </row>
    <row r="2">
      <c r="A2" s="5" t="s">
        <v>7</v>
      </c>
      <c r="B2" s="6" t="str">
        <f t="array" ref="B2">IF(ISBLANK(A2),"",IF(A2="PROREP (L)",VLOOKUP(LEFT($A2,6),'Data Feed (40C)'!$A$1:$G$10,2,FALSE),IF(A2="PROREP (S)", INDEX('Data Feed (40C)'!B:B, MATCH(LEFT($A2,6), 'Data Feed (40C)'!$A$1:$A$10, 0) + 1), VLOOKUP($A2,'Data Feed (40C)'!$A$1:$G$10,2,FALSE))))</f>
        <v>JKS240702ERIMON_40C_sample_1</v>
      </c>
      <c r="C2" s="6" t="str">
        <f t="array" ref="C2">IF(ISBLANK(A2),"",IF(A2="PROREP (L)",VLOOKUP(LEFT($A2,6),'Data Feed (40C)'!$A$1:$G$10,3,FALSE),IF(A2="PROREP (S)", INDEX('Data Feed (40C)'!C:C, MATCH(LEFT($A2,6), 'Data Feed (40C)'!$A$1:$A$10, 0) + 1, +1), VLOOKUP($A2,'Data Feed (40C)'!$A$1:$G$10,3,FALSE))))</f>
        <v>Erica monsoniana</v>
      </c>
      <c r="D2" s="6" t="str">
        <f t="array" ref="D2">IF(ISBLANK(A2),"",IF(A2="PROREP (L)",VLOOKUP(LEFT($A2,6),'Data Feed (40C)'!$A$1:$G$10,4,FALSE),IF(A2="PROREP (S)", INDEX('Data Feed (40C)'!D:D, MATCH(LEFT($A2,6), 'Data Feed (40C)'!$A$1:$A$10, 0) + 1, +1), VLOOKUP($A2,'Data Feed (40C)'!$A$1:$G$10,4,FALSE))))</f>
        <v>40C</v>
      </c>
      <c r="E2" s="6">
        <f t="array" ref="E2">IF(ISBLANK(A2),"",IF(A2="PROREP (L)",VLOOKUP(LEFT($A2,6),'Data Feed (40C)'!$A$1:$G$10,7,FALSE),IF(A2="PROREP (S)", INDEX('Data Feed (40C)'!G:G, MATCH(LEFT($A2,6), 'Data Feed (40C)'!$A$1:$A$10, 0) + 1, +1), VLOOKUP($A2,'Data Feed (40C)'!$A$1:$G$10,7,FALSE))))</f>
        <v>1</v>
      </c>
      <c r="F2" s="7">
        <v>45477.520833333336</v>
      </c>
      <c r="G2" s="8">
        <v>1.84</v>
      </c>
    </row>
    <row r="3">
      <c r="A3" s="9" t="str">
        <f t="shared" ref="A3:A7" si="2">A2</f>
        <v>ERIMON</v>
      </c>
      <c r="B3" s="9" t="str">
        <f>IF(ISBLANK(A2),"",LEFT(B2,27)&amp;VALUE(RIGHT(B2,1)+1))</f>
        <v>JKS240702ERIMON_40C_sample_2</v>
      </c>
      <c r="C3" s="6" t="str">
        <f t="shared" ref="C3:D3" si="1">C2</f>
        <v>Erica monsoniana</v>
      </c>
      <c r="D3" s="6" t="str">
        <f t="shared" si="1"/>
        <v>40C</v>
      </c>
      <c r="E3" s="10">
        <f>IF(ISBLANK(A2),"",E2+1)</f>
        <v>2</v>
      </c>
      <c r="F3" s="11">
        <f t="shared" ref="F3:F7" si="4">F2</f>
        <v>45477.52083</v>
      </c>
      <c r="G3" s="8">
        <v>1.695</v>
      </c>
    </row>
    <row r="4">
      <c r="A4" s="9" t="str">
        <f t="shared" si="2"/>
        <v>ERIMON</v>
      </c>
      <c r="B4" s="9" t="str">
        <f>IF(ISBLANK(A2),"",LEFT(B3,27)&amp;VALUE(RIGHT(B3,1)+1))</f>
        <v>JKS240702ERIMON_40C_sample_3</v>
      </c>
      <c r="C4" s="6" t="str">
        <f t="shared" ref="C4:D4" si="3">C3</f>
        <v>Erica monsoniana</v>
      </c>
      <c r="D4" s="6" t="str">
        <f t="shared" si="3"/>
        <v>40C</v>
      </c>
      <c r="E4" s="10">
        <f>IF(ISBLANK(A2),"",E3+1)</f>
        <v>3</v>
      </c>
      <c r="F4" s="11">
        <f t="shared" si="4"/>
        <v>45477.52083</v>
      </c>
      <c r="G4" s="8">
        <v>1.5</v>
      </c>
    </row>
    <row r="5">
      <c r="A5" s="9" t="str">
        <f t="shared" si="2"/>
        <v>ERIMON</v>
      </c>
      <c r="B5" s="9" t="str">
        <f>IF(ISBLANK(A2),"",LEFT(B4,27)&amp;VALUE(RIGHT(B4,1)+1))</f>
        <v>JKS240702ERIMON_40C_sample_4</v>
      </c>
      <c r="C5" s="6" t="str">
        <f t="shared" ref="C5:D5" si="5">C4</f>
        <v>Erica monsoniana</v>
      </c>
      <c r="D5" s="6" t="str">
        <f t="shared" si="5"/>
        <v>40C</v>
      </c>
      <c r="E5" s="10">
        <f>IF(ISBLANK(A2),"",E4+1)</f>
        <v>4</v>
      </c>
      <c r="F5" s="11">
        <f t="shared" si="4"/>
        <v>45477.52083</v>
      </c>
      <c r="G5" s="8">
        <v>3.358</v>
      </c>
    </row>
    <row r="6">
      <c r="A6" s="9" t="str">
        <f t="shared" si="2"/>
        <v>ERIMON</v>
      </c>
      <c r="B6" s="9" t="str">
        <f>IF(ISBLANK(A2),"",LEFT(B5,27)&amp;VALUE(RIGHT(B5,1)+1))</f>
        <v>JKS240702ERIMON_40C_sample_5</v>
      </c>
      <c r="C6" s="6" t="str">
        <f t="shared" ref="C6:D6" si="6">C5</f>
        <v>Erica monsoniana</v>
      </c>
      <c r="D6" s="6" t="str">
        <f t="shared" si="6"/>
        <v>40C</v>
      </c>
      <c r="E6" s="10">
        <f>IF(ISBLANK(A2),"",E5+1)</f>
        <v>5</v>
      </c>
      <c r="F6" s="11">
        <f t="shared" si="4"/>
        <v>45477.52083</v>
      </c>
      <c r="G6" s="8">
        <v>1.177</v>
      </c>
    </row>
    <row r="7">
      <c r="A7" s="12" t="str">
        <f t="shared" si="2"/>
        <v>ERIMON</v>
      </c>
      <c r="B7" s="12" t="str">
        <f>IF(ISBLANK(A2),"",LEFT(B6,27)&amp;VALUE(RIGHT(B6,1)+1))</f>
        <v>JKS240702ERIMON_40C_sample_6</v>
      </c>
      <c r="C7" s="13" t="str">
        <f t="shared" ref="C7:D7" si="7">C6</f>
        <v>Erica monsoniana</v>
      </c>
      <c r="D7" s="13" t="str">
        <f t="shared" si="7"/>
        <v>40C</v>
      </c>
      <c r="E7" s="14">
        <f>IF(ISBLANK(A2),"",E6+1)</f>
        <v>6</v>
      </c>
      <c r="F7" s="15">
        <f t="shared" si="4"/>
        <v>45477.52083</v>
      </c>
      <c r="G7" s="16">
        <v>2.264</v>
      </c>
    </row>
    <row r="8">
      <c r="A8" s="5" t="s">
        <v>8</v>
      </c>
      <c r="B8" s="6" t="str">
        <f t="array" ref="B8">IF(ISBLANK(A8),"",IF(A8="PROREP (L)",VLOOKUP(LEFT($A8,6),'Data Feed (40C)'!$A$1:$G$10,2,FALSE),IF(A8="PROREP (S)", INDEX('Data Feed (40C)'!B:B, MATCH(LEFT($A8,6), 'Data Feed (40C)'!$A$1:$A$10, 0) + 1), VLOOKUP($A8,'Data Feed (40C)'!$A$1:$G$10,2,FALSE))))</f>
        <v>JKL240702PROREP_40C_sample_1</v>
      </c>
      <c r="C8" s="6" t="str">
        <f t="array" ref="C8">IF(ISBLANK(A8),"",IF(A8="PROREP (L)",VLOOKUP(LEFT($A8,6),'Data Feed (40C)'!$A$1:$G$10,3,FALSE),IF(A8="PROREP (S)", INDEX('Data Feed (40C)'!C:C, MATCH(LEFT($A8,6), 'Data Feed (40C)'!$A$1:$A$10, 0) + 1, +1), VLOOKUP($A8,'Data Feed (40C)'!$A$1:$G$10,3,FALSE))))</f>
        <v>Protea repens</v>
      </c>
      <c r="D8" s="6" t="str">
        <f t="array" ref="D8">IF(ISBLANK(A8),"",IF(A8="PROREP (L)",VLOOKUP(LEFT($A8,6),'Data Feed (40C)'!$A$1:$G$10,4,FALSE),IF(A8="PROREP (S)", INDEX('Data Feed (40C)'!D:D, MATCH(LEFT($A8,6), 'Data Feed (40C)'!$A$1:$A$10, 0) + 1, +1), VLOOKUP($A8,'Data Feed (40C)'!$A$1:$G$10,4,FALSE))))</f>
        <v>40C</v>
      </c>
      <c r="E8" s="6">
        <f t="array" ref="E8">IF(ISBLANK(A8),"",IF(A8="PROREP (L)",VLOOKUP(LEFT($A8,6),'Data Feed (40C)'!$A$1:$G$10,7,FALSE),IF(A8="PROREP (S)", INDEX('Data Feed (40C)'!G:G, MATCH(LEFT($A8,6), 'Data Feed (40C)'!$A$1:$A$10, 0) + 1, +1), VLOOKUP($A8,'Data Feed (40C)'!$A$1:$G$10,7,FALSE))))</f>
        <v>1</v>
      </c>
      <c r="F8" s="7">
        <v>45477.57152777778</v>
      </c>
      <c r="G8" s="8">
        <v>0.575</v>
      </c>
    </row>
    <row r="9">
      <c r="A9" s="9" t="str">
        <f t="shared" ref="A9:A13" si="9">A8</f>
        <v>PROREP (L)</v>
      </c>
      <c r="B9" s="9" t="str">
        <f>IF(ISBLANK(A8),"",LEFT(B8,27)&amp;VALUE(RIGHT(B8,1)+1))</f>
        <v>JKL240702PROREP_40C_sample_2</v>
      </c>
      <c r="C9" s="6" t="str">
        <f t="shared" ref="C9:D9" si="8">C8</f>
        <v>Protea repens</v>
      </c>
      <c r="D9" s="6" t="str">
        <f t="shared" si="8"/>
        <v>40C</v>
      </c>
      <c r="E9" s="10">
        <f>IF(ISBLANK(A8),"",E8+1)</f>
        <v>2</v>
      </c>
      <c r="F9" s="11">
        <f t="shared" ref="F9:F13" si="11">F8</f>
        <v>45477.57153</v>
      </c>
      <c r="G9" s="8">
        <v>0.535</v>
      </c>
    </row>
    <row r="10">
      <c r="A10" s="9" t="str">
        <f t="shared" si="9"/>
        <v>PROREP (L)</v>
      </c>
      <c r="B10" s="9" t="str">
        <f>IF(ISBLANK(A8),"",LEFT(B9,27)&amp;VALUE(RIGHT(B9,1)+1))</f>
        <v>JKL240702PROREP_40C_sample_3</v>
      </c>
      <c r="C10" s="6" t="str">
        <f t="shared" ref="C10:D10" si="10">C9</f>
        <v>Protea repens</v>
      </c>
      <c r="D10" s="6" t="str">
        <f t="shared" si="10"/>
        <v>40C</v>
      </c>
      <c r="E10" s="10">
        <f>IF(ISBLANK(A8),"",E9+1)</f>
        <v>3</v>
      </c>
      <c r="F10" s="11">
        <f t="shared" si="11"/>
        <v>45477.57153</v>
      </c>
      <c r="G10" s="8">
        <v>0.624</v>
      </c>
    </row>
    <row r="11">
      <c r="A11" s="9" t="str">
        <f t="shared" si="9"/>
        <v>PROREP (L)</v>
      </c>
      <c r="B11" s="9" t="str">
        <f>IF(ISBLANK(A8),"",LEFT(B10,27)&amp;VALUE(RIGHT(B10,1)+1))</f>
        <v>JKL240702PROREP_40C_sample_4</v>
      </c>
      <c r="C11" s="6" t="str">
        <f t="shared" ref="C11:D11" si="12">C10</f>
        <v>Protea repens</v>
      </c>
      <c r="D11" s="6" t="str">
        <f t="shared" si="12"/>
        <v>40C</v>
      </c>
      <c r="E11" s="10">
        <f>IF(ISBLANK(A8),"",E10+1)</f>
        <v>4</v>
      </c>
      <c r="F11" s="11">
        <f t="shared" si="11"/>
        <v>45477.57153</v>
      </c>
      <c r="G11" s="8">
        <v>0.296</v>
      </c>
    </row>
    <row r="12">
      <c r="A12" s="9" t="str">
        <f t="shared" si="9"/>
        <v>PROREP (L)</v>
      </c>
      <c r="B12" s="9" t="str">
        <f>IF(ISBLANK(A8),"",LEFT(B11,27)&amp;VALUE(RIGHT(B11,1)+1))</f>
        <v>JKL240702PROREP_40C_sample_5</v>
      </c>
      <c r="C12" s="6" t="str">
        <f t="shared" ref="C12:D12" si="13">C11</f>
        <v>Protea repens</v>
      </c>
      <c r="D12" s="6" t="str">
        <f t="shared" si="13"/>
        <v>40C</v>
      </c>
      <c r="E12" s="10">
        <f>IF(ISBLANK(A8),"",E11+1)</f>
        <v>5</v>
      </c>
      <c r="F12" s="11">
        <f t="shared" si="11"/>
        <v>45477.57153</v>
      </c>
      <c r="G12" s="8">
        <v>0.37</v>
      </c>
    </row>
    <row r="13">
      <c r="A13" s="12" t="str">
        <f t="shared" si="9"/>
        <v>PROREP (L)</v>
      </c>
      <c r="B13" s="12" t="str">
        <f>IF(ISBLANK(A8),"",LEFT(B12,27)&amp;VALUE(RIGHT(B12,1)+1))</f>
        <v>JKL240702PROREP_40C_sample_6</v>
      </c>
      <c r="C13" s="13" t="str">
        <f t="shared" ref="C13:D13" si="14">C12</f>
        <v>Protea repens</v>
      </c>
      <c r="D13" s="13" t="str">
        <f t="shared" si="14"/>
        <v>40C</v>
      </c>
      <c r="E13" s="14">
        <f>IF(ISBLANK(A8),"",E12+1)</f>
        <v>6</v>
      </c>
      <c r="F13" s="15">
        <f t="shared" si="11"/>
        <v>45477.57153</v>
      </c>
      <c r="G13" s="16">
        <v>0.486</v>
      </c>
    </row>
    <row r="14">
      <c r="A14" s="5" t="s">
        <v>7</v>
      </c>
      <c r="B14" s="6" t="str">
        <f t="array" ref="B14">IF(ISBLANK(A14),"",IF(A14="PROREP (L)",VLOOKUP(LEFT($A14,6),'Data Feed (40C)'!$A$1:$G$10,2,FALSE),IF(A14="PROREP (S)", INDEX('Data Feed (40C)'!B:B, MATCH(LEFT($A14,6), 'Data Feed (40C)'!$A$1:$A$10, 0) + 1), VLOOKUP($A14,'Data Feed (40C)'!$A$1:$G$10,2,FALSE))))</f>
        <v>JKS240702ERIMON_40C_sample_1</v>
      </c>
      <c r="C14" s="6" t="str">
        <f t="array" ref="C14">IF(ISBLANK(A14),"",IF(A14="PROREP (L)",VLOOKUP(LEFT($A14,6),'Data Feed (40C)'!$A$1:$G$10,3,FALSE),IF(A14="PROREP (S)", INDEX('Data Feed (40C)'!C:C, MATCH(LEFT($A14,6), 'Data Feed (40C)'!$A$1:$A$10, 0) + 1, +1), VLOOKUP($A14,'Data Feed (40C)'!$A$1:$G$10,3,FALSE))))</f>
        <v>Erica monsoniana</v>
      </c>
      <c r="D14" s="6" t="str">
        <f t="array" ref="D14">IF(ISBLANK(A14),"",IF(A14="PROREP (L)",VLOOKUP(LEFT($A14,6),'Data Feed (40C)'!$A$1:$G$10,4,FALSE),IF(A14="PROREP (S)", INDEX('Data Feed (40C)'!D:D, MATCH(LEFT($A14,6), 'Data Feed (40C)'!$A$1:$A$10, 0) + 1, +1), VLOOKUP($A14,'Data Feed (40C)'!$A$1:$G$10,4,FALSE))))</f>
        <v>40C</v>
      </c>
      <c r="E14" s="6">
        <f t="array" ref="E14">IF(ISBLANK(A14),"",IF(A14="PROREP (L)",VLOOKUP(LEFT($A14,6),'Data Feed (40C)'!$A$1:$G$10,7,FALSE),IF(A14="PROREP (S)", INDEX('Data Feed (40C)'!G:G, MATCH(LEFT($A14,6), 'Data Feed (40C)'!$A$1:$A$10, 0) + 1, +1), VLOOKUP($A14,'Data Feed (40C)'!$A$1:$G$10,7,FALSE))))</f>
        <v>1</v>
      </c>
      <c r="F14" s="7">
        <v>45477.572916666664</v>
      </c>
      <c r="G14" s="8">
        <v>1.508</v>
      </c>
    </row>
    <row r="15">
      <c r="A15" s="9" t="str">
        <f t="shared" ref="A15:A19" si="16">A14</f>
        <v>ERIMON</v>
      </c>
      <c r="B15" s="9" t="str">
        <f>IF(ISBLANK(A14),"",LEFT(B14,27)&amp;VALUE(RIGHT(B14,1)+1))</f>
        <v>JKS240702ERIMON_40C_sample_2</v>
      </c>
      <c r="C15" s="6" t="str">
        <f t="shared" ref="C15:D15" si="15">C14</f>
        <v>Erica monsoniana</v>
      </c>
      <c r="D15" s="6" t="str">
        <f t="shared" si="15"/>
        <v>40C</v>
      </c>
      <c r="E15" s="10">
        <f>IF(ISBLANK(A14),"",E14+1)</f>
        <v>2</v>
      </c>
      <c r="F15" s="11">
        <f t="shared" ref="F15:F19" si="18">F14</f>
        <v>45477.57292</v>
      </c>
      <c r="G15" s="8">
        <v>1.374</v>
      </c>
    </row>
    <row r="16">
      <c r="A16" s="9" t="str">
        <f t="shared" si="16"/>
        <v>ERIMON</v>
      </c>
      <c r="B16" s="9" t="str">
        <f>IF(ISBLANK(A14),"",LEFT(B15,27)&amp;VALUE(RIGHT(B15,1)+1))</f>
        <v>JKS240702ERIMON_40C_sample_3</v>
      </c>
      <c r="C16" s="6" t="str">
        <f t="shared" ref="C16:D16" si="17">C15</f>
        <v>Erica monsoniana</v>
      </c>
      <c r="D16" s="6" t="str">
        <f t="shared" si="17"/>
        <v>40C</v>
      </c>
      <c r="E16" s="10">
        <f>IF(ISBLANK(A14),"",E15+1)</f>
        <v>3</v>
      </c>
      <c r="F16" s="11">
        <f t="shared" si="18"/>
        <v>45477.57292</v>
      </c>
      <c r="G16" s="8">
        <v>1.22</v>
      </c>
    </row>
    <row r="17">
      <c r="A17" s="9" t="str">
        <f t="shared" si="16"/>
        <v>ERIMON</v>
      </c>
      <c r="B17" s="9" t="str">
        <f>IF(ISBLANK(A14),"",LEFT(B16,27)&amp;VALUE(RIGHT(B16,1)+1))</f>
        <v>JKS240702ERIMON_40C_sample_4</v>
      </c>
      <c r="C17" s="6" t="str">
        <f t="shared" ref="C17:D17" si="19">C16</f>
        <v>Erica monsoniana</v>
      </c>
      <c r="D17" s="6" t="str">
        <f t="shared" si="19"/>
        <v>40C</v>
      </c>
      <c r="E17" s="10">
        <f>IF(ISBLANK(A14),"",E16+1)</f>
        <v>4</v>
      </c>
      <c r="F17" s="11">
        <f t="shared" si="18"/>
        <v>45477.57292</v>
      </c>
      <c r="G17" s="8">
        <v>2.876</v>
      </c>
    </row>
    <row r="18">
      <c r="A18" s="9" t="str">
        <f t="shared" si="16"/>
        <v>ERIMON</v>
      </c>
      <c r="B18" s="9" t="str">
        <f>IF(ISBLANK(A14),"",LEFT(B17,27)&amp;VALUE(RIGHT(B17,1)+1))</f>
        <v>JKS240702ERIMON_40C_sample_5</v>
      </c>
      <c r="C18" s="6" t="str">
        <f t="shared" ref="C18:D18" si="20">C17</f>
        <v>Erica monsoniana</v>
      </c>
      <c r="D18" s="6" t="str">
        <f t="shared" si="20"/>
        <v>40C</v>
      </c>
      <c r="E18" s="10">
        <f>IF(ISBLANK(A14),"",E17+1)</f>
        <v>5</v>
      </c>
      <c r="F18" s="11">
        <f t="shared" si="18"/>
        <v>45477.57292</v>
      </c>
      <c r="G18" s="8">
        <v>0.993</v>
      </c>
    </row>
    <row r="19">
      <c r="A19" s="12" t="str">
        <f t="shared" si="16"/>
        <v>ERIMON</v>
      </c>
      <c r="B19" s="12" t="str">
        <f>IF(ISBLANK(A14),"",LEFT(B18,27)&amp;VALUE(RIGHT(B18,1)+1))</f>
        <v>JKS240702ERIMON_40C_sample_6</v>
      </c>
      <c r="C19" s="13" t="str">
        <f t="shared" ref="C19:D19" si="21">C18</f>
        <v>Erica monsoniana</v>
      </c>
      <c r="D19" s="13" t="str">
        <f t="shared" si="21"/>
        <v>40C</v>
      </c>
      <c r="E19" s="14">
        <f>IF(ISBLANK(A14),"",E18+1)</f>
        <v>6</v>
      </c>
      <c r="F19" s="15">
        <f t="shared" si="18"/>
        <v>45477.57292</v>
      </c>
      <c r="G19" s="16">
        <v>1.855</v>
      </c>
    </row>
    <row r="20">
      <c r="A20" s="5" t="s">
        <v>9</v>
      </c>
      <c r="B20" s="6" t="str">
        <f t="array" ref="B20">IF(ISBLANK(A20),"",IF(A20="PROREP (L)",VLOOKUP(LEFT($A20,6),'Data Feed (40C)'!$A$1:$G$10,2,FALSE),IF(A20="PROREP (S)", INDEX('Data Feed (40C)'!B:B, MATCH(LEFT($A20,6), 'Data Feed (40C)'!$A$1:$A$10, 0) + 1), VLOOKUP($A20,'Data Feed (40C)'!$A$1:$G$10,2,FALSE))))</f>
        <v>JKS240702PROREP_40C_sample_1</v>
      </c>
      <c r="C20" s="6" t="str">
        <f t="array" ref="C20">IF(ISBLANK(A20),"",IF(A20="PROREP (L)",VLOOKUP(LEFT($A20,6),'Data Feed (40C)'!$A$1:$G$10,3,FALSE),IF(A20="PROREP (S)", INDEX('Data Feed (40C)'!C:C, MATCH(LEFT($A20,6), 'Data Feed (40C)'!$A$1:$A$10, 0) + 1, +1), VLOOKUP($A20,'Data Feed (40C)'!$A$1:$G$10,3,FALSE))))</f>
        <v>Protea repens</v>
      </c>
      <c r="D20" s="6" t="str">
        <f t="array" ref="D20">IF(ISBLANK(A20),"",IF(A20="PROREP (L)",VLOOKUP(LEFT($A20,6),'Data Feed (40C)'!$A$1:$G$10,4,FALSE),IF(A20="PROREP (S)", INDEX('Data Feed (40C)'!D:D, MATCH(LEFT($A20,6), 'Data Feed (40C)'!$A$1:$A$10, 0) + 1, +1), VLOOKUP($A20,'Data Feed (40C)'!$A$1:$G$10,4,FALSE))))</f>
        <v>40C</v>
      </c>
      <c r="E20" s="6">
        <f t="array" ref="E20">IF(ISBLANK(A20),"",IF(A20="PROREP (L)",VLOOKUP(LEFT($A20,6),'Data Feed (40C)'!$A$1:$G$10,7,FALSE),IF(A20="PROREP (S)", INDEX('Data Feed (40C)'!G:G, MATCH(LEFT($A20,6), 'Data Feed (40C)'!$A$1:$A$10, 0) + 1, +1), VLOOKUP($A20,'Data Feed (40C)'!$A$1:$G$10,7,FALSE))))</f>
        <v>1</v>
      </c>
      <c r="F20" s="7">
        <v>45477.60902777778</v>
      </c>
      <c r="G20" s="8">
        <v>7.292</v>
      </c>
    </row>
    <row r="21">
      <c r="A21" s="9" t="str">
        <f t="shared" ref="A21:A25" si="23">A20</f>
        <v>PROREP (S)</v>
      </c>
      <c r="B21" s="9" t="str">
        <f>IF(ISBLANK(A20),"",LEFT(B20,27)&amp;VALUE(RIGHT(B20,1)+1))</f>
        <v>JKS240702PROREP_40C_sample_2</v>
      </c>
      <c r="C21" s="6" t="str">
        <f t="shared" ref="C21:D21" si="22">C20</f>
        <v>Protea repens</v>
      </c>
      <c r="D21" s="6" t="str">
        <f t="shared" si="22"/>
        <v>40C</v>
      </c>
      <c r="E21" s="10">
        <f>IF(ISBLANK(A20),"",E20+1)</f>
        <v>2</v>
      </c>
      <c r="F21" s="11">
        <f t="shared" ref="F21:F25" si="25">F20</f>
        <v>45477.60903</v>
      </c>
      <c r="G21" s="8">
        <v>11.855</v>
      </c>
    </row>
    <row r="22">
      <c r="A22" s="9" t="str">
        <f t="shared" si="23"/>
        <v>PROREP (S)</v>
      </c>
      <c r="B22" s="9" t="str">
        <f>IF(ISBLANK(A20),"",LEFT(B21,27)&amp;VALUE(RIGHT(B21,1)+1))</f>
        <v>JKS240702PROREP_40C_sample_3</v>
      </c>
      <c r="C22" s="6" t="str">
        <f t="shared" ref="C22:D22" si="24">C21</f>
        <v>Protea repens</v>
      </c>
      <c r="D22" s="6" t="str">
        <f t="shared" si="24"/>
        <v>40C</v>
      </c>
      <c r="E22" s="10">
        <f>IF(ISBLANK(A20),"",E21+1)</f>
        <v>3</v>
      </c>
      <c r="F22" s="11">
        <f t="shared" si="25"/>
        <v>45477.60903</v>
      </c>
      <c r="G22" s="8">
        <v>4.825</v>
      </c>
    </row>
    <row r="23">
      <c r="A23" s="9" t="str">
        <f t="shared" si="23"/>
        <v>PROREP (S)</v>
      </c>
      <c r="B23" s="9" t="str">
        <f>IF(ISBLANK(A20),"",LEFT(B22,27)&amp;VALUE(RIGHT(B22,1)+1))</f>
        <v>JKS240702PROREP_40C_sample_4</v>
      </c>
      <c r="C23" s="6" t="str">
        <f t="shared" ref="C23:D23" si="26">C22</f>
        <v>Protea repens</v>
      </c>
      <c r="D23" s="6" t="str">
        <f t="shared" si="26"/>
        <v>40C</v>
      </c>
      <c r="E23" s="10">
        <f>IF(ISBLANK(A20),"",E22+1)</f>
        <v>4</v>
      </c>
      <c r="F23" s="11">
        <f t="shared" si="25"/>
        <v>45477.60903</v>
      </c>
      <c r="G23" s="8">
        <v>1.779</v>
      </c>
    </row>
    <row r="24">
      <c r="A24" s="9" t="str">
        <f t="shared" si="23"/>
        <v>PROREP (S)</v>
      </c>
      <c r="B24" s="9" t="str">
        <f>IF(ISBLANK(A20),"",LEFT(B23,27)&amp;VALUE(RIGHT(B23,1)+1))</f>
        <v>JKS240702PROREP_40C_sample_5</v>
      </c>
      <c r="C24" s="6" t="str">
        <f t="shared" ref="C24:D24" si="27">C23</f>
        <v>Protea repens</v>
      </c>
      <c r="D24" s="6" t="str">
        <f t="shared" si="27"/>
        <v>40C</v>
      </c>
      <c r="E24" s="10">
        <f>IF(ISBLANK(A20),"",E23+1)</f>
        <v>5</v>
      </c>
      <c r="F24" s="11">
        <f t="shared" si="25"/>
        <v>45477.60903</v>
      </c>
      <c r="G24" s="8">
        <v>7.849</v>
      </c>
    </row>
    <row r="25">
      <c r="A25" s="12" t="str">
        <f t="shared" si="23"/>
        <v>PROREP (S)</v>
      </c>
      <c r="B25" s="12" t="str">
        <f>IF(ISBLANK(A20),"",LEFT(B24,27)&amp;VALUE(RIGHT(B24,1)+1))</f>
        <v>JKS240702PROREP_40C_sample_6</v>
      </c>
      <c r="C25" s="13" t="str">
        <f t="shared" ref="C25:D25" si="28">C24</f>
        <v>Protea repens</v>
      </c>
      <c r="D25" s="13" t="str">
        <f t="shared" si="28"/>
        <v>40C</v>
      </c>
      <c r="E25" s="14">
        <f>IF(ISBLANK(A20),"",E24+1)</f>
        <v>6</v>
      </c>
      <c r="F25" s="15">
        <f t="shared" si="25"/>
        <v>45477.60903</v>
      </c>
      <c r="G25" s="16">
        <v>10.937</v>
      </c>
    </row>
    <row r="26">
      <c r="A26" s="5" t="s">
        <v>7</v>
      </c>
      <c r="B26" s="6" t="str">
        <f t="array" ref="B26">IF(ISBLANK(A26),"",IF(A26="PROREP (L)",VLOOKUP(LEFT($A26,6),'Data Feed (40C)'!$A$1:$G$10,2,FALSE),IF(A26="PROREP (S)", INDEX('Data Feed (40C)'!B:B, MATCH(LEFT($A26,6), 'Data Feed (40C)'!$A$1:$A$10, 0) + 1), VLOOKUP($A26,'Data Feed (40C)'!$A$1:$G$10,2,FALSE))))</f>
        <v>JKS240702ERIMON_40C_sample_1</v>
      </c>
      <c r="C26" s="6" t="str">
        <f t="array" ref="C26">IF(ISBLANK(A26),"",IF(A26="PROREP (L)",VLOOKUP(LEFT($A26,6),'Data Feed (40C)'!$A$1:$G$10,3,FALSE),IF(A26="PROREP (S)", INDEX('Data Feed (40C)'!C:C, MATCH(LEFT($A26,6), 'Data Feed (40C)'!$A$1:$A$10, 0) + 1, +1), VLOOKUP($A26,'Data Feed (40C)'!$A$1:$G$10,3,FALSE))))</f>
        <v>Erica monsoniana</v>
      </c>
      <c r="D26" s="6" t="str">
        <f t="array" ref="D26">IF(ISBLANK(A26),"",IF(A26="PROREP (L)",VLOOKUP(LEFT($A26,6),'Data Feed (40C)'!$A$1:$G$10,4,FALSE),IF(A26="PROREP (S)", INDEX('Data Feed (40C)'!D:D, MATCH(LEFT($A26,6), 'Data Feed (40C)'!$A$1:$A$10, 0) + 1, +1), VLOOKUP($A26,'Data Feed (40C)'!$A$1:$G$10,4,FALSE))))</f>
        <v>40C</v>
      </c>
      <c r="E26" s="6">
        <f t="array" ref="E26">IF(ISBLANK(A26),"",IF(A26="PROREP (L)",VLOOKUP(LEFT($A26,6),'Data Feed (40C)'!$A$1:$G$10,7,FALSE),IF(A26="PROREP (S)", INDEX('Data Feed (40C)'!G:G, MATCH(LEFT($A26,6), 'Data Feed (40C)'!$A$1:$A$10, 0) + 1, +1), VLOOKUP($A26,'Data Feed (40C)'!$A$1:$G$10,7,FALSE))))</f>
        <v>1</v>
      </c>
      <c r="F26" s="7">
        <v>45477.61041666667</v>
      </c>
      <c r="G26" s="8">
        <v>1.336</v>
      </c>
    </row>
    <row r="27">
      <c r="A27" s="9" t="str">
        <f t="shared" ref="A27:A31" si="30">A26</f>
        <v>ERIMON</v>
      </c>
      <c r="B27" s="9" t="str">
        <f>IF(ISBLANK(A26),"",LEFT(B26,27)&amp;VALUE(RIGHT(B26,1)+1))</f>
        <v>JKS240702ERIMON_40C_sample_2</v>
      </c>
      <c r="C27" s="6" t="str">
        <f t="shared" ref="C27:D27" si="29">C26</f>
        <v>Erica monsoniana</v>
      </c>
      <c r="D27" s="6" t="str">
        <f t="shared" si="29"/>
        <v>40C</v>
      </c>
      <c r="E27" s="10">
        <f>IF(ISBLANK(A26),"",E26+1)</f>
        <v>2</v>
      </c>
      <c r="F27" s="11">
        <f t="shared" ref="F27:F31" si="32">F26</f>
        <v>45477.61042</v>
      </c>
      <c r="G27" s="8">
        <v>1.2</v>
      </c>
    </row>
    <row r="28">
      <c r="A28" s="9" t="str">
        <f t="shared" si="30"/>
        <v>ERIMON</v>
      </c>
      <c r="B28" s="9" t="str">
        <f>IF(ISBLANK(A26),"",LEFT(B27,27)&amp;VALUE(RIGHT(B27,1)+1))</f>
        <v>JKS240702ERIMON_40C_sample_3</v>
      </c>
      <c r="C28" s="6" t="str">
        <f t="shared" ref="C28:D28" si="31">C27</f>
        <v>Erica monsoniana</v>
      </c>
      <c r="D28" s="6" t="str">
        <f t="shared" si="31"/>
        <v>40C</v>
      </c>
      <c r="E28" s="10">
        <f>IF(ISBLANK(A26),"",E27+1)</f>
        <v>3</v>
      </c>
      <c r="F28" s="11">
        <f t="shared" si="32"/>
        <v>45477.61042</v>
      </c>
      <c r="G28" s="8">
        <v>1.07</v>
      </c>
    </row>
    <row r="29">
      <c r="A29" s="9" t="str">
        <f t="shared" si="30"/>
        <v>ERIMON</v>
      </c>
      <c r="B29" s="9" t="str">
        <f>IF(ISBLANK(A26),"",LEFT(B28,27)&amp;VALUE(RIGHT(B28,1)+1))</f>
        <v>JKS240702ERIMON_40C_sample_4</v>
      </c>
      <c r="C29" s="6" t="str">
        <f t="shared" ref="C29:D29" si="33">C28</f>
        <v>Erica monsoniana</v>
      </c>
      <c r="D29" s="6" t="str">
        <f t="shared" si="33"/>
        <v>40C</v>
      </c>
      <c r="E29" s="10">
        <f>IF(ISBLANK(A26),"",E28+1)</f>
        <v>4</v>
      </c>
      <c r="F29" s="11">
        <f t="shared" si="32"/>
        <v>45477.61042</v>
      </c>
      <c r="G29" s="8">
        <v>2.598</v>
      </c>
    </row>
    <row r="30">
      <c r="A30" s="9" t="str">
        <f t="shared" si="30"/>
        <v>ERIMON</v>
      </c>
      <c r="B30" s="9" t="str">
        <f>IF(ISBLANK(A26),"",LEFT(B29,27)&amp;VALUE(RIGHT(B29,1)+1))</f>
        <v>JKS240702ERIMON_40C_sample_5</v>
      </c>
      <c r="C30" s="6" t="str">
        <f t="shared" ref="C30:D30" si="34">C29</f>
        <v>Erica monsoniana</v>
      </c>
      <c r="D30" s="6" t="str">
        <f t="shared" si="34"/>
        <v>40C</v>
      </c>
      <c r="E30" s="10">
        <f>IF(ISBLANK(A26),"",E29+1)</f>
        <v>5</v>
      </c>
      <c r="F30" s="11">
        <f t="shared" si="32"/>
        <v>45477.61042</v>
      </c>
      <c r="G30" s="8">
        <v>0.892</v>
      </c>
    </row>
    <row r="31">
      <c r="A31" s="12" t="str">
        <f t="shared" si="30"/>
        <v>ERIMON</v>
      </c>
      <c r="B31" s="12" t="str">
        <f>IF(ISBLANK(A26),"",LEFT(B30,27)&amp;VALUE(RIGHT(B30,1)+1))</f>
        <v>JKS240702ERIMON_40C_sample_6</v>
      </c>
      <c r="C31" s="13" t="str">
        <f t="shared" ref="C31:D31" si="35">C30</f>
        <v>Erica monsoniana</v>
      </c>
      <c r="D31" s="13" t="str">
        <f t="shared" si="35"/>
        <v>40C</v>
      </c>
      <c r="E31" s="14">
        <f>IF(ISBLANK(A26),"",E30+1)</f>
        <v>6</v>
      </c>
      <c r="F31" s="15">
        <f t="shared" si="32"/>
        <v>45477.61042</v>
      </c>
      <c r="G31" s="16">
        <v>1.608</v>
      </c>
    </row>
    <row r="32">
      <c r="A32" s="5" t="s">
        <v>8</v>
      </c>
      <c r="B32" s="6" t="str">
        <f t="array" ref="B32">IF(ISBLANK(A32),"",IF(A32="PROREP (L)",VLOOKUP(LEFT($A32,6),'Data Feed (40C)'!$A$1:$G$10,2,FALSE),IF(A32="PROREP (S)", INDEX('Data Feed (40C)'!B:B, MATCH(LEFT($A32,6), 'Data Feed (40C)'!$A$1:$A$10, 0) + 1), VLOOKUP($A32,'Data Feed (40C)'!$A$1:$G$10,2,FALSE))))</f>
        <v>JKL240702PROREP_40C_sample_1</v>
      </c>
      <c r="C32" s="6" t="str">
        <f t="array" ref="C32">IF(ISBLANK(A32),"",IF(A32="PROREP (L)",VLOOKUP(LEFT($A32,6),'Data Feed (40C)'!$A$1:$G$10,3,FALSE),IF(A32="PROREP (S)", INDEX('Data Feed (40C)'!C:C, MATCH(LEFT($A32,6), 'Data Feed (40C)'!$A$1:$A$10, 0) + 1, +1), VLOOKUP($A32,'Data Feed (40C)'!$A$1:$G$10,3,FALSE))))</f>
        <v>Protea repens</v>
      </c>
      <c r="D32" s="6" t="str">
        <f t="array" ref="D32">IF(ISBLANK(A32),"",IF(A32="PROREP (L)",VLOOKUP(LEFT($A32,6),'Data Feed (40C)'!$A$1:$G$10,4,FALSE),IF(A32="PROREP (S)", INDEX('Data Feed (40C)'!D:D, MATCH(LEFT($A32,6), 'Data Feed (40C)'!$A$1:$A$10, 0) + 1, +1), VLOOKUP($A32,'Data Feed (40C)'!$A$1:$G$10,4,FALSE))))</f>
        <v>40C</v>
      </c>
      <c r="E32" s="6">
        <f t="array" ref="E32">IF(ISBLANK(A32),"",IF(A32="PROREP (L)",VLOOKUP(LEFT($A32,6),'Data Feed (40C)'!$A$1:$G$10,7,FALSE),IF(A32="PROREP (S)", INDEX('Data Feed (40C)'!G:G, MATCH(LEFT($A32,6), 'Data Feed (40C)'!$A$1:$A$10, 0) + 1, +1), VLOOKUP($A32,'Data Feed (40C)'!$A$1:$G$10,7,FALSE))))</f>
        <v>1</v>
      </c>
      <c r="F32" s="7">
        <v>45477.611805555556</v>
      </c>
      <c r="G32" s="8">
        <v>0.564</v>
      </c>
    </row>
    <row r="33">
      <c r="A33" s="9" t="str">
        <f t="shared" ref="A33:A37" si="37">A32</f>
        <v>PROREP (L)</v>
      </c>
      <c r="B33" s="9" t="str">
        <f>IF(ISBLANK(A32),"",LEFT(B32,27)&amp;VALUE(RIGHT(B32,1)+1))</f>
        <v>JKL240702PROREP_40C_sample_2</v>
      </c>
      <c r="C33" s="6" t="str">
        <f t="shared" ref="C33:D33" si="36">C32</f>
        <v>Protea repens</v>
      </c>
      <c r="D33" s="6" t="str">
        <f t="shared" si="36"/>
        <v>40C</v>
      </c>
      <c r="E33" s="10">
        <f>IF(ISBLANK(A32),"",E32+1)</f>
        <v>2</v>
      </c>
      <c r="F33" s="11">
        <f t="shared" ref="F33:F37" si="39">F32</f>
        <v>45477.61181</v>
      </c>
      <c r="G33" s="8">
        <v>0.491</v>
      </c>
    </row>
    <row r="34">
      <c r="A34" s="9" t="str">
        <f t="shared" si="37"/>
        <v>PROREP (L)</v>
      </c>
      <c r="B34" s="9" t="str">
        <f>IF(ISBLANK(A32),"",LEFT(B33,27)&amp;VALUE(RIGHT(B33,1)+1))</f>
        <v>JKL240702PROREP_40C_sample_3</v>
      </c>
      <c r="C34" s="6" t="str">
        <f t="shared" ref="C34:D34" si="38">C33</f>
        <v>Protea repens</v>
      </c>
      <c r="D34" s="6" t="str">
        <f t="shared" si="38"/>
        <v>40C</v>
      </c>
      <c r="E34" s="10">
        <f>IF(ISBLANK(A32),"",E33+1)</f>
        <v>3</v>
      </c>
      <c r="F34" s="11">
        <f t="shared" si="39"/>
        <v>45477.61181</v>
      </c>
      <c r="G34" s="8">
        <v>0.605</v>
      </c>
    </row>
    <row r="35">
      <c r="A35" s="9" t="str">
        <f t="shared" si="37"/>
        <v>PROREP (L)</v>
      </c>
      <c r="B35" s="9" t="str">
        <f>IF(ISBLANK(A32),"",LEFT(B34,27)&amp;VALUE(RIGHT(B34,1)+1))</f>
        <v>JKL240702PROREP_40C_sample_4</v>
      </c>
      <c r="C35" s="6" t="str">
        <f t="shared" ref="C35:D35" si="40">C34</f>
        <v>Protea repens</v>
      </c>
      <c r="D35" s="6" t="str">
        <f t="shared" si="40"/>
        <v>40C</v>
      </c>
      <c r="E35" s="10">
        <f>IF(ISBLANK(A32),"",E34+1)</f>
        <v>4</v>
      </c>
      <c r="F35" s="11">
        <f t="shared" si="39"/>
        <v>45477.61181</v>
      </c>
      <c r="G35" s="8">
        <v>0.27</v>
      </c>
    </row>
    <row r="36">
      <c r="A36" s="9" t="str">
        <f t="shared" si="37"/>
        <v>PROREP (L)</v>
      </c>
      <c r="B36" s="9" t="str">
        <f>IF(ISBLANK(A32),"",LEFT(B35,27)&amp;VALUE(RIGHT(B35,1)+1))</f>
        <v>JKL240702PROREP_40C_sample_5</v>
      </c>
      <c r="C36" s="6" t="str">
        <f t="shared" ref="C36:D36" si="41">C35</f>
        <v>Protea repens</v>
      </c>
      <c r="D36" s="6" t="str">
        <f t="shared" si="41"/>
        <v>40C</v>
      </c>
      <c r="E36" s="10">
        <f>IF(ISBLANK(A32),"",E35+1)</f>
        <v>5</v>
      </c>
      <c r="F36" s="11">
        <f t="shared" si="39"/>
        <v>45477.61181</v>
      </c>
      <c r="G36" s="8">
        <v>0.341</v>
      </c>
    </row>
    <row r="37">
      <c r="A37" s="12" t="str">
        <f t="shared" si="37"/>
        <v>PROREP (L)</v>
      </c>
      <c r="B37" s="12" t="str">
        <f>IF(ISBLANK(A32),"",LEFT(B36,27)&amp;VALUE(RIGHT(B36,1)+1))</f>
        <v>JKL240702PROREP_40C_sample_6</v>
      </c>
      <c r="C37" s="13" t="str">
        <f t="shared" ref="C37:D37" si="42">C36</f>
        <v>Protea repens</v>
      </c>
      <c r="D37" s="13" t="str">
        <f t="shared" si="42"/>
        <v>40C</v>
      </c>
      <c r="E37" s="14">
        <f>IF(ISBLANK(A32),"",E36+1)</f>
        <v>6</v>
      </c>
      <c r="F37" s="15">
        <f t="shared" si="39"/>
        <v>45477.61181</v>
      </c>
      <c r="G37" s="16">
        <v>0.431</v>
      </c>
    </row>
    <row r="38">
      <c r="A38" s="5" t="s">
        <v>7</v>
      </c>
      <c r="B38" s="6" t="str">
        <f t="array" ref="B38">IF(ISBLANK(A38),"",IF(A38="PROREP (L)",VLOOKUP(LEFT($A38,6),'Data Feed (40C)'!$A$1:$G$10,2,FALSE),IF(A38="PROREP (S)", INDEX('Data Feed (40C)'!B:B, MATCH(LEFT($A38,6), 'Data Feed (40C)'!$A$1:$A$10, 0) + 1), VLOOKUP($A38,'Data Feed (40C)'!$A$1:$G$10,2,FALSE))))</f>
        <v>JKS240702ERIMON_40C_sample_1</v>
      </c>
      <c r="C38" s="6" t="str">
        <f t="array" ref="C38">IF(ISBLANK(A38),"",IF(A38="PROREP (L)",VLOOKUP(LEFT($A38,6),'Data Feed (40C)'!$A$1:$G$10,3,FALSE),IF(A38="PROREP (S)", INDEX('Data Feed (40C)'!C:C, MATCH(LEFT($A38,6), 'Data Feed (40C)'!$A$1:$A$10, 0) + 1, +1), VLOOKUP($A38,'Data Feed (40C)'!$A$1:$G$10,3,FALSE))))</f>
        <v>Erica monsoniana</v>
      </c>
      <c r="D38" s="6" t="str">
        <f t="array" ref="D38">IF(ISBLANK(A38),"",IF(A38="PROREP (L)",VLOOKUP(LEFT($A38,6),'Data Feed (40C)'!$A$1:$G$10,4,FALSE),IF(A38="PROREP (S)", INDEX('Data Feed (40C)'!D:D, MATCH(LEFT($A38,6), 'Data Feed (40C)'!$A$1:$A$10, 0) + 1, +1), VLOOKUP($A38,'Data Feed (40C)'!$A$1:$G$10,4,FALSE))))</f>
        <v>40C</v>
      </c>
      <c r="E38" s="6">
        <f t="array" ref="E38">IF(ISBLANK(A38),"",IF(A38="PROREP (L)",VLOOKUP(LEFT($A38,6),'Data Feed (40C)'!$A$1:$G$10,7,FALSE),IF(A38="PROREP (S)", INDEX('Data Feed (40C)'!G:G, MATCH(LEFT($A38,6), 'Data Feed (40C)'!$A$1:$A$10, 0) + 1, +1), VLOOKUP($A38,'Data Feed (40C)'!$A$1:$G$10,7,FALSE))))</f>
        <v>1</v>
      </c>
      <c r="F38" s="7">
        <v>45477.65625</v>
      </c>
      <c r="G38" s="8">
        <v>1.166</v>
      </c>
    </row>
    <row r="39">
      <c r="A39" s="9" t="str">
        <f t="shared" ref="A39:A43" si="44">A38</f>
        <v>ERIMON</v>
      </c>
      <c r="B39" s="9" t="str">
        <f>IF(ISBLANK(A38),"",LEFT(B38,27)&amp;VALUE(RIGHT(B38,1)+1))</f>
        <v>JKS240702ERIMON_40C_sample_2</v>
      </c>
      <c r="C39" s="6" t="str">
        <f t="shared" ref="C39:D39" si="43">C38</f>
        <v>Erica monsoniana</v>
      </c>
      <c r="D39" s="6" t="str">
        <f t="shared" si="43"/>
        <v>40C</v>
      </c>
      <c r="E39" s="10">
        <f>IF(ISBLANK(A38),"",E38+1)</f>
        <v>2</v>
      </c>
      <c r="F39" s="11">
        <f t="shared" ref="F39:F43" si="46">F38</f>
        <v>45477.65625</v>
      </c>
      <c r="G39" s="8">
        <v>1.068</v>
      </c>
    </row>
    <row r="40">
      <c r="A40" s="9" t="str">
        <f t="shared" si="44"/>
        <v>ERIMON</v>
      </c>
      <c r="B40" s="9" t="str">
        <f>IF(ISBLANK(A38),"",LEFT(B39,27)&amp;VALUE(RIGHT(B39,1)+1))</f>
        <v>JKS240702ERIMON_40C_sample_3</v>
      </c>
      <c r="C40" s="6" t="str">
        <f t="shared" ref="C40:D40" si="45">C39</f>
        <v>Erica monsoniana</v>
      </c>
      <c r="D40" s="6" t="str">
        <f t="shared" si="45"/>
        <v>40C</v>
      </c>
      <c r="E40" s="10">
        <f>IF(ISBLANK(A38),"",E39+1)</f>
        <v>3</v>
      </c>
      <c r="F40" s="11">
        <f t="shared" si="46"/>
        <v>45477.65625</v>
      </c>
      <c r="G40" s="8">
        <v>0.94</v>
      </c>
    </row>
    <row r="41">
      <c r="A41" s="9" t="str">
        <f t="shared" si="44"/>
        <v>ERIMON</v>
      </c>
      <c r="B41" s="9" t="str">
        <f>IF(ISBLANK(A38),"",LEFT(B40,27)&amp;VALUE(RIGHT(B40,1)+1))</f>
        <v>JKS240702ERIMON_40C_sample_4</v>
      </c>
      <c r="C41" s="6" t="str">
        <f t="shared" ref="C41:D41" si="47">C40</f>
        <v>Erica monsoniana</v>
      </c>
      <c r="D41" s="6" t="str">
        <f t="shared" si="47"/>
        <v>40C</v>
      </c>
      <c r="E41" s="10">
        <f>IF(ISBLANK(A38),"",E40+1)</f>
        <v>4</v>
      </c>
      <c r="F41" s="11">
        <f t="shared" si="46"/>
        <v>45477.65625</v>
      </c>
      <c r="G41" s="8">
        <v>2.322</v>
      </c>
    </row>
    <row r="42">
      <c r="A42" s="9" t="str">
        <f t="shared" si="44"/>
        <v>ERIMON</v>
      </c>
      <c r="B42" s="9" t="str">
        <f>IF(ISBLANK(A38),"",LEFT(B41,27)&amp;VALUE(RIGHT(B41,1)+1))</f>
        <v>JKS240702ERIMON_40C_sample_5</v>
      </c>
      <c r="C42" s="6" t="str">
        <f t="shared" ref="C42:D42" si="48">C41</f>
        <v>Erica monsoniana</v>
      </c>
      <c r="D42" s="6" t="str">
        <f t="shared" si="48"/>
        <v>40C</v>
      </c>
      <c r="E42" s="10">
        <f>IF(ISBLANK(A38),"",E41+1)</f>
        <v>5</v>
      </c>
      <c r="F42" s="11">
        <f t="shared" si="46"/>
        <v>45477.65625</v>
      </c>
      <c r="G42" s="8">
        <v>0.808</v>
      </c>
    </row>
    <row r="43">
      <c r="A43" s="12" t="str">
        <f t="shared" si="44"/>
        <v>ERIMON</v>
      </c>
      <c r="B43" s="12" t="str">
        <f>IF(ISBLANK(A38),"",LEFT(B42,27)&amp;VALUE(RIGHT(B42,1)+1))</f>
        <v>JKS240702ERIMON_40C_sample_6</v>
      </c>
      <c r="C43" s="13" t="str">
        <f t="shared" ref="C43:D43" si="49">C42</f>
        <v>Erica monsoniana</v>
      </c>
      <c r="D43" s="13" t="str">
        <f t="shared" si="49"/>
        <v>40C</v>
      </c>
      <c r="E43" s="14">
        <f>IF(ISBLANK(A38),"",E42+1)</f>
        <v>6</v>
      </c>
      <c r="F43" s="15">
        <f t="shared" si="46"/>
        <v>45477.65625</v>
      </c>
      <c r="G43" s="16">
        <v>1.366</v>
      </c>
    </row>
    <row r="44">
      <c r="A44" s="5" t="s">
        <v>8</v>
      </c>
      <c r="B44" s="6" t="str">
        <f t="array" ref="B44">IF(ISBLANK(A44),"",IF(A44="PROREP (L)",VLOOKUP(LEFT($A44,6),'Data Feed (40C)'!$A$1:$G$10,2,FALSE),IF(A44="PROREP (S)", INDEX('Data Feed (40C)'!B:B, MATCH(LEFT($A44,6), 'Data Feed (40C)'!$A$1:$A$10, 0) + 1), VLOOKUP($A44,'Data Feed (40C)'!$A$1:$G$10,2,FALSE))))</f>
        <v>JKL240702PROREP_40C_sample_1</v>
      </c>
      <c r="C44" s="6" t="str">
        <f t="array" ref="C44">IF(ISBLANK(A44),"",IF(A44="PROREP (L)",VLOOKUP(LEFT($A44,6),'Data Feed (40C)'!$A$1:$G$10,3,FALSE),IF(A44="PROREP (S)", INDEX('Data Feed (40C)'!C:C, MATCH(LEFT($A44,6), 'Data Feed (40C)'!$A$1:$A$10, 0) + 1, +1), VLOOKUP($A44,'Data Feed (40C)'!$A$1:$G$10,3,FALSE))))</f>
        <v>Protea repens</v>
      </c>
      <c r="D44" s="6" t="str">
        <f t="array" ref="D44">IF(ISBLANK(A44),"",IF(A44="PROREP (L)",VLOOKUP(LEFT($A44,6),'Data Feed (40C)'!$A$1:$G$10,4,FALSE),IF(A44="PROREP (S)", INDEX('Data Feed (40C)'!D:D, MATCH(LEFT($A44,6), 'Data Feed (40C)'!$A$1:$A$10, 0) + 1, +1), VLOOKUP($A44,'Data Feed (40C)'!$A$1:$G$10,4,FALSE))))</f>
        <v>40C</v>
      </c>
      <c r="E44" s="6">
        <f t="array" ref="E44">IF(ISBLANK(A44),"",IF(A44="PROREP (L)",VLOOKUP(LEFT($A44,6),'Data Feed (40C)'!$A$1:$G$10,7,FALSE),IF(A44="PROREP (S)", INDEX('Data Feed (40C)'!G:G, MATCH(LEFT($A44,6), 'Data Feed (40C)'!$A$1:$A$10, 0) + 1, +1), VLOOKUP($A44,'Data Feed (40C)'!$A$1:$G$10,7,FALSE))))</f>
        <v>1</v>
      </c>
      <c r="F44" s="7">
        <v>45477.657638888886</v>
      </c>
      <c r="G44" s="8">
        <v>0.524</v>
      </c>
    </row>
    <row r="45">
      <c r="A45" s="9" t="str">
        <f t="shared" ref="A45:A49" si="51">A44</f>
        <v>PROREP (L)</v>
      </c>
      <c r="B45" s="9" t="str">
        <f>IF(ISBLANK(A44),"",LEFT(B44,27)&amp;VALUE(RIGHT(B44,1)+1))</f>
        <v>JKL240702PROREP_40C_sample_2</v>
      </c>
      <c r="C45" s="6" t="str">
        <f t="shared" ref="C45:D45" si="50">C44</f>
        <v>Protea repens</v>
      </c>
      <c r="D45" s="6" t="str">
        <f t="shared" si="50"/>
        <v>40C</v>
      </c>
      <c r="E45" s="10">
        <f>IF(ISBLANK(A44),"",E44+1)</f>
        <v>2</v>
      </c>
      <c r="F45" s="11">
        <f t="shared" ref="F45:F49" si="53">F44</f>
        <v>45477.65764</v>
      </c>
      <c r="G45" s="8">
        <v>0.455</v>
      </c>
    </row>
    <row r="46">
      <c r="A46" s="9" t="str">
        <f t="shared" si="51"/>
        <v>PROREP (L)</v>
      </c>
      <c r="B46" s="9" t="str">
        <f>IF(ISBLANK(A44),"",LEFT(B45,27)&amp;VALUE(RIGHT(B45,1)+1))</f>
        <v>JKL240702PROREP_40C_sample_3</v>
      </c>
      <c r="C46" s="6" t="str">
        <f t="shared" ref="C46:D46" si="52">C45</f>
        <v>Protea repens</v>
      </c>
      <c r="D46" s="6" t="str">
        <f t="shared" si="52"/>
        <v>40C</v>
      </c>
      <c r="E46" s="10">
        <f>IF(ISBLANK(A44),"",E45+1)</f>
        <v>3</v>
      </c>
      <c r="F46" s="11">
        <f t="shared" si="53"/>
        <v>45477.65764</v>
      </c>
      <c r="G46" s="8">
        <v>0.524</v>
      </c>
    </row>
    <row r="47">
      <c r="A47" s="9" t="str">
        <f t="shared" si="51"/>
        <v>PROREP (L)</v>
      </c>
      <c r="B47" s="9" t="str">
        <f>IF(ISBLANK(A44),"",LEFT(B46,27)&amp;VALUE(RIGHT(B46,1)+1))</f>
        <v>JKL240702PROREP_40C_sample_4</v>
      </c>
      <c r="C47" s="6" t="str">
        <f t="shared" ref="C47:D47" si="54">C46</f>
        <v>Protea repens</v>
      </c>
      <c r="D47" s="6" t="str">
        <f t="shared" si="54"/>
        <v>40C</v>
      </c>
      <c r="E47" s="10">
        <f>IF(ISBLANK(A44),"",E46+1)</f>
        <v>4</v>
      </c>
      <c r="F47" s="11">
        <f t="shared" si="53"/>
        <v>45477.65764</v>
      </c>
      <c r="G47" s="8">
        <v>0.252</v>
      </c>
    </row>
    <row r="48">
      <c r="A48" s="9" t="str">
        <f t="shared" si="51"/>
        <v>PROREP (L)</v>
      </c>
      <c r="B48" s="9" t="str">
        <f>IF(ISBLANK(A44),"",LEFT(B47,27)&amp;VALUE(RIGHT(B47,1)+1))</f>
        <v>JKL240702PROREP_40C_sample_5</v>
      </c>
      <c r="C48" s="6" t="str">
        <f t="shared" ref="C48:D48" si="55">C47</f>
        <v>Protea repens</v>
      </c>
      <c r="D48" s="6" t="str">
        <f t="shared" si="55"/>
        <v>40C</v>
      </c>
      <c r="E48" s="10">
        <f>IF(ISBLANK(A44),"",E47+1)</f>
        <v>5</v>
      </c>
      <c r="F48" s="11">
        <f t="shared" si="53"/>
        <v>45477.65764</v>
      </c>
      <c r="G48" s="8">
        <v>0.322</v>
      </c>
    </row>
    <row r="49">
      <c r="A49" s="12" t="str">
        <f t="shared" si="51"/>
        <v>PROREP (L)</v>
      </c>
      <c r="B49" s="12" t="str">
        <f>IF(ISBLANK(A44),"",LEFT(B48,27)&amp;VALUE(RIGHT(B48,1)+1))</f>
        <v>JKL240702PROREP_40C_sample_6</v>
      </c>
      <c r="C49" s="13" t="str">
        <f t="shared" ref="C49:D49" si="56">C48</f>
        <v>Protea repens</v>
      </c>
      <c r="D49" s="13" t="str">
        <f t="shared" si="56"/>
        <v>40C</v>
      </c>
      <c r="E49" s="14">
        <f>IF(ISBLANK(A44),"",E48+1)</f>
        <v>6</v>
      </c>
      <c r="F49" s="15">
        <f t="shared" si="53"/>
        <v>45477.65764</v>
      </c>
      <c r="G49" s="16">
        <v>0.396</v>
      </c>
    </row>
    <row r="50">
      <c r="A50" s="5" t="s">
        <v>9</v>
      </c>
      <c r="B50" s="6" t="str">
        <f t="array" ref="B50">IF(ISBLANK(A50),"",IF(A50="PROREP (L)",VLOOKUP(LEFT($A50,6),'Data Feed (40C)'!$A$1:$G$10,2,FALSE),IF(A50="PROREP (S)", INDEX('Data Feed (40C)'!B:B, MATCH(LEFT($A50,6), 'Data Feed (40C)'!$A$1:$A$10, 0) + 1), VLOOKUP($A50,'Data Feed (40C)'!$A$1:$G$10,2,FALSE))))</f>
        <v>JKS240702PROREP_40C_sample_1</v>
      </c>
      <c r="C50" s="6" t="str">
        <f t="array" ref="C50">IF(ISBLANK(A50),"",IF(A50="PROREP (L)",VLOOKUP(LEFT($A50,6),'Data Feed (40C)'!$A$1:$G$10,3,FALSE),IF(A50="PROREP (S)", INDEX('Data Feed (40C)'!C:C, MATCH(LEFT($A50,6), 'Data Feed (40C)'!$A$1:$A$10, 0) + 1, +1), VLOOKUP($A50,'Data Feed (40C)'!$A$1:$G$10,3,FALSE))))</f>
        <v>Protea repens</v>
      </c>
      <c r="D50" s="6" t="str">
        <f t="array" ref="D50">IF(ISBLANK(A50),"",IF(A50="PROREP (L)",VLOOKUP(LEFT($A50,6),'Data Feed (40C)'!$A$1:$G$10,4,FALSE),IF(A50="PROREP (S)", INDEX('Data Feed (40C)'!D:D, MATCH(LEFT($A50,6), 'Data Feed (40C)'!$A$1:$A$10, 0) + 1, +1), VLOOKUP($A50,'Data Feed (40C)'!$A$1:$G$10,4,FALSE))))</f>
        <v>40C</v>
      </c>
      <c r="E50" s="6">
        <f t="array" ref="E50">IF(ISBLANK(A50),"",IF(A50="PROREP (L)",VLOOKUP(LEFT($A50,6),'Data Feed (40C)'!$A$1:$G$10,7,FALSE),IF(A50="PROREP (S)", INDEX('Data Feed (40C)'!G:G, MATCH(LEFT($A50,6), 'Data Feed (40C)'!$A$1:$A$10, 0) + 1, +1), VLOOKUP($A50,'Data Feed (40C)'!$A$1:$G$10,7,FALSE))))</f>
        <v>1</v>
      </c>
      <c r="F50" s="7">
        <v>45477.65902777778</v>
      </c>
      <c r="G50" s="8">
        <v>6.872</v>
      </c>
    </row>
    <row r="51">
      <c r="A51" s="9" t="str">
        <f t="shared" ref="A51:A55" si="58">A50</f>
        <v>PROREP (S)</v>
      </c>
      <c r="B51" s="9" t="str">
        <f>IF(ISBLANK(A50),"",LEFT(B50,27)&amp;VALUE(RIGHT(B50,1)+1))</f>
        <v>JKS240702PROREP_40C_sample_2</v>
      </c>
      <c r="C51" s="6" t="str">
        <f t="shared" ref="C51:D51" si="57">C50</f>
        <v>Protea repens</v>
      </c>
      <c r="D51" s="6" t="str">
        <f t="shared" si="57"/>
        <v>40C</v>
      </c>
      <c r="E51" s="10">
        <f>IF(ISBLANK(A50),"",E50+1)</f>
        <v>2</v>
      </c>
      <c r="F51" s="11">
        <f t="shared" ref="F51:F55" si="60">F50</f>
        <v>45477.65903</v>
      </c>
      <c r="G51" s="8">
        <v>10.695</v>
      </c>
    </row>
    <row r="52">
      <c r="A52" s="9" t="str">
        <f t="shared" si="58"/>
        <v>PROREP (S)</v>
      </c>
      <c r="B52" s="9" t="str">
        <f>IF(ISBLANK(A50),"",LEFT(B51,27)&amp;VALUE(RIGHT(B51,1)+1))</f>
        <v>JKS240702PROREP_40C_sample_3</v>
      </c>
      <c r="C52" s="6" t="str">
        <f t="shared" ref="C52:D52" si="59">C51</f>
        <v>Protea repens</v>
      </c>
      <c r="D52" s="6" t="str">
        <f t="shared" si="59"/>
        <v>40C</v>
      </c>
      <c r="E52" s="10">
        <f>IF(ISBLANK(A50),"",E51+1)</f>
        <v>3</v>
      </c>
      <c r="F52" s="11">
        <f t="shared" si="60"/>
        <v>45477.65903</v>
      </c>
      <c r="G52" s="8">
        <v>4.363</v>
      </c>
    </row>
    <row r="53">
      <c r="A53" s="9" t="str">
        <f t="shared" si="58"/>
        <v>PROREP (S)</v>
      </c>
      <c r="B53" s="9" t="str">
        <f>IF(ISBLANK(A50),"",LEFT(B52,27)&amp;VALUE(RIGHT(B52,1)+1))</f>
        <v>JKS240702PROREP_40C_sample_4</v>
      </c>
      <c r="C53" s="6" t="str">
        <f t="shared" ref="C53:D53" si="61">C52</f>
        <v>Protea repens</v>
      </c>
      <c r="D53" s="6" t="str">
        <f t="shared" si="61"/>
        <v>40C</v>
      </c>
      <c r="E53" s="10">
        <f>IF(ISBLANK(A50),"",E52+1)</f>
        <v>4</v>
      </c>
      <c r="F53" s="11">
        <f t="shared" si="60"/>
        <v>45477.65903</v>
      </c>
      <c r="G53" s="8">
        <v>1.712</v>
      </c>
    </row>
    <row r="54">
      <c r="A54" s="9" t="str">
        <f t="shared" si="58"/>
        <v>PROREP (S)</v>
      </c>
      <c r="B54" s="9" t="str">
        <f>IF(ISBLANK(A50),"",LEFT(B53,27)&amp;VALUE(RIGHT(B53,1)+1))</f>
        <v>JKS240702PROREP_40C_sample_5</v>
      </c>
      <c r="C54" s="6" t="str">
        <f t="shared" ref="C54:D54" si="62">C53</f>
        <v>Protea repens</v>
      </c>
      <c r="D54" s="6" t="str">
        <f t="shared" si="62"/>
        <v>40C</v>
      </c>
      <c r="E54" s="10">
        <f>IF(ISBLANK(A50),"",E53+1)</f>
        <v>5</v>
      </c>
      <c r="F54" s="11">
        <f t="shared" si="60"/>
        <v>45477.65903</v>
      </c>
      <c r="G54" s="8">
        <v>7.151</v>
      </c>
    </row>
    <row r="55">
      <c r="A55" s="12" t="str">
        <f t="shared" si="58"/>
        <v>PROREP (S)</v>
      </c>
      <c r="B55" s="12" t="str">
        <f>IF(ISBLANK(A50),"",LEFT(B54,27)&amp;VALUE(RIGHT(B54,1)+1))</f>
        <v>JKS240702PROREP_40C_sample_6</v>
      </c>
      <c r="C55" s="13" t="str">
        <f t="shared" ref="C55:D55" si="63">C54</f>
        <v>Protea repens</v>
      </c>
      <c r="D55" s="13" t="str">
        <f t="shared" si="63"/>
        <v>40C</v>
      </c>
      <c r="E55" s="14">
        <f>IF(ISBLANK(A50),"",E54+1)</f>
        <v>6</v>
      </c>
      <c r="F55" s="15">
        <f t="shared" si="60"/>
        <v>45477.65903</v>
      </c>
      <c r="G55" s="16">
        <v>10.099</v>
      </c>
    </row>
    <row r="56">
      <c r="A56" s="5" t="s">
        <v>10</v>
      </c>
      <c r="B56" s="6" t="str">
        <f t="array" ref="B56">IF(ISBLANK(A56),"",IF(A56="PROREP (L)",VLOOKUP(LEFT($A56,6),'Data Feed (40C)'!$A$1:$G$10,2,FALSE),IF(A56="PROREP (S)", INDEX('Data Feed (40C)'!B:B, MATCH(LEFT($A56,6), 'Data Feed (40C)'!$A$1:$A$10, 0) + 1), VLOOKUP($A56,'Data Feed (40C)'!$A$1:$G$10,2,FALSE))))</f>
        <v>JKS240702CANCON_40C_sample_1</v>
      </c>
      <c r="C56" s="6" t="str">
        <f t="array" ref="C56">IF(ISBLANK(A56),"",IF(A56="PROREP (L)",VLOOKUP(LEFT($A56,6),'Data Feed (40C)'!$A$1:$G$10,3,FALSE),IF(A56="PROREP (S)", INDEX('Data Feed (40C)'!C:C, MATCH(LEFT($A56,6), 'Data Feed (40C)'!$A$1:$A$10, 0) + 1, +1), VLOOKUP($A56,'Data Feed (40C)'!$A$1:$G$10,3,FALSE))))</f>
        <v>Cannomois congesta</v>
      </c>
      <c r="D56" s="6" t="str">
        <f t="array" ref="D56">IF(ISBLANK(A56),"",IF(A56="PROREP (L)",VLOOKUP(LEFT($A56,6),'Data Feed (40C)'!$A$1:$G$10,4,FALSE),IF(A56="PROREP (S)", INDEX('Data Feed (40C)'!D:D, MATCH(LEFT($A56,6), 'Data Feed (40C)'!$A$1:$A$10, 0) + 1, +1), VLOOKUP($A56,'Data Feed (40C)'!$A$1:$G$10,4,FALSE))))</f>
        <v>40C</v>
      </c>
      <c r="E56" s="6">
        <f t="array" ref="E56">IF(ISBLANK(A56),"",IF(A56="PROREP (L)",VLOOKUP(LEFT($A56,6),'Data Feed (40C)'!$A$1:$G$10,7,FALSE),IF(A56="PROREP (S)", INDEX('Data Feed (40C)'!G:G, MATCH(LEFT($A56,6), 'Data Feed (40C)'!$A$1:$A$10, 0) + 1, +1), VLOOKUP($A56,'Data Feed (40C)'!$A$1:$G$10,7,FALSE))))</f>
        <v>1</v>
      </c>
      <c r="F56" s="7">
        <v>45477.71666666667</v>
      </c>
      <c r="G56" s="8">
        <v>1.04</v>
      </c>
    </row>
    <row r="57">
      <c r="A57" s="9" t="str">
        <f t="shared" ref="A57:A61" si="65">A56</f>
        <v>CANCON</v>
      </c>
      <c r="B57" s="9" t="str">
        <f>IF(ISBLANK(A56),"",LEFT(B56,27)&amp;VALUE(RIGHT(B56,1)+1))</f>
        <v>JKS240702CANCON_40C_sample_2</v>
      </c>
      <c r="C57" s="6" t="str">
        <f t="shared" ref="C57:D57" si="64">C56</f>
        <v>Cannomois congesta</v>
      </c>
      <c r="D57" s="6" t="str">
        <f t="shared" si="64"/>
        <v>40C</v>
      </c>
      <c r="E57" s="10">
        <f>IF(ISBLANK(A56),"",E56+1)</f>
        <v>2</v>
      </c>
      <c r="F57" s="11">
        <f t="shared" ref="F57:F61" si="67">F56</f>
        <v>45477.71667</v>
      </c>
      <c r="G57" s="8">
        <v>2.135</v>
      </c>
    </row>
    <row r="58">
      <c r="A58" s="9" t="str">
        <f t="shared" si="65"/>
        <v>CANCON</v>
      </c>
      <c r="B58" s="9" t="str">
        <f>IF(ISBLANK(A56),"",LEFT(B57,27)&amp;VALUE(RIGHT(B57,1)+1))</f>
        <v>JKS240702CANCON_40C_sample_3</v>
      </c>
      <c r="C58" s="6" t="str">
        <f t="shared" ref="C58:D58" si="66">C57</f>
        <v>Cannomois congesta</v>
      </c>
      <c r="D58" s="6" t="str">
        <f t="shared" si="66"/>
        <v>40C</v>
      </c>
      <c r="E58" s="10">
        <f>IF(ISBLANK(A56),"",E57+1)</f>
        <v>3</v>
      </c>
      <c r="F58" s="11">
        <f t="shared" si="67"/>
        <v>45477.71667</v>
      </c>
      <c r="G58" s="8">
        <v>1.129</v>
      </c>
    </row>
    <row r="59">
      <c r="A59" s="9" t="str">
        <f t="shared" si="65"/>
        <v>CANCON</v>
      </c>
      <c r="B59" s="9" t="str">
        <f>IF(ISBLANK(A56),"",LEFT(B58,27)&amp;VALUE(RIGHT(B58,1)+1))</f>
        <v>JKS240702CANCON_40C_sample_4</v>
      </c>
      <c r="C59" s="6" t="str">
        <f t="shared" ref="C59:D59" si="68">C58</f>
        <v>Cannomois congesta</v>
      </c>
      <c r="D59" s="6" t="str">
        <f t="shared" si="68"/>
        <v>40C</v>
      </c>
      <c r="E59" s="10">
        <f>IF(ISBLANK(A56),"",E58+1)</f>
        <v>4</v>
      </c>
      <c r="F59" s="11">
        <f t="shared" si="67"/>
        <v>45477.71667</v>
      </c>
      <c r="G59" s="8">
        <v>1.73</v>
      </c>
    </row>
    <row r="60">
      <c r="A60" s="9" t="str">
        <f t="shared" si="65"/>
        <v>CANCON</v>
      </c>
      <c r="B60" s="9" t="str">
        <f>IF(ISBLANK(A56),"",LEFT(B59,27)&amp;VALUE(RIGHT(B59,1)+1))</f>
        <v>JKS240702CANCON_40C_sample_5</v>
      </c>
      <c r="C60" s="6" t="str">
        <f t="shared" ref="C60:D60" si="69">C59</f>
        <v>Cannomois congesta</v>
      </c>
      <c r="D60" s="6" t="str">
        <f t="shared" si="69"/>
        <v>40C</v>
      </c>
      <c r="E60" s="10">
        <f>IF(ISBLANK(A56),"",E59+1)</f>
        <v>5</v>
      </c>
      <c r="F60" s="11">
        <f t="shared" si="67"/>
        <v>45477.71667</v>
      </c>
      <c r="G60" s="8">
        <v>0.93</v>
      </c>
    </row>
    <row r="61">
      <c r="A61" s="12" t="str">
        <f t="shared" si="65"/>
        <v>CANCON</v>
      </c>
      <c r="B61" s="12" t="str">
        <f>IF(ISBLANK(A56),"",LEFT(B60,27)&amp;VALUE(RIGHT(B60,1)+1))</f>
        <v>JKS240702CANCON_40C_sample_6</v>
      </c>
      <c r="C61" s="13" t="str">
        <f t="shared" ref="C61:D61" si="70">C60</f>
        <v>Cannomois congesta</v>
      </c>
      <c r="D61" s="13" t="str">
        <f t="shared" si="70"/>
        <v>40C</v>
      </c>
      <c r="E61" s="14">
        <f>IF(ISBLANK(A56),"",E60+1)</f>
        <v>6</v>
      </c>
      <c r="F61" s="15">
        <f t="shared" si="67"/>
        <v>45477.71667</v>
      </c>
      <c r="G61" s="16">
        <v>1.84</v>
      </c>
    </row>
    <row r="62">
      <c r="A62" s="5" t="s">
        <v>7</v>
      </c>
      <c r="B62" s="6" t="str">
        <f t="array" ref="B62">IF(ISBLANK(A62),"",IF(A62="PROREP (L)",VLOOKUP(LEFT($A62,6),'Data Feed (40C)'!$A$1:$G$10,2,FALSE),IF(A62="PROREP (S)", INDEX('Data Feed (40C)'!B:B, MATCH(LEFT($A62,6), 'Data Feed (40C)'!$A$1:$A$10, 0) + 1), VLOOKUP($A62,'Data Feed (40C)'!$A$1:$G$10,2,FALSE))))</f>
        <v>JKS240702ERIMON_40C_sample_1</v>
      </c>
      <c r="C62" s="6" t="str">
        <f t="array" ref="C62">IF(ISBLANK(A62),"",IF(A62="PROREP (L)",VLOOKUP(LEFT($A62,6),'Data Feed (40C)'!$A$1:$G$10,3,FALSE),IF(A62="PROREP (S)", INDEX('Data Feed (40C)'!C:C, MATCH(LEFT($A62,6), 'Data Feed (40C)'!$A$1:$A$10, 0) + 1, +1), VLOOKUP($A62,'Data Feed (40C)'!$A$1:$G$10,3,FALSE))))</f>
        <v>Erica monsoniana</v>
      </c>
      <c r="D62" s="6" t="str">
        <f t="array" ref="D62">IF(ISBLANK(A62),"",IF(A62="PROREP (L)",VLOOKUP(LEFT($A62,6),'Data Feed (40C)'!$A$1:$G$10,4,FALSE),IF(A62="PROREP (S)", INDEX('Data Feed (40C)'!D:D, MATCH(LEFT($A62,6), 'Data Feed (40C)'!$A$1:$A$10, 0) + 1, +1), VLOOKUP($A62,'Data Feed (40C)'!$A$1:$G$10,4,FALSE))))</f>
        <v>40C</v>
      </c>
      <c r="E62" s="6">
        <f t="array" ref="E62">IF(ISBLANK(A62),"",IF(A62="PROREP (L)",VLOOKUP(LEFT($A62,6),'Data Feed (40C)'!$A$1:$G$10,7,FALSE),IF(A62="PROREP (S)", INDEX('Data Feed (40C)'!G:G, MATCH(LEFT($A62,6), 'Data Feed (40C)'!$A$1:$A$10, 0) + 1, +1), VLOOKUP($A62,'Data Feed (40C)'!$A$1:$G$10,7,FALSE))))</f>
        <v>1</v>
      </c>
      <c r="F62" s="7">
        <v>45477.71875</v>
      </c>
      <c r="G62" s="8">
        <v>0.998</v>
      </c>
    </row>
    <row r="63">
      <c r="A63" s="9" t="str">
        <f t="shared" ref="A63:A67" si="72">A62</f>
        <v>ERIMON</v>
      </c>
      <c r="B63" s="9" t="str">
        <f>IF(ISBLANK(A62),"",LEFT(B62,27)&amp;VALUE(RIGHT(B62,1)+1))</f>
        <v>JKS240702ERIMON_40C_sample_2</v>
      </c>
      <c r="C63" s="6" t="str">
        <f t="shared" ref="C63:D63" si="71">C62</f>
        <v>Erica monsoniana</v>
      </c>
      <c r="D63" s="6" t="str">
        <f t="shared" si="71"/>
        <v>40C</v>
      </c>
      <c r="E63" s="10">
        <f>IF(ISBLANK(A62),"",E62+1)</f>
        <v>2</v>
      </c>
      <c r="F63" s="11">
        <f t="shared" ref="F63:F67" si="74">F62</f>
        <v>45477.71875</v>
      </c>
      <c r="G63" s="8">
        <v>1.004</v>
      </c>
    </row>
    <row r="64">
      <c r="A64" s="9" t="str">
        <f t="shared" si="72"/>
        <v>ERIMON</v>
      </c>
      <c r="B64" s="9" t="str">
        <f>IF(ISBLANK(A62),"",LEFT(B63,27)&amp;VALUE(RIGHT(B63,1)+1))</f>
        <v>JKS240702ERIMON_40C_sample_3</v>
      </c>
      <c r="C64" s="6" t="str">
        <f t="shared" ref="C64:D64" si="73">C63</f>
        <v>Erica monsoniana</v>
      </c>
      <c r="D64" s="6" t="str">
        <f t="shared" si="73"/>
        <v>40C</v>
      </c>
      <c r="E64" s="10">
        <f>IF(ISBLANK(A62),"",E63+1)</f>
        <v>3</v>
      </c>
      <c r="F64" s="11">
        <f t="shared" si="74"/>
        <v>45477.71875</v>
      </c>
      <c r="G64" s="8">
        <v>0.861</v>
      </c>
    </row>
    <row r="65">
      <c r="A65" s="9" t="str">
        <f t="shared" si="72"/>
        <v>ERIMON</v>
      </c>
      <c r="B65" s="9" t="str">
        <f>IF(ISBLANK(A62),"",LEFT(B64,27)&amp;VALUE(RIGHT(B64,1)+1))</f>
        <v>JKS240702ERIMON_40C_sample_4</v>
      </c>
      <c r="C65" s="6" t="str">
        <f t="shared" ref="C65:D65" si="75">C64</f>
        <v>Erica monsoniana</v>
      </c>
      <c r="D65" s="6" t="str">
        <f t="shared" si="75"/>
        <v>40C</v>
      </c>
      <c r="E65" s="10">
        <f>IF(ISBLANK(A62),"",E64+1)</f>
        <v>4</v>
      </c>
      <c r="F65" s="11">
        <f t="shared" si="74"/>
        <v>45477.71875</v>
      </c>
      <c r="G65" s="8">
        <v>2.085</v>
      </c>
    </row>
    <row r="66">
      <c r="A66" s="9" t="str">
        <f t="shared" si="72"/>
        <v>ERIMON</v>
      </c>
      <c r="B66" s="9" t="str">
        <f>IF(ISBLANK(A62),"",LEFT(B65,27)&amp;VALUE(RIGHT(B65,1)+1))</f>
        <v>JKS240702ERIMON_40C_sample_5</v>
      </c>
      <c r="C66" s="6" t="str">
        <f t="shared" ref="C66:D66" si="76">C65</f>
        <v>Erica monsoniana</v>
      </c>
      <c r="D66" s="6" t="str">
        <f t="shared" si="76"/>
        <v>40C</v>
      </c>
      <c r="E66" s="10">
        <f>IF(ISBLANK(A62),"",E65+1)</f>
        <v>5</v>
      </c>
      <c r="F66" s="11">
        <f t="shared" si="74"/>
        <v>45477.71875</v>
      </c>
      <c r="G66" s="8">
        <v>0.737</v>
      </c>
    </row>
    <row r="67">
      <c r="A67" s="12" t="str">
        <f t="shared" si="72"/>
        <v>ERIMON</v>
      </c>
      <c r="B67" s="12" t="str">
        <f>IF(ISBLANK(A62),"",LEFT(B66,27)&amp;VALUE(RIGHT(B66,1)+1))</f>
        <v>JKS240702ERIMON_40C_sample_6</v>
      </c>
      <c r="C67" s="13" t="str">
        <f t="shared" ref="C67:D67" si="77">C66</f>
        <v>Erica monsoniana</v>
      </c>
      <c r="D67" s="13" t="str">
        <f t="shared" si="77"/>
        <v>40C</v>
      </c>
      <c r="E67" s="14">
        <f>IF(ISBLANK(A62),"",E66+1)</f>
        <v>6</v>
      </c>
      <c r="F67" s="15">
        <f t="shared" si="74"/>
        <v>45477.71875</v>
      </c>
      <c r="G67" s="16">
        <v>1.191</v>
      </c>
    </row>
    <row r="68">
      <c r="A68" s="5" t="s">
        <v>8</v>
      </c>
      <c r="B68" s="6" t="str">
        <f t="array" ref="B68">IF(ISBLANK(A68),"",IF(A68="PROREP (L)",VLOOKUP(LEFT($A68,6),'Data Feed (40C)'!$A$1:$G$10,2,FALSE),IF(A68="PROREP (S)", INDEX('Data Feed (40C)'!B:B, MATCH(LEFT($A68,6), 'Data Feed (40C)'!$A$1:$A$10, 0) + 1), VLOOKUP($A68,'Data Feed (40C)'!$A$1:$G$10,2,FALSE))))</f>
        <v>JKL240702PROREP_40C_sample_1</v>
      </c>
      <c r="C68" s="6" t="str">
        <f t="array" ref="C68">IF(ISBLANK(A68),"",IF(A68="PROREP (L)",VLOOKUP(LEFT($A68,6),'Data Feed (40C)'!$A$1:$G$10,3,FALSE),IF(A68="PROREP (S)", INDEX('Data Feed (40C)'!C:C, MATCH(LEFT($A68,6), 'Data Feed (40C)'!$A$1:$A$10, 0) + 1, +1), VLOOKUP($A68,'Data Feed (40C)'!$A$1:$G$10,3,FALSE))))</f>
        <v>Protea repens</v>
      </c>
      <c r="D68" s="6" t="str">
        <f t="array" ref="D68">IF(ISBLANK(A68),"",IF(A68="PROREP (L)",VLOOKUP(LEFT($A68,6),'Data Feed (40C)'!$A$1:$G$10,4,FALSE),IF(A68="PROREP (S)", INDEX('Data Feed (40C)'!D:D, MATCH(LEFT($A68,6), 'Data Feed (40C)'!$A$1:$A$10, 0) + 1, +1), VLOOKUP($A68,'Data Feed (40C)'!$A$1:$G$10,4,FALSE))))</f>
        <v>40C</v>
      </c>
      <c r="E68" s="6">
        <f t="array" ref="E68">IF(ISBLANK(A68),"",IF(A68="PROREP (L)",VLOOKUP(LEFT($A68,6),'Data Feed (40C)'!$A$1:$G$10,7,FALSE),IF(A68="PROREP (S)", INDEX('Data Feed (40C)'!G:G, MATCH(LEFT($A68,6), 'Data Feed (40C)'!$A$1:$A$10, 0) + 1, +1), VLOOKUP($A68,'Data Feed (40C)'!$A$1:$G$10,7,FALSE))))</f>
        <v>1</v>
      </c>
      <c r="F68" s="7">
        <v>45477.720138888886</v>
      </c>
      <c r="G68" s="8">
        <v>0.486</v>
      </c>
    </row>
    <row r="69">
      <c r="A69" s="9" t="str">
        <f t="shared" ref="A69:A73" si="79">A68</f>
        <v>PROREP (L)</v>
      </c>
      <c r="B69" s="9" t="str">
        <f>IF(ISBLANK(A68),"",LEFT(B68,27)&amp;VALUE(RIGHT(B68,1)+1))</f>
        <v>JKL240702PROREP_40C_sample_2</v>
      </c>
      <c r="C69" s="6" t="str">
        <f t="shared" ref="C69:D69" si="78">C68</f>
        <v>Protea repens</v>
      </c>
      <c r="D69" s="6" t="str">
        <f t="shared" si="78"/>
        <v>40C</v>
      </c>
      <c r="E69" s="10">
        <f>IF(ISBLANK(A68),"",E68+1)</f>
        <v>2</v>
      </c>
      <c r="F69" s="11">
        <f t="shared" ref="F69:F73" si="81">F68</f>
        <v>45477.72014</v>
      </c>
      <c r="G69" s="8">
        <v>0.418</v>
      </c>
    </row>
    <row r="70">
      <c r="A70" s="9" t="str">
        <f t="shared" si="79"/>
        <v>PROREP (L)</v>
      </c>
      <c r="B70" s="9" t="str">
        <f>IF(ISBLANK(A68),"",LEFT(B69,27)&amp;VALUE(RIGHT(B69,1)+1))</f>
        <v>JKL240702PROREP_40C_sample_3</v>
      </c>
      <c r="C70" s="6" t="str">
        <f t="shared" ref="C70:D70" si="80">C69</f>
        <v>Protea repens</v>
      </c>
      <c r="D70" s="6" t="str">
        <f t="shared" si="80"/>
        <v>40C</v>
      </c>
      <c r="E70" s="10">
        <f>IF(ISBLANK(A68),"",E69+1)</f>
        <v>3</v>
      </c>
      <c r="F70" s="11">
        <f t="shared" si="81"/>
        <v>45477.72014</v>
      </c>
      <c r="G70" s="8">
        <v>0.436</v>
      </c>
    </row>
    <row r="71">
      <c r="A71" s="9" t="str">
        <f t="shared" si="79"/>
        <v>PROREP (L)</v>
      </c>
      <c r="B71" s="9" t="str">
        <f>IF(ISBLANK(A68),"",LEFT(B70,27)&amp;VALUE(RIGHT(B70,1)+1))</f>
        <v>JKL240702PROREP_40C_sample_4</v>
      </c>
      <c r="C71" s="6" t="str">
        <f t="shared" ref="C71:D71" si="82">C70</f>
        <v>Protea repens</v>
      </c>
      <c r="D71" s="6" t="str">
        <f t="shared" si="82"/>
        <v>40C</v>
      </c>
      <c r="E71" s="10">
        <f>IF(ISBLANK(A68),"",E70+1)</f>
        <v>4</v>
      </c>
      <c r="F71" s="11">
        <f t="shared" si="81"/>
        <v>45477.72014</v>
      </c>
      <c r="G71" s="8">
        <v>0.231</v>
      </c>
    </row>
    <row r="72">
      <c r="A72" s="9" t="str">
        <f t="shared" si="79"/>
        <v>PROREP (L)</v>
      </c>
      <c r="B72" s="9" t="str">
        <f>IF(ISBLANK(A68),"",LEFT(B71,27)&amp;VALUE(RIGHT(B71,1)+1))</f>
        <v>JKL240702PROREP_40C_sample_5</v>
      </c>
      <c r="C72" s="6" t="str">
        <f t="shared" ref="C72:D72" si="83">C71</f>
        <v>Protea repens</v>
      </c>
      <c r="D72" s="6" t="str">
        <f t="shared" si="83"/>
        <v>40C</v>
      </c>
      <c r="E72" s="10">
        <f>IF(ISBLANK(A68),"",E71+1)</f>
        <v>5</v>
      </c>
      <c r="F72" s="11">
        <f t="shared" si="81"/>
        <v>45477.72014</v>
      </c>
      <c r="G72" s="8">
        <v>0.292</v>
      </c>
    </row>
    <row r="73">
      <c r="A73" s="12" t="str">
        <f t="shared" si="79"/>
        <v>PROREP (L)</v>
      </c>
      <c r="B73" s="12" t="str">
        <f>IF(ISBLANK(A68),"",LEFT(B72,27)&amp;VALUE(RIGHT(B72,1)+1))</f>
        <v>JKL240702PROREP_40C_sample_6</v>
      </c>
      <c r="C73" s="13" t="str">
        <f t="shared" ref="C73:D73" si="84">C72</f>
        <v>Protea repens</v>
      </c>
      <c r="D73" s="13" t="str">
        <f t="shared" si="84"/>
        <v>40C</v>
      </c>
      <c r="E73" s="14">
        <f>IF(ISBLANK(A68),"",E72+1)</f>
        <v>6</v>
      </c>
      <c r="F73" s="15">
        <f t="shared" si="81"/>
        <v>45477.72014</v>
      </c>
      <c r="G73" s="16">
        <v>0.337</v>
      </c>
    </row>
    <row r="74">
      <c r="A74" s="5" t="s">
        <v>9</v>
      </c>
      <c r="B74" s="6" t="str">
        <f t="array" ref="B74">IF(ISBLANK(A74),"",IF(A74="PROREP (L)",VLOOKUP(LEFT($A74,6),'Data Feed (40C)'!$A$1:$G$10,2,FALSE),IF(A74="PROREP (S)", INDEX('Data Feed (40C)'!B:B, MATCH(LEFT($A74,6), 'Data Feed (40C)'!$A$1:$A$10, 0) + 1), VLOOKUP($A74,'Data Feed (40C)'!$A$1:$G$10,2,FALSE))))</f>
        <v>JKS240702PROREP_40C_sample_1</v>
      </c>
      <c r="C74" s="6" t="str">
        <f t="array" ref="C74">IF(ISBLANK(A74),"",IF(A74="PROREP (L)",VLOOKUP(LEFT($A74,6),'Data Feed (40C)'!$A$1:$G$10,3,FALSE),IF(A74="PROREP (S)", INDEX('Data Feed (40C)'!C:C, MATCH(LEFT($A74,6), 'Data Feed (40C)'!$A$1:$A$10, 0) + 1, +1), VLOOKUP($A74,'Data Feed (40C)'!$A$1:$G$10,3,FALSE))))</f>
        <v>Protea repens</v>
      </c>
      <c r="D74" s="6" t="str">
        <f t="array" ref="D74">IF(ISBLANK(A74),"",IF(A74="PROREP (L)",VLOOKUP(LEFT($A74,6),'Data Feed (40C)'!$A$1:$G$10,4,FALSE),IF(A74="PROREP (S)", INDEX('Data Feed (40C)'!D:D, MATCH(LEFT($A74,6), 'Data Feed (40C)'!$A$1:$A$10, 0) + 1, +1), VLOOKUP($A74,'Data Feed (40C)'!$A$1:$G$10,4,FALSE))))</f>
        <v>40C</v>
      </c>
      <c r="E74" s="6">
        <f t="array" ref="E74">IF(ISBLANK(A74),"",IF(A74="PROREP (L)",VLOOKUP(LEFT($A74,6),'Data Feed (40C)'!$A$1:$G$10,7,FALSE),IF(A74="PROREP (S)", INDEX('Data Feed (40C)'!G:G, MATCH(LEFT($A74,6), 'Data Feed (40C)'!$A$1:$A$10, 0) + 1, +1), VLOOKUP($A74,'Data Feed (40C)'!$A$1:$G$10,7,FALSE))))</f>
        <v>1</v>
      </c>
      <c r="F74" s="7">
        <v>45477.72222222222</v>
      </c>
      <c r="G74" s="8">
        <v>6.224</v>
      </c>
    </row>
    <row r="75">
      <c r="A75" s="9" t="str">
        <f t="shared" ref="A75:A79" si="86">A74</f>
        <v>PROREP (S)</v>
      </c>
      <c r="B75" s="9" t="str">
        <f>IF(ISBLANK(A74),"",LEFT(B74,27)&amp;VALUE(RIGHT(B74,1)+1))</f>
        <v>JKS240702PROREP_40C_sample_2</v>
      </c>
      <c r="C75" s="6" t="str">
        <f t="shared" ref="C75:D75" si="85">C74</f>
        <v>Protea repens</v>
      </c>
      <c r="D75" s="6" t="str">
        <f t="shared" si="85"/>
        <v>40C</v>
      </c>
      <c r="E75" s="10">
        <f>IF(ISBLANK(A74),"",E74+1)</f>
        <v>2</v>
      </c>
      <c r="F75" s="11">
        <f t="shared" ref="F75:F79" si="88">F74</f>
        <v>45477.72222</v>
      </c>
      <c r="G75" s="8">
        <v>9.736</v>
      </c>
    </row>
    <row r="76">
      <c r="A76" s="9" t="str">
        <f t="shared" si="86"/>
        <v>PROREP (S)</v>
      </c>
      <c r="B76" s="9" t="str">
        <f>IF(ISBLANK(A74),"",LEFT(B75,27)&amp;VALUE(RIGHT(B75,1)+1))</f>
        <v>JKS240702PROREP_40C_sample_3</v>
      </c>
      <c r="C76" s="6" t="str">
        <f t="shared" ref="C76:D76" si="87">C75</f>
        <v>Protea repens</v>
      </c>
      <c r="D76" s="6" t="str">
        <f t="shared" si="87"/>
        <v>40C</v>
      </c>
      <c r="E76" s="10">
        <f>IF(ISBLANK(A74),"",E75+1)</f>
        <v>3</v>
      </c>
      <c r="F76" s="11">
        <f t="shared" si="88"/>
        <v>45477.72222</v>
      </c>
      <c r="G76" s="8">
        <v>3.892</v>
      </c>
    </row>
    <row r="77">
      <c r="A77" s="9" t="str">
        <f t="shared" si="86"/>
        <v>PROREP (S)</v>
      </c>
      <c r="B77" s="9" t="str">
        <f>IF(ISBLANK(A74),"",LEFT(B76,27)&amp;VALUE(RIGHT(B76,1)+1))</f>
        <v>JKS240702PROREP_40C_sample_4</v>
      </c>
      <c r="C77" s="6" t="str">
        <f t="shared" ref="C77:D77" si="89">C76</f>
        <v>Protea repens</v>
      </c>
      <c r="D77" s="6" t="str">
        <f t="shared" si="89"/>
        <v>40C</v>
      </c>
      <c r="E77" s="10">
        <f>IF(ISBLANK(A74),"",E76+1)</f>
        <v>4</v>
      </c>
      <c r="F77" s="11">
        <f t="shared" si="88"/>
        <v>45477.72222</v>
      </c>
      <c r="G77" s="8">
        <v>1.621</v>
      </c>
    </row>
    <row r="78">
      <c r="A78" s="9" t="str">
        <f t="shared" si="86"/>
        <v>PROREP (S)</v>
      </c>
      <c r="B78" s="9" t="str">
        <f>IF(ISBLANK(A74),"",LEFT(B77,27)&amp;VALUE(RIGHT(B77,1)+1))</f>
        <v>JKS240702PROREP_40C_sample_5</v>
      </c>
      <c r="C78" s="6" t="str">
        <f t="shared" ref="C78:D78" si="90">C77</f>
        <v>Protea repens</v>
      </c>
      <c r="D78" s="6" t="str">
        <f t="shared" si="90"/>
        <v>40C</v>
      </c>
      <c r="E78" s="10">
        <f>IF(ISBLANK(A74),"",E77+1)</f>
        <v>5</v>
      </c>
      <c r="F78" s="11">
        <f t="shared" si="88"/>
        <v>45477.72222</v>
      </c>
      <c r="G78" s="8">
        <v>6.372</v>
      </c>
    </row>
    <row r="79">
      <c r="A79" s="12" t="str">
        <f t="shared" si="86"/>
        <v>PROREP (S)</v>
      </c>
      <c r="B79" s="12" t="str">
        <f>IF(ISBLANK(A74),"",LEFT(B78,27)&amp;VALUE(RIGHT(B78,1)+1))</f>
        <v>JKS240702PROREP_40C_sample_6</v>
      </c>
      <c r="C79" s="13" t="str">
        <f t="shared" ref="C79:D79" si="91">C78</f>
        <v>Protea repens</v>
      </c>
      <c r="D79" s="13" t="str">
        <f t="shared" si="91"/>
        <v>40C</v>
      </c>
      <c r="E79" s="14">
        <f>IF(ISBLANK(A74),"",E78+1)</f>
        <v>6</v>
      </c>
      <c r="F79" s="15">
        <f t="shared" si="88"/>
        <v>45477.72222</v>
      </c>
      <c r="G79" s="16">
        <v>9.266</v>
      </c>
    </row>
    <row r="80">
      <c r="A80" s="5" t="s">
        <v>7</v>
      </c>
      <c r="B80" s="6" t="str">
        <f t="array" ref="B80">IF(ISBLANK(A80),"",IF(A80="PROREP (L)",VLOOKUP(LEFT($A80,6),'Data Feed (40C)'!$A$1:$G$10,2,FALSE),IF(A80="PROREP (S)", INDEX('Data Feed (40C)'!B:B, MATCH(LEFT($A80,6), 'Data Feed (40C)'!$A$1:$A$10, 0) + 1), VLOOKUP($A80,'Data Feed (40C)'!$A$1:$G$10,2,FALSE))))</f>
        <v>JKS240702ERIMON_40C_sample_1</v>
      </c>
      <c r="C80" s="6" t="str">
        <f t="array" ref="C80">IF(ISBLANK(A80),"",IF(A80="PROREP (L)",VLOOKUP(LEFT($A80,6),'Data Feed (40C)'!$A$1:$G$10,3,FALSE),IF(A80="PROREP (S)", INDEX('Data Feed (40C)'!C:C, MATCH(LEFT($A80,6), 'Data Feed (40C)'!$A$1:$A$10, 0) + 1, +1), VLOOKUP($A80,'Data Feed (40C)'!$A$1:$G$10,3,FALSE))))</f>
        <v>Erica monsoniana</v>
      </c>
      <c r="D80" s="6" t="str">
        <f t="array" ref="D80">IF(ISBLANK(A80),"",IF(A80="PROREP (L)",VLOOKUP(LEFT($A80,6),'Data Feed (40C)'!$A$1:$G$10,4,FALSE),IF(A80="PROREP (S)", INDEX('Data Feed (40C)'!D:D, MATCH(LEFT($A80,6), 'Data Feed (40C)'!$A$1:$A$10, 0) + 1, +1), VLOOKUP($A80,'Data Feed (40C)'!$A$1:$G$10,4,FALSE))))</f>
        <v>40C</v>
      </c>
      <c r="E80" s="6">
        <f t="array" ref="E80">IF(ISBLANK(A80),"",IF(A80="PROREP (L)",VLOOKUP(LEFT($A80,6),'Data Feed (40C)'!$A$1:$G$10,7,FALSE),IF(A80="PROREP (S)", INDEX('Data Feed (40C)'!G:G, MATCH(LEFT($A80,6), 'Data Feed (40C)'!$A$1:$A$10, 0) + 1, +1), VLOOKUP($A80,'Data Feed (40C)'!$A$1:$G$10,7,FALSE))))</f>
        <v>1</v>
      </c>
      <c r="F80" s="7">
        <v>45477.75069444445</v>
      </c>
      <c r="G80" s="8">
        <v>0.945</v>
      </c>
    </row>
    <row r="81">
      <c r="A81" s="9" t="str">
        <f t="shared" ref="A81:A85" si="93">A80</f>
        <v>ERIMON</v>
      </c>
      <c r="B81" s="9" t="str">
        <f>IF(ISBLANK(A80),"",LEFT(B80,27)&amp;VALUE(RIGHT(B80,1)+1))</f>
        <v>JKS240702ERIMON_40C_sample_2</v>
      </c>
      <c r="C81" s="6" t="str">
        <f t="shared" ref="C81:D81" si="92">C80</f>
        <v>Erica monsoniana</v>
      </c>
      <c r="D81" s="6" t="str">
        <f t="shared" si="92"/>
        <v>40C</v>
      </c>
      <c r="E81" s="10">
        <f>IF(ISBLANK(A80),"",E80+1)</f>
        <v>2</v>
      </c>
      <c r="F81" s="11">
        <f t="shared" ref="F81:F85" si="95">F80</f>
        <v>45477.75069</v>
      </c>
      <c r="G81" s="8">
        <v>0.985</v>
      </c>
    </row>
    <row r="82">
      <c r="A82" s="9" t="str">
        <f t="shared" si="93"/>
        <v>ERIMON</v>
      </c>
      <c r="B82" s="9" t="str">
        <f>IF(ISBLANK(A80),"",LEFT(B81,27)&amp;VALUE(RIGHT(B81,1)+1))</f>
        <v>JKS240702ERIMON_40C_sample_3</v>
      </c>
      <c r="C82" s="6" t="str">
        <f t="shared" ref="C82:D82" si="94">C81</f>
        <v>Erica monsoniana</v>
      </c>
      <c r="D82" s="6" t="str">
        <f t="shared" si="94"/>
        <v>40C</v>
      </c>
      <c r="E82" s="10">
        <f>IF(ISBLANK(A80),"",E81+1)</f>
        <v>3</v>
      </c>
      <c r="F82" s="11">
        <f t="shared" si="95"/>
        <v>45477.75069</v>
      </c>
      <c r="G82" s="8">
        <v>0.843</v>
      </c>
    </row>
    <row r="83">
      <c r="A83" s="9" t="str">
        <f t="shared" si="93"/>
        <v>ERIMON</v>
      </c>
      <c r="B83" s="9" t="str">
        <f>IF(ISBLANK(A80),"",LEFT(B82,27)&amp;VALUE(RIGHT(B82,1)+1))</f>
        <v>JKS240702ERIMON_40C_sample_4</v>
      </c>
      <c r="C83" s="6" t="str">
        <f t="shared" ref="C83:D83" si="96">C82</f>
        <v>Erica monsoniana</v>
      </c>
      <c r="D83" s="6" t="str">
        <f t="shared" si="96"/>
        <v>40C</v>
      </c>
      <c r="E83" s="10">
        <f>IF(ISBLANK(A80),"",E82+1)</f>
        <v>4</v>
      </c>
      <c r="F83" s="11">
        <f t="shared" si="95"/>
        <v>45477.75069</v>
      </c>
      <c r="G83" s="8">
        <v>2.027</v>
      </c>
    </row>
    <row r="84">
      <c r="A84" s="9" t="str">
        <f t="shared" si="93"/>
        <v>ERIMON</v>
      </c>
      <c r="B84" s="9" t="str">
        <f>IF(ISBLANK(A80),"",LEFT(B83,27)&amp;VALUE(RIGHT(B83,1)+1))</f>
        <v>JKS240702ERIMON_40C_sample_5</v>
      </c>
      <c r="C84" s="6" t="str">
        <f t="shared" ref="C84:D84" si="97">C83</f>
        <v>Erica monsoniana</v>
      </c>
      <c r="D84" s="6" t="str">
        <f t="shared" si="97"/>
        <v>40C</v>
      </c>
      <c r="E84" s="10">
        <f>IF(ISBLANK(A80),"",E83+1)</f>
        <v>5</v>
      </c>
      <c r="F84" s="11">
        <f t="shared" si="95"/>
        <v>45477.75069</v>
      </c>
      <c r="G84" s="8">
        <v>0.723</v>
      </c>
    </row>
    <row r="85">
      <c r="A85" s="12" t="str">
        <f t="shared" si="93"/>
        <v>ERIMON</v>
      </c>
      <c r="B85" s="12" t="str">
        <f>IF(ISBLANK(A80),"",LEFT(B84,27)&amp;VALUE(RIGHT(B84,1)+1))</f>
        <v>JKS240702ERIMON_40C_sample_6</v>
      </c>
      <c r="C85" s="13" t="str">
        <f t="shared" ref="C85:D85" si="98">C84</f>
        <v>Erica monsoniana</v>
      </c>
      <c r="D85" s="13" t="str">
        <f t="shared" si="98"/>
        <v>40C</v>
      </c>
      <c r="E85" s="14">
        <f>IF(ISBLANK(A80),"",E84+1)</f>
        <v>6</v>
      </c>
      <c r="F85" s="15">
        <f t="shared" si="95"/>
        <v>45477.75069</v>
      </c>
      <c r="G85" s="16">
        <v>1.155</v>
      </c>
    </row>
    <row r="86">
      <c r="A86" s="5" t="s">
        <v>8</v>
      </c>
      <c r="B86" s="6" t="str">
        <f t="array" ref="B86">IF(ISBLANK(A86),"",IF(A86="PROREP (L)",VLOOKUP(LEFT($A86,6),'Data Feed (40C)'!$A$1:$G$10,2,FALSE),IF(A86="PROREP (S)", INDEX('Data Feed (40C)'!B:B, MATCH(LEFT($A86,6), 'Data Feed (40C)'!$A$1:$A$10, 0) + 1), VLOOKUP($A86,'Data Feed (40C)'!$A$1:$G$10,2,FALSE))))</f>
        <v>JKL240702PROREP_40C_sample_1</v>
      </c>
      <c r="C86" s="6" t="str">
        <f t="array" ref="C86">IF(ISBLANK(A86),"",IF(A86="PROREP (L)",VLOOKUP(LEFT($A86,6),'Data Feed (40C)'!$A$1:$G$10,3,FALSE),IF(A86="PROREP (S)", INDEX('Data Feed (40C)'!C:C, MATCH(LEFT($A86,6), 'Data Feed (40C)'!$A$1:$A$10, 0) + 1, +1), VLOOKUP($A86,'Data Feed (40C)'!$A$1:$G$10,3,FALSE))))</f>
        <v>Protea repens</v>
      </c>
      <c r="D86" s="6" t="str">
        <f t="array" ref="D86">IF(ISBLANK(A86),"",IF(A86="PROREP (L)",VLOOKUP(LEFT($A86,6),'Data Feed (40C)'!$A$1:$G$10,4,FALSE),IF(A86="PROREP (S)", INDEX('Data Feed (40C)'!D:D, MATCH(LEFT($A86,6), 'Data Feed (40C)'!$A$1:$A$10, 0) + 1, +1), VLOOKUP($A86,'Data Feed (40C)'!$A$1:$G$10,4,FALSE))))</f>
        <v>40C</v>
      </c>
      <c r="E86" s="6">
        <f t="array" ref="E86">IF(ISBLANK(A86),"",IF(A86="PROREP (L)",VLOOKUP(LEFT($A86,6),'Data Feed (40C)'!$A$1:$G$10,7,FALSE),IF(A86="PROREP (S)", INDEX('Data Feed (40C)'!G:G, MATCH(LEFT($A86,6), 'Data Feed (40C)'!$A$1:$A$10, 0) + 1, +1), VLOOKUP($A86,'Data Feed (40C)'!$A$1:$G$10,7,FALSE))))</f>
        <v>1</v>
      </c>
      <c r="F86" s="7">
        <v>45477.75208333333</v>
      </c>
      <c r="G86" s="8">
        <v>0.471</v>
      </c>
    </row>
    <row r="87">
      <c r="A87" s="9" t="str">
        <f t="shared" ref="A87:A91" si="100">A86</f>
        <v>PROREP (L)</v>
      </c>
      <c r="B87" s="9" t="str">
        <f>IF(ISBLANK(A86),"",LEFT(B86,27)&amp;VALUE(RIGHT(B86,1)+1))</f>
        <v>JKL240702PROREP_40C_sample_2</v>
      </c>
      <c r="C87" s="6" t="str">
        <f t="shared" ref="C87:D87" si="99">C86</f>
        <v>Protea repens</v>
      </c>
      <c r="D87" s="6" t="str">
        <f t="shared" si="99"/>
        <v>40C</v>
      </c>
      <c r="E87" s="10">
        <f>IF(ISBLANK(A86),"",E86+1)</f>
        <v>2</v>
      </c>
      <c r="F87" s="11">
        <f t="shared" ref="F87:F91" si="102">F86</f>
        <v>45477.75208</v>
      </c>
      <c r="G87" s="8">
        <v>0.395</v>
      </c>
    </row>
    <row r="88">
      <c r="A88" s="9" t="str">
        <f t="shared" si="100"/>
        <v>PROREP (L)</v>
      </c>
      <c r="B88" s="9" t="str">
        <f>IF(ISBLANK(A86),"",LEFT(B87,27)&amp;VALUE(RIGHT(B87,1)+1))</f>
        <v>JKL240702PROREP_40C_sample_3</v>
      </c>
      <c r="C88" s="6" t="str">
        <f t="shared" ref="C88:D88" si="101">C87</f>
        <v>Protea repens</v>
      </c>
      <c r="D88" s="6" t="str">
        <f t="shared" si="101"/>
        <v>40C</v>
      </c>
      <c r="E88" s="10">
        <f>IF(ISBLANK(A86),"",E87+1)</f>
        <v>3</v>
      </c>
      <c r="F88" s="11">
        <f t="shared" si="102"/>
        <v>45477.75208</v>
      </c>
      <c r="G88" s="8">
        <v>0.402</v>
      </c>
    </row>
    <row r="89">
      <c r="A89" s="9" t="str">
        <f t="shared" si="100"/>
        <v>PROREP (L)</v>
      </c>
      <c r="B89" s="9" t="str">
        <f>IF(ISBLANK(A86),"",LEFT(B88,27)&amp;VALUE(RIGHT(B88,1)+1))</f>
        <v>JKL240702PROREP_40C_sample_4</v>
      </c>
      <c r="C89" s="6" t="str">
        <f t="shared" ref="C89:D89" si="103">C88</f>
        <v>Protea repens</v>
      </c>
      <c r="D89" s="6" t="str">
        <f t="shared" si="103"/>
        <v>40C</v>
      </c>
      <c r="E89" s="10">
        <f>IF(ISBLANK(A86),"",E88+1)</f>
        <v>4</v>
      </c>
      <c r="F89" s="11">
        <f t="shared" si="102"/>
        <v>45477.75208</v>
      </c>
      <c r="G89" s="8">
        <v>0.221</v>
      </c>
    </row>
    <row r="90">
      <c r="A90" s="9" t="str">
        <f t="shared" si="100"/>
        <v>PROREP (L)</v>
      </c>
      <c r="B90" s="9" t="str">
        <f>IF(ISBLANK(A86),"",LEFT(B89,27)&amp;VALUE(RIGHT(B89,1)+1))</f>
        <v>JKL240702PROREP_40C_sample_5</v>
      </c>
      <c r="C90" s="6" t="str">
        <f t="shared" ref="C90:D90" si="104">C89</f>
        <v>Protea repens</v>
      </c>
      <c r="D90" s="6" t="str">
        <f t="shared" si="104"/>
        <v>40C</v>
      </c>
      <c r="E90" s="10">
        <f>IF(ISBLANK(A86),"",E89+1)</f>
        <v>5</v>
      </c>
      <c r="F90" s="11">
        <f t="shared" si="102"/>
        <v>45477.75208</v>
      </c>
      <c r="G90" s="8">
        <v>0.281</v>
      </c>
    </row>
    <row r="91">
      <c r="A91" s="12" t="str">
        <f t="shared" si="100"/>
        <v>PROREP (L)</v>
      </c>
      <c r="B91" s="12" t="str">
        <f>IF(ISBLANK(A86),"",LEFT(B90,27)&amp;VALUE(RIGHT(B90,1)+1))</f>
        <v>JKL240702PROREP_40C_sample_6</v>
      </c>
      <c r="C91" s="13" t="str">
        <f t="shared" ref="C91:D91" si="105">C90</f>
        <v>Protea repens</v>
      </c>
      <c r="D91" s="13" t="str">
        <f t="shared" si="105"/>
        <v>40C</v>
      </c>
      <c r="E91" s="14">
        <f>IF(ISBLANK(A86),"",E90+1)</f>
        <v>6</v>
      </c>
      <c r="F91" s="15">
        <f t="shared" si="102"/>
        <v>45477.75208</v>
      </c>
      <c r="G91" s="16">
        <v>0.308</v>
      </c>
    </row>
    <row r="92">
      <c r="A92" s="5" t="s">
        <v>9</v>
      </c>
      <c r="B92" s="6" t="str">
        <f t="array" ref="B92">IF(ISBLANK(A92),"",IF(A92="PROREP (L)",VLOOKUP(LEFT($A92,6),'Data Feed (40C)'!$A$1:$G$10,2,FALSE),IF(A92="PROREP (S)", INDEX('Data Feed (40C)'!B:B, MATCH(LEFT($A92,6), 'Data Feed (40C)'!$A$1:$A$10, 0) + 1), VLOOKUP($A92,'Data Feed (40C)'!$A$1:$G$10,2,FALSE))))</f>
        <v>JKS240702PROREP_40C_sample_1</v>
      </c>
      <c r="C92" s="6" t="str">
        <f t="array" ref="C92">IF(ISBLANK(A92),"",IF(A92="PROREP (L)",VLOOKUP(LEFT($A92,6),'Data Feed (40C)'!$A$1:$G$10,3,FALSE),IF(A92="PROREP (S)", INDEX('Data Feed (40C)'!C:C, MATCH(LEFT($A92,6), 'Data Feed (40C)'!$A$1:$A$10, 0) + 1, +1), VLOOKUP($A92,'Data Feed (40C)'!$A$1:$G$10,3,FALSE))))</f>
        <v>Protea repens</v>
      </c>
      <c r="D92" s="6" t="str">
        <f t="array" ref="D92">IF(ISBLANK(A92),"",IF(A92="PROREP (L)",VLOOKUP(LEFT($A92,6),'Data Feed (40C)'!$A$1:$G$10,4,FALSE),IF(A92="PROREP (S)", INDEX('Data Feed (40C)'!D:D, MATCH(LEFT($A92,6), 'Data Feed (40C)'!$A$1:$A$10, 0) + 1, +1), VLOOKUP($A92,'Data Feed (40C)'!$A$1:$G$10,4,FALSE))))</f>
        <v>40C</v>
      </c>
      <c r="E92" s="6">
        <f t="array" ref="E92">IF(ISBLANK(A92),"",IF(A92="PROREP (L)",VLOOKUP(LEFT($A92,6),'Data Feed (40C)'!$A$1:$G$10,7,FALSE),IF(A92="PROREP (S)", INDEX('Data Feed (40C)'!G:G, MATCH(LEFT($A92,6), 'Data Feed (40C)'!$A$1:$A$10, 0) + 1, +1), VLOOKUP($A92,'Data Feed (40C)'!$A$1:$G$10,7,FALSE))))</f>
        <v>1</v>
      </c>
      <c r="F92" s="7">
        <v>45477.75347222222</v>
      </c>
      <c r="G92" s="8">
        <v>6.007</v>
      </c>
    </row>
    <row r="93">
      <c r="A93" s="9" t="str">
        <f t="shared" ref="A93:A97" si="107">A92</f>
        <v>PROREP (S)</v>
      </c>
      <c r="B93" s="9" t="str">
        <f>IF(ISBLANK(A92),"",LEFT(B92,27)&amp;VALUE(RIGHT(B92,1)+1))</f>
        <v>JKS240702PROREP_40C_sample_2</v>
      </c>
      <c r="C93" s="6" t="str">
        <f t="shared" ref="C93:D93" si="106">C92</f>
        <v>Protea repens</v>
      </c>
      <c r="D93" s="6" t="str">
        <f t="shared" si="106"/>
        <v>40C</v>
      </c>
      <c r="E93" s="10">
        <f>IF(ISBLANK(A92),"",E92+1)</f>
        <v>2</v>
      </c>
      <c r="F93" s="11">
        <f t="shared" ref="F93:F97" si="109">F92</f>
        <v>45477.75347</v>
      </c>
      <c r="G93" s="8">
        <v>9.367</v>
      </c>
    </row>
    <row r="94">
      <c r="A94" s="9" t="str">
        <f t="shared" si="107"/>
        <v>PROREP (S)</v>
      </c>
      <c r="B94" s="9" t="str">
        <f>IF(ISBLANK(A92),"",LEFT(B93,27)&amp;VALUE(RIGHT(B93,1)+1))</f>
        <v>JKS240702PROREP_40C_sample_3</v>
      </c>
      <c r="C94" s="6" t="str">
        <f t="shared" ref="C94:D94" si="108">C93</f>
        <v>Protea repens</v>
      </c>
      <c r="D94" s="6" t="str">
        <f t="shared" si="108"/>
        <v>40C</v>
      </c>
      <c r="E94" s="10">
        <f>IF(ISBLANK(A92),"",E93+1)</f>
        <v>3</v>
      </c>
      <c r="F94" s="11">
        <f t="shared" si="109"/>
        <v>45477.75347</v>
      </c>
      <c r="G94" s="8">
        <v>3.678</v>
      </c>
    </row>
    <row r="95">
      <c r="A95" s="9" t="str">
        <f t="shared" si="107"/>
        <v>PROREP (S)</v>
      </c>
      <c r="B95" s="9" t="str">
        <f>IF(ISBLANK(A92),"",LEFT(B94,27)&amp;VALUE(RIGHT(B94,1)+1))</f>
        <v>JKS240702PROREP_40C_sample_4</v>
      </c>
      <c r="C95" s="6" t="str">
        <f t="shared" ref="C95:D95" si="110">C94</f>
        <v>Protea repens</v>
      </c>
      <c r="D95" s="6" t="str">
        <f t="shared" si="110"/>
        <v>40C</v>
      </c>
      <c r="E95" s="10">
        <f>IF(ISBLANK(A92),"",E94+1)</f>
        <v>4</v>
      </c>
      <c r="F95" s="11">
        <f t="shared" si="109"/>
        <v>45477.75347</v>
      </c>
      <c r="G95" s="8">
        <v>1.573</v>
      </c>
    </row>
    <row r="96">
      <c r="A96" s="9" t="str">
        <f t="shared" si="107"/>
        <v>PROREP (S)</v>
      </c>
      <c r="B96" s="9" t="str">
        <f>IF(ISBLANK(A92),"",LEFT(B95,27)&amp;VALUE(RIGHT(B95,1)+1))</f>
        <v>JKS240702PROREP_40C_sample_5</v>
      </c>
      <c r="C96" s="6" t="str">
        <f t="shared" ref="C96:D96" si="111">C95</f>
        <v>Protea repens</v>
      </c>
      <c r="D96" s="6" t="str">
        <f t="shared" si="111"/>
        <v>40C</v>
      </c>
      <c r="E96" s="10">
        <f>IF(ISBLANK(A92),"",E95+1)</f>
        <v>5</v>
      </c>
      <c r="F96" s="11">
        <f t="shared" si="109"/>
        <v>45477.75347</v>
      </c>
      <c r="G96" s="8">
        <v>6.107</v>
      </c>
    </row>
    <row r="97">
      <c r="A97" s="12" t="str">
        <f t="shared" si="107"/>
        <v>PROREP (S)</v>
      </c>
      <c r="B97" s="12" t="str">
        <f>IF(ISBLANK(A92),"",LEFT(B96,27)&amp;VALUE(RIGHT(B96,1)+1))</f>
        <v>JKS240702PROREP_40C_sample_6</v>
      </c>
      <c r="C97" s="13" t="str">
        <f t="shared" ref="C97:D97" si="112">C96</f>
        <v>Protea repens</v>
      </c>
      <c r="D97" s="13" t="str">
        <f t="shared" si="112"/>
        <v>40C</v>
      </c>
      <c r="E97" s="14">
        <f>IF(ISBLANK(A92),"",E96+1)</f>
        <v>6</v>
      </c>
      <c r="F97" s="15">
        <f t="shared" si="109"/>
        <v>45477.75347</v>
      </c>
      <c r="G97" s="16">
        <v>8.961</v>
      </c>
    </row>
    <row r="98">
      <c r="A98" s="5" t="s">
        <v>10</v>
      </c>
      <c r="B98" s="6" t="str">
        <f t="array" ref="B98">IF(ISBLANK(A98),"",IF(A98="PROREP (L)",VLOOKUP(LEFT($A98,6),'Data Feed (40C)'!$A$1:$G$10,2,FALSE),IF(A98="PROREP (S)", INDEX('Data Feed (40C)'!B:B, MATCH(LEFT($A98,6), 'Data Feed (40C)'!$A$1:$A$10, 0) + 1), VLOOKUP($A98,'Data Feed (40C)'!$A$1:$G$10,2,FALSE))))</f>
        <v>JKS240702CANCON_40C_sample_1</v>
      </c>
      <c r="C98" s="6" t="str">
        <f t="array" ref="C98">IF(ISBLANK(A98),"",IF(A98="PROREP (L)",VLOOKUP(LEFT($A98,6),'Data Feed (40C)'!$A$1:$G$10,3,FALSE),IF(A98="PROREP (S)", INDEX('Data Feed (40C)'!C:C, MATCH(LEFT($A98,6), 'Data Feed (40C)'!$A$1:$A$10, 0) + 1, +1), VLOOKUP($A98,'Data Feed (40C)'!$A$1:$G$10,3,FALSE))))</f>
        <v>Cannomois congesta</v>
      </c>
      <c r="D98" s="6" t="str">
        <f t="array" ref="D98">IF(ISBLANK(A98),"",IF(A98="PROREP (L)",VLOOKUP(LEFT($A98,6),'Data Feed (40C)'!$A$1:$G$10,4,FALSE),IF(A98="PROREP (S)", INDEX('Data Feed (40C)'!D:D, MATCH(LEFT($A98,6), 'Data Feed (40C)'!$A$1:$A$10, 0) + 1, +1), VLOOKUP($A98,'Data Feed (40C)'!$A$1:$G$10,4,FALSE))))</f>
        <v>40C</v>
      </c>
      <c r="E98" s="6">
        <f t="array" ref="E98">IF(ISBLANK(A98),"",IF(A98="PROREP (L)",VLOOKUP(LEFT($A98,6),'Data Feed (40C)'!$A$1:$G$10,7,FALSE),IF(A98="PROREP (S)", INDEX('Data Feed (40C)'!G:G, MATCH(LEFT($A98,6), 'Data Feed (40C)'!$A$1:$A$10, 0) + 1, +1), VLOOKUP($A98,'Data Feed (40C)'!$A$1:$G$10,7,FALSE))))</f>
        <v>1</v>
      </c>
      <c r="F98" s="7">
        <v>45477.75486111111</v>
      </c>
      <c r="G98" s="8">
        <v>0.995</v>
      </c>
    </row>
    <row r="99">
      <c r="A99" s="9" t="str">
        <f t="shared" ref="A99:A103" si="114">A98</f>
        <v>CANCON</v>
      </c>
      <c r="B99" s="9" t="str">
        <f>IF(ISBLANK(A98),"",LEFT(B98,27)&amp;VALUE(RIGHT(B98,1)+1))</f>
        <v>JKS240702CANCON_40C_sample_2</v>
      </c>
      <c r="C99" s="6" t="str">
        <f t="shared" ref="C99:D99" si="113">C98</f>
        <v>Cannomois congesta</v>
      </c>
      <c r="D99" s="6" t="str">
        <f t="shared" si="113"/>
        <v>40C</v>
      </c>
      <c r="E99" s="10">
        <f>IF(ISBLANK(A98),"",E98+1)</f>
        <v>2</v>
      </c>
      <c r="F99" s="11">
        <f t="shared" ref="F99:F103" si="116">F98</f>
        <v>45477.75486</v>
      </c>
      <c r="G99" s="8">
        <v>2.058</v>
      </c>
    </row>
    <row r="100">
      <c r="A100" s="9" t="str">
        <f t="shared" si="114"/>
        <v>CANCON</v>
      </c>
      <c r="B100" s="9" t="str">
        <f>IF(ISBLANK(A98),"",LEFT(B99,27)&amp;VALUE(RIGHT(B99,1)+1))</f>
        <v>JKS240702CANCON_40C_sample_3</v>
      </c>
      <c r="C100" s="6" t="str">
        <f t="shared" ref="C100:D100" si="115">C99</f>
        <v>Cannomois congesta</v>
      </c>
      <c r="D100" s="6" t="str">
        <f t="shared" si="115"/>
        <v>40C</v>
      </c>
      <c r="E100" s="10">
        <f>IF(ISBLANK(A98),"",E99+1)</f>
        <v>3</v>
      </c>
      <c r="F100" s="11">
        <f t="shared" si="116"/>
        <v>45477.75486</v>
      </c>
      <c r="G100" s="8">
        <v>1.084</v>
      </c>
    </row>
    <row r="101">
      <c r="A101" s="9" t="str">
        <f t="shared" si="114"/>
        <v>CANCON</v>
      </c>
      <c r="B101" s="9" t="str">
        <f>IF(ISBLANK(A98),"",LEFT(B100,27)&amp;VALUE(RIGHT(B100,1)+1))</f>
        <v>JKS240702CANCON_40C_sample_4</v>
      </c>
      <c r="C101" s="6" t="str">
        <f t="shared" ref="C101:D101" si="117">C100</f>
        <v>Cannomois congesta</v>
      </c>
      <c r="D101" s="6" t="str">
        <f t="shared" si="117"/>
        <v>40C</v>
      </c>
      <c r="E101" s="10">
        <f>IF(ISBLANK(A98),"",E100+1)</f>
        <v>4</v>
      </c>
      <c r="F101" s="11">
        <f t="shared" si="116"/>
        <v>45477.75486</v>
      </c>
      <c r="G101" s="8">
        <v>1.669</v>
      </c>
    </row>
    <row r="102">
      <c r="A102" s="9" t="str">
        <f t="shared" si="114"/>
        <v>CANCON</v>
      </c>
      <c r="B102" s="9" t="str">
        <f>IF(ISBLANK(A98),"",LEFT(B101,27)&amp;VALUE(RIGHT(B101,1)+1))</f>
        <v>JKS240702CANCON_40C_sample_5</v>
      </c>
      <c r="C102" s="6" t="str">
        <f t="shared" ref="C102:D102" si="118">C101</f>
        <v>Cannomois congesta</v>
      </c>
      <c r="D102" s="6" t="str">
        <f t="shared" si="118"/>
        <v>40C</v>
      </c>
      <c r="E102" s="10">
        <f>IF(ISBLANK(A98),"",E101+1)</f>
        <v>5</v>
      </c>
      <c r="F102" s="11">
        <f t="shared" si="116"/>
        <v>45477.75486</v>
      </c>
      <c r="G102" s="8">
        <v>0.882</v>
      </c>
    </row>
    <row r="103">
      <c r="A103" s="12" t="str">
        <f t="shared" si="114"/>
        <v>CANCON</v>
      </c>
      <c r="B103" s="12" t="str">
        <f>IF(ISBLANK(A98),"",LEFT(B102,27)&amp;VALUE(RIGHT(B102,1)+1))</f>
        <v>JKS240702CANCON_40C_sample_6</v>
      </c>
      <c r="C103" s="13" t="str">
        <f t="shared" ref="C103:D103" si="119">C102</f>
        <v>Cannomois congesta</v>
      </c>
      <c r="D103" s="13" t="str">
        <f t="shared" si="119"/>
        <v>40C</v>
      </c>
      <c r="E103" s="14">
        <f>IF(ISBLANK(A98),"",E102+1)</f>
        <v>6</v>
      </c>
      <c r="F103" s="15">
        <f t="shared" si="116"/>
        <v>45477.75486</v>
      </c>
      <c r="G103" s="16">
        <v>1.754</v>
      </c>
    </row>
    <row r="104">
      <c r="A104" s="5" t="s">
        <v>7</v>
      </c>
      <c r="B104" s="6" t="str">
        <f t="array" ref="B104">IF(ISBLANK(A104),"",IF(A104="PROREP (L)",VLOOKUP(LEFT($A104,6),'Data Feed (40C)'!$A$1:$G$10,2,FALSE),IF(A104="PROREP (S)", INDEX('Data Feed (40C)'!B:B, MATCH(LEFT($A104,6), 'Data Feed (40C)'!$A$1:$A$10, 0) + 1), VLOOKUP($A104,'Data Feed (40C)'!$A$1:$G$10,2,FALSE))))</f>
        <v>JKS240702ERIMON_40C_sample_1</v>
      </c>
      <c r="C104" s="6" t="str">
        <f t="array" ref="C104">IF(ISBLANK(A104),"",IF(A104="PROREP (L)",VLOOKUP(LEFT($A104,6),'Data Feed (40C)'!$A$1:$G$10,3,FALSE),IF(A104="PROREP (S)", INDEX('Data Feed (40C)'!C:C, MATCH(LEFT($A104,6), 'Data Feed (40C)'!$A$1:$A$10, 0) + 1, +1), VLOOKUP($A104,'Data Feed (40C)'!$A$1:$G$10,3,FALSE))))</f>
        <v>Erica monsoniana</v>
      </c>
      <c r="D104" s="6" t="str">
        <f t="array" ref="D104">IF(ISBLANK(A104),"",IF(A104="PROREP (L)",VLOOKUP(LEFT($A104,6),'Data Feed (40C)'!$A$1:$G$10,4,FALSE),IF(A104="PROREP (S)", INDEX('Data Feed (40C)'!D:D, MATCH(LEFT($A104,6), 'Data Feed (40C)'!$A$1:$A$10, 0) + 1, +1), VLOOKUP($A104,'Data Feed (40C)'!$A$1:$G$10,4,FALSE))))</f>
        <v>40C</v>
      </c>
      <c r="E104" s="6">
        <f t="array" ref="E104">IF(ISBLANK(A104),"",IF(A104="PROREP (L)",VLOOKUP(LEFT($A104,6),'Data Feed (40C)'!$A$1:$G$10,7,FALSE),IF(A104="PROREP (S)", INDEX('Data Feed (40C)'!G:G, MATCH(LEFT($A104,6), 'Data Feed (40C)'!$A$1:$A$10, 0) + 1, +1), VLOOKUP($A104,'Data Feed (40C)'!$A$1:$G$10,7,FALSE))))</f>
        <v>1</v>
      </c>
      <c r="F104" s="7">
        <v>45477.78194444445</v>
      </c>
      <c r="G104" s="8">
        <v>0.869</v>
      </c>
    </row>
    <row r="105">
      <c r="A105" s="9" t="str">
        <f t="shared" ref="A105:A109" si="121">A104</f>
        <v>ERIMON</v>
      </c>
      <c r="B105" s="9" t="str">
        <f>IF(ISBLANK(A104),"",LEFT(B104,27)&amp;VALUE(RIGHT(B104,1)+1))</f>
        <v>JKS240702ERIMON_40C_sample_2</v>
      </c>
      <c r="C105" s="6" t="str">
        <f t="shared" ref="C105:D105" si="120">C104</f>
        <v>Erica monsoniana</v>
      </c>
      <c r="D105" s="6" t="str">
        <f t="shared" si="120"/>
        <v>40C</v>
      </c>
      <c r="E105" s="10">
        <f>IF(ISBLANK(A104),"",E104+1)</f>
        <v>2</v>
      </c>
      <c r="F105" s="11">
        <f t="shared" ref="F105:F109" si="123">F104</f>
        <v>45477.78194</v>
      </c>
      <c r="G105" s="8">
        <v>0.97</v>
      </c>
    </row>
    <row r="106">
      <c r="A106" s="9" t="str">
        <f t="shared" si="121"/>
        <v>ERIMON</v>
      </c>
      <c r="B106" s="9" t="str">
        <f>IF(ISBLANK(A104),"",LEFT(B105,27)&amp;VALUE(RIGHT(B105,1)+1))</f>
        <v>JKS240702ERIMON_40C_sample_3</v>
      </c>
      <c r="C106" s="6" t="str">
        <f t="shared" ref="C106:D106" si="122">C105</f>
        <v>Erica monsoniana</v>
      </c>
      <c r="D106" s="6" t="str">
        <f t="shared" si="122"/>
        <v>40C</v>
      </c>
      <c r="E106" s="10">
        <f>IF(ISBLANK(A104),"",E105+1)</f>
        <v>3</v>
      </c>
      <c r="F106" s="11">
        <f t="shared" si="123"/>
        <v>45477.78194</v>
      </c>
      <c r="G106" s="8">
        <v>0.836</v>
      </c>
    </row>
    <row r="107">
      <c r="A107" s="9" t="str">
        <f t="shared" si="121"/>
        <v>ERIMON</v>
      </c>
      <c r="B107" s="9" t="str">
        <f>IF(ISBLANK(A104),"",LEFT(B106,27)&amp;VALUE(RIGHT(B106,1)+1))</f>
        <v>JKS240702ERIMON_40C_sample_4</v>
      </c>
      <c r="C107" s="6" t="str">
        <f t="shared" ref="C107:D107" si="124">C106</f>
        <v>Erica monsoniana</v>
      </c>
      <c r="D107" s="6" t="str">
        <f t="shared" si="124"/>
        <v>40C</v>
      </c>
      <c r="E107" s="10">
        <f>IF(ISBLANK(A104),"",E106+1)</f>
        <v>4</v>
      </c>
      <c r="F107" s="11">
        <f t="shared" si="123"/>
        <v>45477.78194</v>
      </c>
      <c r="G107" s="8">
        <v>1.995</v>
      </c>
    </row>
    <row r="108">
      <c r="A108" s="9" t="str">
        <f t="shared" si="121"/>
        <v>ERIMON</v>
      </c>
      <c r="B108" s="9" t="str">
        <f>IF(ISBLANK(A104),"",LEFT(B107,27)&amp;VALUE(RIGHT(B107,1)+1))</f>
        <v>JKS240702ERIMON_40C_sample_5</v>
      </c>
      <c r="C108" s="6" t="str">
        <f t="shared" ref="C108:D108" si="125">C107</f>
        <v>Erica monsoniana</v>
      </c>
      <c r="D108" s="6" t="str">
        <f t="shared" si="125"/>
        <v>40C</v>
      </c>
      <c r="E108" s="10">
        <f>IF(ISBLANK(A104),"",E107+1)</f>
        <v>5</v>
      </c>
      <c r="F108" s="11">
        <f t="shared" si="123"/>
        <v>45477.78194</v>
      </c>
      <c r="G108" s="8">
        <v>0.726</v>
      </c>
    </row>
    <row r="109">
      <c r="A109" s="12" t="str">
        <f t="shared" si="121"/>
        <v>ERIMON</v>
      </c>
      <c r="B109" s="12" t="str">
        <f>IF(ISBLANK(A104),"",LEFT(B108,27)&amp;VALUE(RIGHT(B108,1)+1))</f>
        <v>JKS240702ERIMON_40C_sample_6</v>
      </c>
      <c r="C109" s="13" t="str">
        <f t="shared" ref="C109:D109" si="126">C108</f>
        <v>Erica monsoniana</v>
      </c>
      <c r="D109" s="13" t="str">
        <f t="shared" si="126"/>
        <v>40C</v>
      </c>
      <c r="E109" s="14">
        <f>IF(ISBLANK(A104),"",E108+1)</f>
        <v>6</v>
      </c>
      <c r="F109" s="15">
        <f t="shared" si="123"/>
        <v>45477.78194</v>
      </c>
      <c r="G109" s="16">
        <v>1.135</v>
      </c>
    </row>
    <row r="110">
      <c r="A110" s="5" t="s">
        <v>8</v>
      </c>
      <c r="B110" s="6" t="str">
        <f t="array" ref="B110">IF(ISBLANK(A110),"",IF(A110="PROREP (L)",VLOOKUP(LEFT($A110,6),'Data Feed (40C)'!$A$1:$G$10,2,FALSE),IF(A110="PROREP (S)", INDEX('Data Feed (40C)'!B:B, MATCH(LEFT($A110,6), 'Data Feed (40C)'!$A$1:$A$10, 0) + 1), VLOOKUP($A110,'Data Feed (40C)'!$A$1:$G$10,2,FALSE))))</f>
        <v>JKL240702PROREP_40C_sample_1</v>
      </c>
      <c r="C110" s="6" t="str">
        <f t="array" ref="C110">IF(ISBLANK(A110),"",IF(A110="PROREP (L)",VLOOKUP(LEFT($A110,6),'Data Feed (40C)'!$A$1:$G$10,3,FALSE),IF(A110="PROREP (S)", INDEX('Data Feed (40C)'!C:C, MATCH(LEFT($A110,6), 'Data Feed (40C)'!$A$1:$A$10, 0) + 1, +1), VLOOKUP($A110,'Data Feed (40C)'!$A$1:$G$10,3,FALSE))))</f>
        <v>Protea repens</v>
      </c>
      <c r="D110" s="6" t="str">
        <f t="array" ref="D110">IF(ISBLANK(A110),"",IF(A110="PROREP (L)",VLOOKUP(LEFT($A110,6),'Data Feed (40C)'!$A$1:$G$10,4,FALSE),IF(A110="PROREP (S)", INDEX('Data Feed (40C)'!D:D, MATCH(LEFT($A110,6), 'Data Feed (40C)'!$A$1:$A$10, 0) + 1, +1), VLOOKUP($A110,'Data Feed (40C)'!$A$1:$G$10,4,FALSE))))</f>
        <v>40C</v>
      </c>
      <c r="E110" s="6">
        <f t="array" ref="E110">IF(ISBLANK(A110),"",IF(A110="PROREP (L)",VLOOKUP(LEFT($A110,6),'Data Feed (40C)'!$A$1:$G$10,7,FALSE),IF(A110="PROREP (S)", INDEX('Data Feed (40C)'!G:G, MATCH(LEFT($A110,6), 'Data Feed (40C)'!$A$1:$A$10, 0) + 1, +1), VLOOKUP($A110,'Data Feed (40C)'!$A$1:$G$10,7,FALSE))))</f>
        <v>1</v>
      </c>
      <c r="F110" s="7">
        <v>45477.78333333333</v>
      </c>
      <c r="G110" s="8">
        <v>0.465</v>
      </c>
    </row>
    <row r="111">
      <c r="A111" s="9" t="str">
        <f t="shared" ref="A111:A115" si="128">A110</f>
        <v>PROREP (L)</v>
      </c>
      <c r="B111" s="9" t="str">
        <f>IF(ISBLANK(A110),"",LEFT(B110,27)&amp;VALUE(RIGHT(B110,1)+1))</f>
        <v>JKL240702PROREP_40C_sample_2</v>
      </c>
      <c r="C111" s="6" t="str">
        <f t="shared" ref="C111:D111" si="127">C110</f>
        <v>Protea repens</v>
      </c>
      <c r="D111" s="6" t="str">
        <f t="shared" si="127"/>
        <v>40C</v>
      </c>
      <c r="E111" s="10">
        <f>IF(ISBLANK(A110),"",E110+1)</f>
        <v>2</v>
      </c>
      <c r="F111" s="11">
        <f t="shared" ref="F111:F115" si="130">F110</f>
        <v>45477.78333</v>
      </c>
      <c r="G111" s="8">
        <v>0.382</v>
      </c>
    </row>
    <row r="112">
      <c r="A112" s="9" t="str">
        <f t="shared" si="128"/>
        <v>PROREP (L)</v>
      </c>
      <c r="B112" s="9" t="str">
        <f>IF(ISBLANK(A110),"",LEFT(B111,27)&amp;VALUE(RIGHT(B111,1)+1))</f>
        <v>JKL240702PROREP_40C_sample_3</v>
      </c>
      <c r="C112" s="6" t="str">
        <f t="shared" ref="C112:D112" si="129">C111</f>
        <v>Protea repens</v>
      </c>
      <c r="D112" s="6" t="str">
        <f t="shared" si="129"/>
        <v>40C</v>
      </c>
      <c r="E112" s="10">
        <f>IF(ISBLANK(A110),"",E111+1)</f>
        <v>3</v>
      </c>
      <c r="F112" s="11">
        <f t="shared" si="130"/>
        <v>45477.78333</v>
      </c>
      <c r="G112" s="8">
        <v>0.377</v>
      </c>
    </row>
    <row r="113">
      <c r="A113" s="9" t="str">
        <f t="shared" si="128"/>
        <v>PROREP (L)</v>
      </c>
      <c r="B113" s="9" t="str">
        <f>IF(ISBLANK(A110),"",LEFT(B112,27)&amp;VALUE(RIGHT(B112,1)+1))</f>
        <v>JKL240702PROREP_40C_sample_4</v>
      </c>
      <c r="C113" s="6" t="str">
        <f t="shared" ref="C113:D113" si="131">C112</f>
        <v>Protea repens</v>
      </c>
      <c r="D113" s="6" t="str">
        <f t="shared" si="131"/>
        <v>40C</v>
      </c>
      <c r="E113" s="10">
        <f>IF(ISBLANK(A110),"",E112+1)</f>
        <v>4</v>
      </c>
      <c r="F113" s="11">
        <f t="shared" si="130"/>
        <v>45477.78333</v>
      </c>
      <c r="G113" s="8">
        <v>0.213</v>
      </c>
    </row>
    <row r="114">
      <c r="A114" s="9" t="str">
        <f t="shared" si="128"/>
        <v>PROREP (L)</v>
      </c>
      <c r="B114" s="9" t="str">
        <f>IF(ISBLANK(A110),"",LEFT(B113,27)&amp;VALUE(RIGHT(B113,1)+1))</f>
        <v>JKL240702PROREP_40C_sample_5</v>
      </c>
      <c r="C114" s="6" t="str">
        <f t="shared" ref="C114:D114" si="132">C113</f>
        <v>Protea repens</v>
      </c>
      <c r="D114" s="6" t="str">
        <f t="shared" si="132"/>
        <v>40C</v>
      </c>
      <c r="E114" s="10">
        <f>IF(ISBLANK(A110),"",E113+1)</f>
        <v>5</v>
      </c>
      <c r="F114" s="11">
        <f t="shared" si="130"/>
        <v>45477.78333</v>
      </c>
      <c r="G114" s="8">
        <v>0.271</v>
      </c>
    </row>
    <row r="115">
      <c r="A115" s="12" t="str">
        <f t="shared" si="128"/>
        <v>PROREP (L)</v>
      </c>
      <c r="B115" s="12" t="str">
        <f>IF(ISBLANK(A110),"",LEFT(B114,27)&amp;VALUE(RIGHT(B114,1)+1))</f>
        <v>JKL240702PROREP_40C_sample_6</v>
      </c>
      <c r="C115" s="13" t="str">
        <f t="shared" ref="C115:D115" si="133">C114</f>
        <v>Protea repens</v>
      </c>
      <c r="D115" s="13" t="str">
        <f t="shared" si="133"/>
        <v>40C</v>
      </c>
      <c r="E115" s="14">
        <f>IF(ISBLANK(A110),"",E114+1)</f>
        <v>6</v>
      </c>
      <c r="F115" s="15">
        <f t="shared" si="130"/>
        <v>45477.78333</v>
      </c>
      <c r="G115" s="16">
        <v>0.281</v>
      </c>
    </row>
    <row r="116">
      <c r="A116" s="5" t="s">
        <v>9</v>
      </c>
      <c r="B116" s="6" t="str">
        <f t="array" ref="B116">IF(ISBLANK(A116),"",IF(A116="PROREP (L)",VLOOKUP(LEFT($A116,6),'Data Feed (40C)'!$A$1:$G$10,2,FALSE),IF(A116="PROREP (S)", INDEX('Data Feed (40C)'!B:B, MATCH(LEFT($A116,6), 'Data Feed (40C)'!$A$1:$A$10, 0) + 1), VLOOKUP($A116,'Data Feed (40C)'!$A$1:$G$10,2,FALSE))))</f>
        <v>JKS240702PROREP_40C_sample_1</v>
      </c>
      <c r="C116" s="6" t="str">
        <f t="array" ref="C116">IF(ISBLANK(A116),"",IF(A116="PROREP (L)",VLOOKUP(LEFT($A116,6),'Data Feed (40C)'!$A$1:$G$10,3,FALSE),IF(A116="PROREP (S)", INDEX('Data Feed (40C)'!C:C, MATCH(LEFT($A116,6), 'Data Feed (40C)'!$A$1:$A$10, 0) + 1, +1), VLOOKUP($A116,'Data Feed (40C)'!$A$1:$G$10,3,FALSE))))</f>
        <v>Protea repens</v>
      </c>
      <c r="D116" s="6" t="str">
        <f t="array" ref="D116">IF(ISBLANK(A116),"",IF(A116="PROREP (L)",VLOOKUP(LEFT($A116,6),'Data Feed (40C)'!$A$1:$G$10,4,FALSE),IF(A116="PROREP (S)", INDEX('Data Feed (40C)'!D:D, MATCH(LEFT($A116,6), 'Data Feed (40C)'!$A$1:$A$10, 0) + 1, +1), VLOOKUP($A116,'Data Feed (40C)'!$A$1:$G$10,4,FALSE))))</f>
        <v>40C</v>
      </c>
      <c r="E116" s="6">
        <f t="array" ref="E116">IF(ISBLANK(A116),"",IF(A116="PROREP (L)",VLOOKUP(LEFT($A116,6),'Data Feed (40C)'!$A$1:$G$10,7,FALSE),IF(A116="PROREP (S)", INDEX('Data Feed (40C)'!G:G, MATCH(LEFT($A116,6), 'Data Feed (40C)'!$A$1:$A$10, 0) + 1, +1), VLOOKUP($A116,'Data Feed (40C)'!$A$1:$G$10,7,FALSE))))</f>
        <v>1</v>
      </c>
      <c r="F116" s="7">
        <v>45477.78472222222</v>
      </c>
      <c r="G116" s="8">
        <v>5.82</v>
      </c>
    </row>
    <row r="117">
      <c r="A117" s="9" t="str">
        <f t="shared" ref="A117:A121" si="135">A116</f>
        <v>PROREP (S)</v>
      </c>
      <c r="B117" s="9" t="str">
        <f>IF(ISBLANK(A116),"",LEFT(B116,27)&amp;VALUE(RIGHT(B116,1)+1))</f>
        <v>JKS240702PROREP_40C_sample_2</v>
      </c>
      <c r="C117" s="6" t="str">
        <f t="shared" ref="C117:D117" si="134">C116</f>
        <v>Protea repens</v>
      </c>
      <c r="D117" s="6" t="str">
        <f t="shared" si="134"/>
        <v>40C</v>
      </c>
      <c r="E117" s="10">
        <f>IF(ISBLANK(A116),"",E116+1)</f>
        <v>2</v>
      </c>
      <c r="F117" s="11">
        <f t="shared" ref="F117:F121" si="137">F116</f>
        <v>45477.78472</v>
      </c>
      <c r="G117" s="8">
        <v>9.1</v>
      </c>
    </row>
    <row r="118">
      <c r="A118" s="9" t="str">
        <f t="shared" si="135"/>
        <v>PROREP (S)</v>
      </c>
      <c r="B118" s="9" t="str">
        <f>IF(ISBLANK(A116),"",LEFT(B117,27)&amp;VALUE(RIGHT(B117,1)+1))</f>
        <v>JKS240702PROREP_40C_sample_3</v>
      </c>
      <c r="C118" s="6" t="str">
        <f t="shared" ref="C118:D118" si="136">C117</f>
        <v>Protea repens</v>
      </c>
      <c r="D118" s="6" t="str">
        <f t="shared" si="136"/>
        <v>40C</v>
      </c>
      <c r="E118" s="10">
        <f>IF(ISBLANK(A116),"",E117+1)</f>
        <v>3</v>
      </c>
      <c r="F118" s="11">
        <f t="shared" si="137"/>
        <v>45477.78472</v>
      </c>
      <c r="G118" s="8">
        <v>3.49</v>
      </c>
    </row>
    <row r="119">
      <c r="A119" s="9" t="str">
        <f t="shared" si="135"/>
        <v>PROREP (S)</v>
      </c>
      <c r="B119" s="9" t="str">
        <f>IF(ISBLANK(A116),"",LEFT(B118,27)&amp;VALUE(RIGHT(B118,1)+1))</f>
        <v>JKS240702PROREP_40C_sample_4</v>
      </c>
      <c r="C119" s="6" t="str">
        <f t="shared" ref="C119:D119" si="138">C118</f>
        <v>Protea repens</v>
      </c>
      <c r="D119" s="6" t="str">
        <f t="shared" si="138"/>
        <v>40C</v>
      </c>
      <c r="E119" s="10">
        <f>IF(ISBLANK(A116),"",E118+1)</f>
        <v>4</v>
      </c>
      <c r="F119" s="11">
        <f t="shared" si="137"/>
        <v>45477.78472</v>
      </c>
      <c r="G119" s="8">
        <v>1.527</v>
      </c>
    </row>
    <row r="120">
      <c r="A120" s="9" t="str">
        <f t="shared" si="135"/>
        <v>PROREP (S)</v>
      </c>
      <c r="B120" s="9" t="str">
        <f>IF(ISBLANK(A116),"",LEFT(B119,27)&amp;VALUE(RIGHT(B119,1)+1))</f>
        <v>JKS240702PROREP_40C_sample_5</v>
      </c>
      <c r="C120" s="6" t="str">
        <f t="shared" ref="C120:D120" si="139">C119</f>
        <v>Protea repens</v>
      </c>
      <c r="D120" s="6" t="str">
        <f t="shared" si="139"/>
        <v>40C</v>
      </c>
      <c r="E120" s="10">
        <f>IF(ISBLANK(A116),"",E119+1)</f>
        <v>5</v>
      </c>
      <c r="F120" s="11">
        <f t="shared" si="137"/>
        <v>45477.78472</v>
      </c>
      <c r="G120" s="8">
        <v>5.893</v>
      </c>
    </row>
    <row r="121">
      <c r="A121" s="12" t="str">
        <f t="shared" si="135"/>
        <v>PROREP (S)</v>
      </c>
      <c r="B121" s="12" t="str">
        <f>IF(ISBLANK(A116),"",LEFT(B120,27)&amp;VALUE(RIGHT(B120,1)+1))</f>
        <v>JKS240702PROREP_40C_sample_6</v>
      </c>
      <c r="C121" s="13" t="str">
        <f t="shared" ref="C121:D121" si="140">C120</f>
        <v>Protea repens</v>
      </c>
      <c r="D121" s="13" t="str">
        <f t="shared" si="140"/>
        <v>40C</v>
      </c>
      <c r="E121" s="14">
        <f>IF(ISBLANK(A116),"",E120+1)</f>
        <v>6</v>
      </c>
      <c r="F121" s="15">
        <f t="shared" si="137"/>
        <v>45477.78472</v>
      </c>
      <c r="G121" s="16">
        <v>8.745</v>
      </c>
    </row>
    <row r="122">
      <c r="A122" s="5" t="s">
        <v>10</v>
      </c>
      <c r="B122" s="6" t="str">
        <f t="array" ref="B122">IF(ISBLANK(A122),"",IF(A122="PROREP (L)",VLOOKUP(LEFT($A122,6),'Data Feed (40C)'!$A$1:$G$10,2,FALSE),IF(A122="PROREP (S)", INDEX('Data Feed (40C)'!B:B, MATCH(LEFT($A122,6), 'Data Feed (40C)'!$A$1:$A$10, 0) + 1), VLOOKUP($A122,'Data Feed (40C)'!$A$1:$G$10,2,FALSE))))</f>
        <v>JKS240702CANCON_40C_sample_1</v>
      </c>
      <c r="C122" s="6" t="str">
        <f t="array" ref="C122">IF(ISBLANK(A122),"",IF(A122="PROREP (L)",VLOOKUP(LEFT($A122,6),'Data Feed (40C)'!$A$1:$G$10,3,FALSE),IF(A122="PROREP (S)", INDEX('Data Feed (40C)'!C:C, MATCH(LEFT($A122,6), 'Data Feed (40C)'!$A$1:$A$10, 0) + 1, +1), VLOOKUP($A122,'Data Feed (40C)'!$A$1:$G$10,3,FALSE))))</f>
        <v>Cannomois congesta</v>
      </c>
      <c r="D122" s="6" t="str">
        <f t="array" ref="D122">IF(ISBLANK(A122),"",IF(A122="PROREP (L)",VLOOKUP(LEFT($A122,6),'Data Feed (40C)'!$A$1:$G$10,4,FALSE),IF(A122="PROREP (S)", INDEX('Data Feed (40C)'!D:D, MATCH(LEFT($A122,6), 'Data Feed (40C)'!$A$1:$A$10, 0) + 1, +1), VLOOKUP($A122,'Data Feed (40C)'!$A$1:$G$10,4,FALSE))))</f>
        <v>40C</v>
      </c>
      <c r="E122" s="6">
        <f t="array" ref="E122">IF(ISBLANK(A122),"",IF(A122="PROREP (L)",VLOOKUP(LEFT($A122,6),'Data Feed (40C)'!$A$1:$G$10,7,FALSE),IF(A122="PROREP (S)", INDEX('Data Feed (40C)'!G:G, MATCH(LEFT($A122,6), 'Data Feed (40C)'!$A$1:$A$10, 0) + 1, +1), VLOOKUP($A122,'Data Feed (40C)'!$A$1:$G$10,7,FALSE))))</f>
        <v>1</v>
      </c>
      <c r="F122" s="7">
        <v>45477.78611111111</v>
      </c>
      <c r="G122" s="8">
        <v>0.96</v>
      </c>
    </row>
    <row r="123">
      <c r="A123" s="9" t="str">
        <f t="shared" ref="A123:A127" si="142">A122</f>
        <v>CANCON</v>
      </c>
      <c r="B123" s="9" t="str">
        <f>IF(ISBLANK(A122),"",LEFT(B122,27)&amp;VALUE(RIGHT(B122,1)+1))</f>
        <v>JKS240702CANCON_40C_sample_2</v>
      </c>
      <c r="C123" s="6" t="str">
        <f t="shared" ref="C123:D123" si="141">C122</f>
        <v>Cannomois congesta</v>
      </c>
      <c r="D123" s="6" t="str">
        <f t="shared" si="141"/>
        <v>40C</v>
      </c>
      <c r="E123" s="10">
        <f>IF(ISBLANK(A122),"",E122+1)</f>
        <v>2</v>
      </c>
      <c r="F123" s="11">
        <f t="shared" ref="F123:F127" si="144">F122</f>
        <v>45477.78611</v>
      </c>
      <c r="G123" s="8">
        <v>2.01</v>
      </c>
    </row>
    <row r="124">
      <c r="A124" s="9" t="str">
        <f t="shared" si="142"/>
        <v>CANCON</v>
      </c>
      <c r="B124" s="9" t="str">
        <f>IF(ISBLANK(A122),"",LEFT(B123,27)&amp;VALUE(RIGHT(B123,1)+1))</f>
        <v>JKS240702CANCON_40C_sample_3</v>
      </c>
      <c r="C124" s="6" t="str">
        <f t="shared" ref="C124:D124" si="143">C123</f>
        <v>Cannomois congesta</v>
      </c>
      <c r="D124" s="6" t="str">
        <f t="shared" si="143"/>
        <v>40C</v>
      </c>
      <c r="E124" s="10">
        <f>IF(ISBLANK(A122),"",E123+1)</f>
        <v>3</v>
      </c>
      <c r="F124" s="11">
        <f t="shared" si="144"/>
        <v>45477.78611</v>
      </c>
      <c r="G124" s="8">
        <v>1.055</v>
      </c>
    </row>
    <row r="125">
      <c r="A125" s="9" t="str">
        <f t="shared" si="142"/>
        <v>CANCON</v>
      </c>
      <c r="B125" s="9" t="str">
        <f>IF(ISBLANK(A122),"",LEFT(B124,27)&amp;VALUE(RIGHT(B124,1)+1))</f>
        <v>JKS240702CANCON_40C_sample_4</v>
      </c>
      <c r="C125" s="6" t="str">
        <f t="shared" ref="C125:D125" si="145">C124</f>
        <v>Cannomois congesta</v>
      </c>
      <c r="D125" s="6" t="str">
        <f t="shared" si="145"/>
        <v>40C</v>
      </c>
      <c r="E125" s="10">
        <f>IF(ISBLANK(A122),"",E124+1)</f>
        <v>4</v>
      </c>
      <c r="F125" s="11">
        <f t="shared" si="144"/>
        <v>45477.78611</v>
      </c>
      <c r="G125" s="8">
        <v>1.609</v>
      </c>
    </row>
    <row r="126">
      <c r="A126" s="9" t="str">
        <f t="shared" si="142"/>
        <v>CANCON</v>
      </c>
      <c r="B126" s="9" t="str">
        <f>IF(ISBLANK(A122),"",LEFT(B125,27)&amp;VALUE(RIGHT(B125,1)+1))</f>
        <v>JKS240702CANCON_40C_sample_5</v>
      </c>
      <c r="C126" s="6" t="str">
        <f t="shared" ref="C126:D126" si="146">C125</f>
        <v>Cannomois congesta</v>
      </c>
      <c r="D126" s="6" t="str">
        <f t="shared" si="146"/>
        <v>40C</v>
      </c>
      <c r="E126" s="10">
        <f>IF(ISBLANK(A122),"",E125+1)</f>
        <v>5</v>
      </c>
      <c r="F126" s="11">
        <f t="shared" si="144"/>
        <v>45477.78611</v>
      </c>
      <c r="G126" s="8">
        <v>0.857</v>
      </c>
    </row>
    <row r="127">
      <c r="A127" s="12" t="str">
        <f t="shared" si="142"/>
        <v>CANCON</v>
      </c>
      <c r="B127" s="12" t="str">
        <f>IF(ISBLANK(A122),"",LEFT(B126,27)&amp;VALUE(RIGHT(B126,1)+1))</f>
        <v>JKS240702CANCON_40C_sample_6</v>
      </c>
      <c r="C127" s="13" t="str">
        <f t="shared" ref="C127:D127" si="147">C126</f>
        <v>Cannomois congesta</v>
      </c>
      <c r="D127" s="13" t="str">
        <f t="shared" si="147"/>
        <v>40C</v>
      </c>
      <c r="E127" s="14">
        <f>IF(ISBLANK(A122),"",E126+1)</f>
        <v>6</v>
      </c>
      <c r="F127" s="15">
        <f t="shared" si="144"/>
        <v>45477.78611</v>
      </c>
      <c r="G127" s="16">
        <v>1.705</v>
      </c>
    </row>
    <row r="128">
      <c r="A128" s="5" t="s">
        <v>7</v>
      </c>
      <c r="B128" s="6" t="str">
        <f t="array" ref="B128">IF(ISBLANK(A128),"",IF(A128="PROREP (L)",VLOOKUP(LEFT($A128,6),'Data Feed (40C)'!$A$1:$G$10,2,FALSE),IF(A128="PROREP (S)", INDEX('Data Feed (40C)'!B:B, MATCH(LEFT($A128,6), 'Data Feed (40C)'!$A$1:$A$10, 0) + 1), VLOOKUP($A128,'Data Feed (40C)'!$A$1:$G$10,2,FALSE))))</f>
        <v>JKS240702ERIMON_40C_sample_1</v>
      </c>
      <c r="C128" s="6" t="str">
        <f t="array" ref="C128">IF(ISBLANK(A128),"",IF(A128="PROREP (L)",VLOOKUP(LEFT($A128,6),'Data Feed (40C)'!$A$1:$G$10,3,FALSE),IF(A128="PROREP (S)", INDEX('Data Feed (40C)'!C:C, MATCH(LEFT($A128,6), 'Data Feed (40C)'!$A$1:$A$10, 0) + 1, +1), VLOOKUP($A128,'Data Feed (40C)'!$A$1:$G$10,3,FALSE))))</f>
        <v>Erica monsoniana</v>
      </c>
      <c r="D128" s="6" t="str">
        <f t="array" ref="D128">IF(ISBLANK(A128),"",IF(A128="PROREP (L)",VLOOKUP(LEFT($A128,6),'Data Feed (40C)'!$A$1:$G$10,4,FALSE),IF(A128="PROREP (S)", INDEX('Data Feed (40C)'!D:D, MATCH(LEFT($A128,6), 'Data Feed (40C)'!$A$1:$A$10, 0) + 1, +1), VLOOKUP($A128,'Data Feed (40C)'!$A$1:$G$10,4,FALSE))))</f>
        <v>40C</v>
      </c>
      <c r="E128" s="6">
        <f t="array" ref="E128">IF(ISBLANK(A128),"",IF(A128="PROREP (L)",VLOOKUP(LEFT($A128,6),'Data Feed (40C)'!$A$1:$G$10,7,FALSE),IF(A128="PROREP (S)", INDEX('Data Feed (40C)'!G:G, MATCH(LEFT($A128,6), 'Data Feed (40C)'!$A$1:$A$10, 0) + 1, +1), VLOOKUP($A128,'Data Feed (40C)'!$A$1:$G$10,7,FALSE))))</f>
        <v>1</v>
      </c>
      <c r="F128" s="7">
        <v>45477.82013888889</v>
      </c>
      <c r="G128" s="8">
        <v>0.836</v>
      </c>
    </row>
    <row r="129">
      <c r="A129" s="9" t="str">
        <f t="shared" ref="A129:A133" si="149">A128</f>
        <v>ERIMON</v>
      </c>
      <c r="B129" s="9" t="str">
        <f>IF(ISBLANK(A128),"",LEFT(B128,27)&amp;VALUE(RIGHT(B128,1)+1))</f>
        <v>JKS240702ERIMON_40C_sample_2</v>
      </c>
      <c r="C129" s="6" t="str">
        <f t="shared" ref="C129:D129" si="148">C128</f>
        <v>Erica monsoniana</v>
      </c>
      <c r="D129" s="6" t="str">
        <f t="shared" si="148"/>
        <v>40C</v>
      </c>
      <c r="E129" s="10">
        <f>IF(ISBLANK(A128),"",E128+1)</f>
        <v>2</v>
      </c>
      <c r="F129" s="11">
        <f t="shared" ref="F129:F133" si="151">F128</f>
        <v>45477.82014</v>
      </c>
      <c r="G129" s="8">
        <v>0.953</v>
      </c>
    </row>
    <row r="130">
      <c r="A130" s="9" t="str">
        <f t="shared" si="149"/>
        <v>ERIMON</v>
      </c>
      <c r="B130" s="9" t="str">
        <f>IF(ISBLANK(A128),"",LEFT(B129,27)&amp;VALUE(RIGHT(B129,1)+1))</f>
        <v>JKS240702ERIMON_40C_sample_3</v>
      </c>
      <c r="C130" s="6" t="str">
        <f t="shared" ref="C130:D130" si="150">C129</f>
        <v>Erica monsoniana</v>
      </c>
      <c r="D130" s="6" t="str">
        <f t="shared" si="150"/>
        <v>40C</v>
      </c>
      <c r="E130" s="10">
        <f>IF(ISBLANK(A128),"",E129+1)</f>
        <v>3</v>
      </c>
      <c r="F130" s="11">
        <f t="shared" si="151"/>
        <v>45477.82014</v>
      </c>
      <c r="G130" s="8">
        <v>0.822</v>
      </c>
    </row>
    <row r="131">
      <c r="A131" s="9" t="str">
        <f t="shared" si="149"/>
        <v>ERIMON</v>
      </c>
      <c r="B131" s="9" t="str">
        <f>IF(ISBLANK(A128),"",LEFT(B130,27)&amp;VALUE(RIGHT(B130,1)+1))</f>
        <v>JKS240702ERIMON_40C_sample_4</v>
      </c>
      <c r="C131" s="6" t="str">
        <f t="shared" ref="C131:D131" si="152">C130</f>
        <v>Erica monsoniana</v>
      </c>
      <c r="D131" s="6" t="str">
        <f t="shared" si="152"/>
        <v>40C</v>
      </c>
      <c r="E131" s="10">
        <f>IF(ISBLANK(A128),"",E130+1)</f>
        <v>4</v>
      </c>
      <c r="F131" s="11">
        <f t="shared" si="151"/>
        <v>45477.82014</v>
      </c>
      <c r="G131" s="8">
        <v>1.963</v>
      </c>
    </row>
    <row r="132">
      <c r="A132" s="9" t="str">
        <f t="shared" si="149"/>
        <v>ERIMON</v>
      </c>
      <c r="B132" s="9" t="str">
        <f>IF(ISBLANK(A128),"",LEFT(B131,27)&amp;VALUE(RIGHT(B131,1)+1))</f>
        <v>JKS240702ERIMON_40C_sample_5</v>
      </c>
      <c r="C132" s="6" t="str">
        <f t="shared" ref="C132:D132" si="153">C131</f>
        <v>Erica monsoniana</v>
      </c>
      <c r="D132" s="6" t="str">
        <f t="shared" si="153"/>
        <v>40C</v>
      </c>
      <c r="E132" s="10">
        <f>IF(ISBLANK(A128),"",E131+1)</f>
        <v>5</v>
      </c>
      <c r="F132" s="11">
        <f t="shared" si="151"/>
        <v>45477.82014</v>
      </c>
      <c r="G132" s="8">
        <v>0.705</v>
      </c>
    </row>
    <row r="133">
      <c r="A133" s="12" t="str">
        <f t="shared" si="149"/>
        <v>ERIMON</v>
      </c>
      <c r="B133" s="12" t="str">
        <f>IF(ISBLANK(A128),"",LEFT(B132,27)&amp;VALUE(RIGHT(B132,1)+1))</f>
        <v>JKS240702ERIMON_40C_sample_6</v>
      </c>
      <c r="C133" s="13" t="str">
        <f t="shared" ref="C133:D133" si="154">C132</f>
        <v>Erica monsoniana</v>
      </c>
      <c r="D133" s="13" t="str">
        <f t="shared" si="154"/>
        <v>40C</v>
      </c>
      <c r="E133" s="14">
        <f>IF(ISBLANK(A128),"",E132+1)</f>
        <v>6</v>
      </c>
      <c r="F133" s="15">
        <f t="shared" si="151"/>
        <v>45477.82014</v>
      </c>
      <c r="G133" s="16">
        <v>1.115</v>
      </c>
    </row>
    <row r="134">
      <c r="A134" s="5" t="s">
        <v>8</v>
      </c>
      <c r="B134" s="6" t="str">
        <f t="array" ref="B134">IF(ISBLANK(A134),"",IF(A134="PROREP (L)",VLOOKUP(LEFT($A134,6),'Data Feed (40C)'!$A$1:$G$10,2,FALSE),IF(A134="PROREP (S)", INDEX('Data Feed (40C)'!B:B, MATCH(LEFT($A134,6), 'Data Feed (40C)'!$A$1:$A$10, 0) + 1), VLOOKUP($A134,'Data Feed (40C)'!$A$1:$G$10,2,FALSE))))</f>
        <v>JKL240702PROREP_40C_sample_1</v>
      </c>
      <c r="C134" s="6" t="str">
        <f t="array" ref="C134">IF(ISBLANK(A134),"",IF(A134="PROREP (L)",VLOOKUP(LEFT($A134,6),'Data Feed (40C)'!$A$1:$G$10,3,FALSE),IF(A134="PROREP (S)", INDEX('Data Feed (40C)'!C:C, MATCH(LEFT($A134,6), 'Data Feed (40C)'!$A$1:$A$10, 0) + 1, +1), VLOOKUP($A134,'Data Feed (40C)'!$A$1:$G$10,3,FALSE))))</f>
        <v>Protea repens</v>
      </c>
      <c r="D134" s="6" t="str">
        <f t="array" ref="D134">IF(ISBLANK(A134),"",IF(A134="PROREP (L)",VLOOKUP(LEFT($A134,6),'Data Feed (40C)'!$A$1:$G$10,4,FALSE),IF(A134="PROREP (S)", INDEX('Data Feed (40C)'!D:D, MATCH(LEFT($A134,6), 'Data Feed (40C)'!$A$1:$A$10, 0) + 1, +1), VLOOKUP($A134,'Data Feed (40C)'!$A$1:$G$10,4,FALSE))))</f>
        <v>40C</v>
      </c>
      <c r="E134" s="6">
        <f t="array" ref="E134">IF(ISBLANK(A134),"",IF(A134="PROREP (L)",VLOOKUP(LEFT($A134,6),'Data Feed (40C)'!$A$1:$G$10,7,FALSE),IF(A134="PROREP (S)", INDEX('Data Feed (40C)'!G:G, MATCH(LEFT($A134,6), 'Data Feed (40C)'!$A$1:$A$10, 0) + 1, +1), VLOOKUP($A134,'Data Feed (40C)'!$A$1:$G$10,7,FALSE))))</f>
        <v>1</v>
      </c>
      <c r="F134" s="7">
        <v>45477.82152777778</v>
      </c>
      <c r="G134" s="8">
        <v>0.446</v>
      </c>
    </row>
    <row r="135">
      <c r="A135" s="9" t="str">
        <f t="shared" ref="A135:A139" si="156">A134</f>
        <v>PROREP (L)</v>
      </c>
      <c r="B135" s="9" t="str">
        <f>IF(ISBLANK(A134),"",LEFT(B134,27)&amp;VALUE(RIGHT(B134,1)+1))</f>
        <v>JKL240702PROREP_40C_sample_2</v>
      </c>
      <c r="C135" s="6" t="str">
        <f t="shared" ref="C135:D135" si="155">C134</f>
        <v>Protea repens</v>
      </c>
      <c r="D135" s="6" t="str">
        <f t="shared" si="155"/>
        <v>40C</v>
      </c>
      <c r="E135" s="10">
        <f>IF(ISBLANK(A134),"",E134+1)</f>
        <v>2</v>
      </c>
      <c r="F135" s="11">
        <f t="shared" ref="F135:F139" si="158">F134</f>
        <v>45477.82153</v>
      </c>
      <c r="G135" s="8">
        <v>0.361</v>
      </c>
    </row>
    <row r="136">
      <c r="A136" s="9" t="str">
        <f t="shared" si="156"/>
        <v>PROREP (L)</v>
      </c>
      <c r="B136" s="9" t="str">
        <f>IF(ISBLANK(A134),"",LEFT(B135,27)&amp;VALUE(RIGHT(B135,1)+1))</f>
        <v>JKL240702PROREP_40C_sample_3</v>
      </c>
      <c r="C136" s="6" t="str">
        <f t="shared" ref="C136:D136" si="157">C135</f>
        <v>Protea repens</v>
      </c>
      <c r="D136" s="6" t="str">
        <f t="shared" si="157"/>
        <v>40C</v>
      </c>
      <c r="E136" s="10">
        <f>IF(ISBLANK(A134),"",E135+1)</f>
        <v>3</v>
      </c>
      <c r="F136" s="11">
        <f t="shared" si="158"/>
        <v>45477.82153</v>
      </c>
      <c r="G136" s="8">
        <v>0.347</v>
      </c>
    </row>
    <row r="137">
      <c r="A137" s="9" t="str">
        <f t="shared" si="156"/>
        <v>PROREP (L)</v>
      </c>
      <c r="B137" s="9" t="str">
        <f>IF(ISBLANK(A134),"",LEFT(B136,27)&amp;VALUE(RIGHT(B136,1)+1))</f>
        <v>JKL240702PROREP_40C_sample_4</v>
      </c>
      <c r="C137" s="6" t="str">
        <f t="shared" ref="C137:D137" si="159">C136</f>
        <v>Protea repens</v>
      </c>
      <c r="D137" s="6" t="str">
        <f t="shared" si="159"/>
        <v>40C</v>
      </c>
      <c r="E137" s="10">
        <f>IF(ISBLANK(A134),"",E136+1)</f>
        <v>4</v>
      </c>
      <c r="F137" s="11">
        <f t="shared" si="158"/>
        <v>45477.82153</v>
      </c>
      <c r="G137" s="8">
        <v>0.203</v>
      </c>
    </row>
    <row r="138">
      <c r="A138" s="9" t="str">
        <f t="shared" si="156"/>
        <v>PROREP (L)</v>
      </c>
      <c r="B138" s="9" t="str">
        <f>IF(ISBLANK(A134),"",LEFT(B137,27)&amp;VALUE(RIGHT(B137,1)+1))</f>
        <v>JKL240702PROREP_40C_sample_5</v>
      </c>
      <c r="C138" s="6" t="str">
        <f t="shared" ref="C138:D138" si="160">C137</f>
        <v>Protea repens</v>
      </c>
      <c r="D138" s="6" t="str">
        <f t="shared" si="160"/>
        <v>40C</v>
      </c>
      <c r="E138" s="10">
        <f>IF(ISBLANK(A134),"",E137+1)</f>
        <v>5</v>
      </c>
      <c r="F138" s="11">
        <f t="shared" si="158"/>
        <v>45477.82153</v>
      </c>
      <c r="G138" s="8">
        <v>0.262</v>
      </c>
    </row>
    <row r="139">
      <c r="A139" s="12" t="str">
        <f t="shared" si="156"/>
        <v>PROREP (L)</v>
      </c>
      <c r="B139" s="12" t="str">
        <f>IF(ISBLANK(A134),"",LEFT(B138,27)&amp;VALUE(RIGHT(B138,1)+1))</f>
        <v>JKL240702PROREP_40C_sample_6</v>
      </c>
      <c r="C139" s="13" t="str">
        <f t="shared" ref="C139:D139" si="161">C138</f>
        <v>Protea repens</v>
      </c>
      <c r="D139" s="13" t="str">
        <f t="shared" si="161"/>
        <v>40C</v>
      </c>
      <c r="E139" s="14">
        <f>IF(ISBLANK(A134),"",E138+1)</f>
        <v>6</v>
      </c>
      <c r="F139" s="15">
        <f t="shared" si="158"/>
        <v>45477.82153</v>
      </c>
      <c r="G139" s="16">
        <v>0.263</v>
      </c>
    </row>
    <row r="140">
      <c r="A140" s="5" t="s">
        <v>9</v>
      </c>
      <c r="B140" s="6" t="str">
        <f t="array" ref="B140">IF(ISBLANK(A140),"",IF(A140="PROREP (L)",VLOOKUP(LEFT($A140,6),'Data Feed (40C)'!$A$1:$G$10,2,FALSE),IF(A140="PROREP (S)", INDEX('Data Feed (40C)'!B:B, MATCH(LEFT($A140,6), 'Data Feed (40C)'!$A$1:$A$10, 0) + 1), VLOOKUP($A140,'Data Feed (40C)'!$A$1:$G$10,2,FALSE))))</f>
        <v>JKS240702PROREP_40C_sample_1</v>
      </c>
      <c r="C140" s="6" t="str">
        <f t="array" ref="C140">IF(ISBLANK(A140),"",IF(A140="PROREP (L)",VLOOKUP(LEFT($A140,6),'Data Feed (40C)'!$A$1:$G$10,3,FALSE),IF(A140="PROREP (S)", INDEX('Data Feed (40C)'!C:C, MATCH(LEFT($A140,6), 'Data Feed (40C)'!$A$1:$A$10, 0) + 1, +1), VLOOKUP($A140,'Data Feed (40C)'!$A$1:$G$10,3,FALSE))))</f>
        <v>Protea repens</v>
      </c>
      <c r="D140" s="6" t="str">
        <f t="array" ref="D140">IF(ISBLANK(A140),"",IF(A140="PROREP (L)",VLOOKUP(LEFT($A140,6),'Data Feed (40C)'!$A$1:$G$10,4,FALSE),IF(A140="PROREP (S)", INDEX('Data Feed (40C)'!D:D, MATCH(LEFT($A140,6), 'Data Feed (40C)'!$A$1:$A$10, 0) + 1, +1), VLOOKUP($A140,'Data Feed (40C)'!$A$1:$G$10,4,FALSE))))</f>
        <v>40C</v>
      </c>
      <c r="E140" s="6">
        <f t="array" ref="E140">IF(ISBLANK(A140),"",IF(A140="PROREP (L)",VLOOKUP(LEFT($A140,6),'Data Feed (40C)'!$A$1:$G$10,7,FALSE),IF(A140="PROREP (S)", INDEX('Data Feed (40C)'!G:G, MATCH(LEFT($A140,6), 'Data Feed (40C)'!$A$1:$A$10, 0) + 1, +1), VLOOKUP($A140,'Data Feed (40C)'!$A$1:$G$10,7,FALSE))))</f>
        <v>1</v>
      </c>
      <c r="F140" s="7">
        <v>45477.822222222225</v>
      </c>
      <c r="G140" s="8">
        <v>5.619</v>
      </c>
    </row>
    <row r="141">
      <c r="A141" s="9" t="str">
        <f t="shared" ref="A141:A145" si="163">A140</f>
        <v>PROREP (S)</v>
      </c>
      <c r="B141" s="9" t="str">
        <f>IF(ISBLANK(A140),"",LEFT(B140,27)&amp;VALUE(RIGHT(B140,1)+1))</f>
        <v>JKS240702PROREP_40C_sample_2</v>
      </c>
      <c r="C141" s="6" t="str">
        <f t="shared" ref="C141:D141" si="162">C140</f>
        <v>Protea repens</v>
      </c>
      <c r="D141" s="6" t="str">
        <f t="shared" si="162"/>
        <v>40C</v>
      </c>
      <c r="E141" s="10">
        <f>IF(ISBLANK(A140),"",E140+1)</f>
        <v>2</v>
      </c>
      <c r="F141" s="11">
        <f t="shared" ref="F141:F145" si="165">F140</f>
        <v>45477.82222</v>
      </c>
      <c r="G141" s="8">
        <v>8.82</v>
      </c>
    </row>
    <row r="142">
      <c r="A142" s="9" t="str">
        <f t="shared" si="163"/>
        <v>PROREP (S)</v>
      </c>
      <c r="B142" s="9" t="str">
        <f>IF(ISBLANK(A140),"",LEFT(B141,27)&amp;VALUE(RIGHT(B141,1)+1))</f>
        <v>JKS240702PROREP_40C_sample_3</v>
      </c>
      <c r="C142" s="6" t="str">
        <f t="shared" ref="C142:D142" si="164">C141</f>
        <v>Protea repens</v>
      </c>
      <c r="D142" s="6" t="str">
        <f t="shared" si="164"/>
        <v>40C</v>
      </c>
      <c r="E142" s="10">
        <f>IF(ISBLANK(A140),"",E141+1)</f>
        <v>3</v>
      </c>
      <c r="F142" s="11">
        <f t="shared" si="165"/>
        <v>45477.82222</v>
      </c>
      <c r="G142" s="8">
        <v>3.272</v>
      </c>
    </row>
    <row r="143">
      <c r="A143" s="9" t="str">
        <f t="shared" si="163"/>
        <v>PROREP (S)</v>
      </c>
      <c r="B143" s="9" t="str">
        <f>IF(ISBLANK(A140),"",LEFT(B142,27)&amp;VALUE(RIGHT(B142,1)+1))</f>
        <v>JKS240702PROREP_40C_sample_4</v>
      </c>
      <c r="C143" s="6" t="str">
        <f t="shared" ref="C143:D143" si="166">C142</f>
        <v>Protea repens</v>
      </c>
      <c r="D143" s="6" t="str">
        <f t="shared" si="166"/>
        <v>40C</v>
      </c>
      <c r="E143" s="10">
        <f>IF(ISBLANK(A140),"",E142+1)</f>
        <v>4</v>
      </c>
      <c r="F143" s="11">
        <f t="shared" si="165"/>
        <v>45477.82222</v>
      </c>
      <c r="G143" s="8">
        <v>1.47</v>
      </c>
    </row>
    <row r="144">
      <c r="A144" s="9" t="str">
        <f t="shared" si="163"/>
        <v>PROREP (S)</v>
      </c>
      <c r="B144" s="9" t="str">
        <f>IF(ISBLANK(A140),"",LEFT(B143,27)&amp;VALUE(RIGHT(B143,1)+1))</f>
        <v>JKS240702PROREP_40C_sample_5</v>
      </c>
      <c r="C144" s="6" t="str">
        <f t="shared" ref="C144:D144" si="167">C143</f>
        <v>Protea repens</v>
      </c>
      <c r="D144" s="6" t="str">
        <f t="shared" si="167"/>
        <v>40C</v>
      </c>
      <c r="E144" s="10">
        <f>IF(ISBLANK(A140),"",E143+1)</f>
        <v>5</v>
      </c>
      <c r="F144" s="11">
        <f t="shared" si="165"/>
        <v>45477.82222</v>
      </c>
      <c r="G144" s="8">
        <v>5.649</v>
      </c>
    </row>
    <row r="145">
      <c r="A145" s="12" t="str">
        <f t="shared" si="163"/>
        <v>PROREP (S)</v>
      </c>
      <c r="B145" s="12" t="str">
        <f>IF(ISBLANK(A140),"",LEFT(B144,27)&amp;VALUE(RIGHT(B144,1)+1))</f>
        <v>JKS240702PROREP_40C_sample_6</v>
      </c>
      <c r="C145" s="13" t="str">
        <f t="shared" ref="C145:D145" si="168">C144</f>
        <v>Protea repens</v>
      </c>
      <c r="D145" s="13" t="str">
        <f t="shared" si="168"/>
        <v>40C</v>
      </c>
      <c r="E145" s="14">
        <f>IF(ISBLANK(A140),"",E144+1)</f>
        <v>6</v>
      </c>
      <c r="F145" s="15">
        <f t="shared" si="165"/>
        <v>45477.82222</v>
      </c>
      <c r="G145" s="16">
        <v>8.517</v>
      </c>
    </row>
    <row r="146">
      <c r="A146" s="5" t="s">
        <v>10</v>
      </c>
      <c r="B146" s="6" t="str">
        <f t="array" ref="B146">IF(ISBLANK(A146),"",IF(A146="PROREP (L)",VLOOKUP(LEFT($A146,6),'Data Feed (40C)'!$A$1:$G$10,2,FALSE),IF(A146="PROREP (S)", INDEX('Data Feed (40C)'!B:B, MATCH(LEFT($A146,6), 'Data Feed (40C)'!$A$1:$A$10, 0) + 1), VLOOKUP($A146,'Data Feed (40C)'!$A$1:$G$10,2,FALSE))))</f>
        <v>JKS240702CANCON_40C_sample_1</v>
      </c>
      <c r="C146" s="6" t="str">
        <f t="array" ref="C146">IF(ISBLANK(A146),"",IF(A146="PROREP (L)",VLOOKUP(LEFT($A146,6),'Data Feed (40C)'!$A$1:$G$10,3,FALSE),IF(A146="PROREP (S)", INDEX('Data Feed (40C)'!C:C, MATCH(LEFT($A146,6), 'Data Feed (40C)'!$A$1:$A$10, 0) + 1, +1), VLOOKUP($A146,'Data Feed (40C)'!$A$1:$G$10,3,FALSE))))</f>
        <v>Cannomois congesta</v>
      </c>
      <c r="D146" s="6" t="str">
        <f t="array" ref="D146">IF(ISBLANK(A146),"",IF(A146="PROREP (L)",VLOOKUP(LEFT($A146,6),'Data Feed (40C)'!$A$1:$G$10,4,FALSE),IF(A146="PROREP (S)", INDEX('Data Feed (40C)'!D:D, MATCH(LEFT($A146,6), 'Data Feed (40C)'!$A$1:$A$10, 0) + 1, +1), VLOOKUP($A146,'Data Feed (40C)'!$A$1:$G$10,4,FALSE))))</f>
        <v>40C</v>
      </c>
      <c r="E146" s="6">
        <f t="array" ref="E146">IF(ISBLANK(A146),"",IF(A146="PROREP (L)",VLOOKUP(LEFT($A146,6),'Data Feed (40C)'!$A$1:$G$10,7,FALSE),IF(A146="PROREP (S)", INDEX('Data Feed (40C)'!G:G, MATCH(LEFT($A146,6), 'Data Feed (40C)'!$A$1:$A$10, 0) + 1, +1), VLOOKUP($A146,'Data Feed (40C)'!$A$1:$G$10,7,FALSE))))</f>
        <v>1</v>
      </c>
      <c r="F146" s="7">
        <v>45477.82361111111</v>
      </c>
      <c r="G146" s="8">
        <v>0.921</v>
      </c>
    </row>
    <row r="147">
      <c r="A147" s="9" t="str">
        <f t="shared" ref="A147:A151" si="170">A146</f>
        <v>CANCON</v>
      </c>
      <c r="B147" s="9" t="str">
        <f>IF(ISBLANK(A146),"",LEFT(B146,27)&amp;VALUE(RIGHT(B146,1)+1))</f>
        <v>JKS240702CANCON_40C_sample_2</v>
      </c>
      <c r="C147" s="6" t="str">
        <f t="shared" ref="C147:D147" si="169">C146</f>
        <v>Cannomois congesta</v>
      </c>
      <c r="D147" s="6" t="str">
        <f t="shared" si="169"/>
        <v>40C</v>
      </c>
      <c r="E147" s="10">
        <f>IF(ISBLANK(A146),"",E146+1)</f>
        <v>2</v>
      </c>
      <c r="F147" s="11">
        <f t="shared" ref="F147:F151" si="172">F146</f>
        <v>45477.82361</v>
      </c>
      <c r="G147" s="8">
        <v>1.962</v>
      </c>
    </row>
    <row r="148">
      <c r="A148" s="9" t="str">
        <f t="shared" si="170"/>
        <v>CANCON</v>
      </c>
      <c r="B148" s="9" t="str">
        <f>IF(ISBLANK(A146),"",LEFT(B147,27)&amp;VALUE(RIGHT(B147,1)+1))</f>
        <v>JKS240702CANCON_40C_sample_3</v>
      </c>
      <c r="C148" s="6" t="str">
        <f t="shared" ref="C148:D148" si="171">C147</f>
        <v>Cannomois congesta</v>
      </c>
      <c r="D148" s="6" t="str">
        <f t="shared" si="171"/>
        <v>40C</v>
      </c>
      <c r="E148" s="10">
        <f>IF(ISBLANK(A146),"",E147+1)</f>
        <v>3</v>
      </c>
      <c r="F148" s="11">
        <f t="shared" si="172"/>
        <v>45477.82361</v>
      </c>
      <c r="G148" s="8">
        <v>1.024</v>
      </c>
    </row>
    <row r="149">
      <c r="A149" s="9" t="str">
        <f t="shared" si="170"/>
        <v>CANCON</v>
      </c>
      <c r="B149" s="9" t="str">
        <f>IF(ISBLANK(A146),"",LEFT(B148,27)&amp;VALUE(RIGHT(B148,1)+1))</f>
        <v>JKS240702CANCON_40C_sample_4</v>
      </c>
      <c r="C149" s="6" t="str">
        <f t="shared" ref="C149:D149" si="173">C148</f>
        <v>Cannomois congesta</v>
      </c>
      <c r="D149" s="6" t="str">
        <f t="shared" si="173"/>
        <v>40C</v>
      </c>
      <c r="E149" s="10">
        <f>IF(ISBLANK(A146),"",E148+1)</f>
        <v>4</v>
      </c>
      <c r="F149" s="11">
        <f t="shared" si="172"/>
        <v>45477.82361</v>
      </c>
      <c r="G149" s="8">
        <v>1.563</v>
      </c>
    </row>
    <row r="150">
      <c r="A150" s="9" t="str">
        <f t="shared" si="170"/>
        <v>CANCON</v>
      </c>
      <c r="B150" s="9" t="str">
        <f>IF(ISBLANK(A146),"",LEFT(B149,27)&amp;VALUE(RIGHT(B149,1)+1))</f>
        <v>JKS240702CANCON_40C_sample_5</v>
      </c>
      <c r="C150" s="6" t="str">
        <f t="shared" ref="C150:D150" si="174">C149</f>
        <v>Cannomois congesta</v>
      </c>
      <c r="D150" s="6" t="str">
        <f t="shared" si="174"/>
        <v>40C</v>
      </c>
      <c r="E150" s="10">
        <f>IF(ISBLANK(A146),"",E149+1)</f>
        <v>5</v>
      </c>
      <c r="F150" s="11">
        <f t="shared" si="172"/>
        <v>45477.82361</v>
      </c>
      <c r="G150" s="8">
        <v>0.825</v>
      </c>
    </row>
    <row r="151">
      <c r="A151" s="12" t="str">
        <f t="shared" si="170"/>
        <v>CANCON</v>
      </c>
      <c r="B151" s="12" t="str">
        <f>IF(ISBLANK(A146),"",LEFT(B150,27)&amp;VALUE(RIGHT(B150,1)+1))</f>
        <v>JKS240702CANCON_40C_sample_6</v>
      </c>
      <c r="C151" s="13" t="str">
        <f t="shared" ref="C151:D151" si="175">C150</f>
        <v>Cannomois congesta</v>
      </c>
      <c r="D151" s="13" t="str">
        <f t="shared" si="175"/>
        <v>40C</v>
      </c>
      <c r="E151" s="14">
        <f>IF(ISBLANK(A146),"",E150+1)</f>
        <v>6</v>
      </c>
      <c r="F151" s="15">
        <f t="shared" si="172"/>
        <v>45477.82361</v>
      </c>
      <c r="G151" s="16">
        <v>1.644</v>
      </c>
    </row>
    <row r="152">
      <c r="A152" s="5" t="s">
        <v>7</v>
      </c>
      <c r="B152" s="6" t="str">
        <f t="array" ref="B152">IF(ISBLANK(A152),"",IF(A152="PROREP (L)",VLOOKUP(LEFT($A152,6),'Data Feed (40C)'!$A$1:$G$10,2,FALSE),IF(A152="PROREP (S)", INDEX('Data Feed (40C)'!B:B, MATCH(LEFT($A152,6), 'Data Feed (40C)'!$A$1:$A$10, 0) + 1), VLOOKUP($A152,'Data Feed (40C)'!$A$1:$G$10,2,FALSE))))</f>
        <v>JKS240702ERIMON_40C_sample_1</v>
      </c>
      <c r="C152" s="6" t="str">
        <f t="array" ref="C152">IF(ISBLANK(A152),"",IF(A152="PROREP (L)",VLOOKUP(LEFT($A152,6),'Data Feed (40C)'!$A$1:$G$10,3,FALSE),IF(A152="PROREP (S)", INDEX('Data Feed (40C)'!C:C, MATCH(LEFT($A152,6), 'Data Feed (40C)'!$A$1:$A$10, 0) + 1, +1), VLOOKUP($A152,'Data Feed (40C)'!$A$1:$G$10,3,FALSE))))</f>
        <v>Erica monsoniana</v>
      </c>
      <c r="D152" s="6" t="str">
        <f t="array" ref="D152">IF(ISBLANK(A152),"",IF(A152="PROREP (L)",VLOOKUP(LEFT($A152,6),'Data Feed (40C)'!$A$1:$G$10,4,FALSE),IF(A152="PROREP (S)", INDEX('Data Feed (40C)'!D:D, MATCH(LEFT($A152,6), 'Data Feed (40C)'!$A$1:$A$10, 0) + 1, +1), VLOOKUP($A152,'Data Feed (40C)'!$A$1:$G$10,4,FALSE))))</f>
        <v>40C</v>
      </c>
      <c r="E152" s="6">
        <f t="array" ref="E152">IF(ISBLANK(A152),"",IF(A152="PROREP (L)",VLOOKUP(LEFT($A152,6),'Data Feed (40C)'!$A$1:$G$10,7,FALSE),IF(A152="PROREP (S)", INDEX('Data Feed (40C)'!G:G, MATCH(LEFT($A152,6), 'Data Feed (40C)'!$A$1:$A$10, 0) + 1, +1), VLOOKUP($A152,'Data Feed (40C)'!$A$1:$G$10,7,FALSE))))</f>
        <v>1</v>
      </c>
      <c r="F152" s="7">
        <v>45477.868055555555</v>
      </c>
      <c r="G152" s="8">
        <v>0.799</v>
      </c>
    </row>
    <row r="153">
      <c r="A153" s="9" t="str">
        <f t="shared" ref="A153:A157" si="177">A152</f>
        <v>ERIMON</v>
      </c>
      <c r="B153" s="9" t="str">
        <f>IF(ISBLANK(A152),"",LEFT(B152,27)&amp;VALUE(RIGHT(B152,1)+1))</f>
        <v>JKS240702ERIMON_40C_sample_2</v>
      </c>
      <c r="C153" s="6" t="str">
        <f t="shared" ref="C153:D153" si="176">C152</f>
        <v>Erica monsoniana</v>
      </c>
      <c r="D153" s="6" t="str">
        <f t="shared" si="176"/>
        <v>40C</v>
      </c>
      <c r="E153" s="10">
        <f>IF(ISBLANK(A152),"",E152+1)</f>
        <v>2</v>
      </c>
      <c r="F153" s="11">
        <f t="shared" ref="F153:F157" si="179">F152</f>
        <v>45477.86806</v>
      </c>
      <c r="G153" s="8">
        <v>0.927</v>
      </c>
    </row>
    <row r="154">
      <c r="A154" s="9" t="str">
        <f t="shared" si="177"/>
        <v>ERIMON</v>
      </c>
      <c r="B154" s="9" t="str">
        <f>IF(ISBLANK(A152),"",LEFT(B153,27)&amp;VALUE(RIGHT(B153,1)+1))</f>
        <v>JKS240702ERIMON_40C_sample_3</v>
      </c>
      <c r="C154" s="6" t="str">
        <f t="shared" ref="C154:D154" si="178">C153</f>
        <v>Erica monsoniana</v>
      </c>
      <c r="D154" s="6" t="str">
        <f t="shared" si="178"/>
        <v>40C</v>
      </c>
      <c r="E154" s="10">
        <f>IF(ISBLANK(A152),"",E153+1)</f>
        <v>3</v>
      </c>
      <c r="F154" s="11">
        <f t="shared" si="179"/>
        <v>45477.86806</v>
      </c>
      <c r="G154" s="8">
        <v>0.82</v>
      </c>
    </row>
    <row r="155">
      <c r="A155" s="9" t="str">
        <f t="shared" si="177"/>
        <v>ERIMON</v>
      </c>
      <c r="B155" s="9" t="str">
        <f>IF(ISBLANK(A152),"",LEFT(B154,27)&amp;VALUE(RIGHT(B154,1)+1))</f>
        <v>JKS240702ERIMON_40C_sample_4</v>
      </c>
      <c r="C155" s="6" t="str">
        <f t="shared" ref="C155:D155" si="180">C154</f>
        <v>Erica monsoniana</v>
      </c>
      <c r="D155" s="6" t="str">
        <f t="shared" si="180"/>
        <v>40C</v>
      </c>
      <c r="E155" s="10">
        <f>IF(ISBLANK(A152),"",E154+1)</f>
        <v>4</v>
      </c>
      <c r="F155" s="11">
        <f t="shared" si="179"/>
        <v>45477.86806</v>
      </c>
      <c r="G155" s="8">
        <v>1.939</v>
      </c>
    </row>
    <row r="156">
      <c r="A156" s="9" t="str">
        <f t="shared" si="177"/>
        <v>ERIMON</v>
      </c>
      <c r="B156" s="9" t="str">
        <f>IF(ISBLANK(A152),"",LEFT(B155,27)&amp;VALUE(RIGHT(B155,1)+1))</f>
        <v>JKS240702ERIMON_40C_sample_5</v>
      </c>
      <c r="C156" s="6" t="str">
        <f t="shared" ref="C156:D156" si="181">C155</f>
        <v>Erica monsoniana</v>
      </c>
      <c r="D156" s="6" t="str">
        <f t="shared" si="181"/>
        <v>40C</v>
      </c>
      <c r="E156" s="10">
        <f>IF(ISBLANK(A152),"",E155+1)</f>
        <v>5</v>
      </c>
      <c r="F156" s="11">
        <f t="shared" si="179"/>
        <v>45477.86806</v>
      </c>
      <c r="G156" s="8">
        <v>0.7</v>
      </c>
    </row>
    <row r="157">
      <c r="A157" s="12" t="str">
        <f t="shared" si="177"/>
        <v>ERIMON</v>
      </c>
      <c r="B157" s="12" t="str">
        <f>IF(ISBLANK(A152),"",LEFT(B156,27)&amp;VALUE(RIGHT(B156,1)+1))</f>
        <v>JKS240702ERIMON_40C_sample_6</v>
      </c>
      <c r="C157" s="13" t="str">
        <f t="shared" ref="C157:D157" si="182">C156</f>
        <v>Erica monsoniana</v>
      </c>
      <c r="D157" s="13" t="str">
        <f t="shared" si="182"/>
        <v>40C</v>
      </c>
      <c r="E157" s="14">
        <f>IF(ISBLANK(A152),"",E156+1)</f>
        <v>6</v>
      </c>
      <c r="F157" s="15">
        <f t="shared" si="179"/>
        <v>45477.86806</v>
      </c>
      <c r="G157" s="16">
        <v>1.104</v>
      </c>
    </row>
    <row r="158">
      <c r="A158" s="5" t="s">
        <v>8</v>
      </c>
      <c r="B158" s="6" t="str">
        <f t="array" ref="B158">IF(ISBLANK(A158),"",IF(A158="PROREP (L)",VLOOKUP(LEFT($A158,6),'Data Feed (40C)'!$A$1:$G$10,2,FALSE),IF(A158="PROREP (S)", INDEX('Data Feed (40C)'!B:B, MATCH(LEFT($A158,6), 'Data Feed (40C)'!$A$1:$A$10, 0) + 1), VLOOKUP($A158,'Data Feed (40C)'!$A$1:$G$10,2,FALSE))))</f>
        <v>JKL240702PROREP_40C_sample_1</v>
      </c>
      <c r="C158" s="6" t="str">
        <f t="array" ref="C158">IF(ISBLANK(A158),"",IF(A158="PROREP (L)",VLOOKUP(LEFT($A158,6),'Data Feed (40C)'!$A$1:$G$10,3,FALSE),IF(A158="PROREP (S)", INDEX('Data Feed (40C)'!C:C, MATCH(LEFT($A158,6), 'Data Feed (40C)'!$A$1:$A$10, 0) + 1, +1), VLOOKUP($A158,'Data Feed (40C)'!$A$1:$G$10,3,FALSE))))</f>
        <v>Protea repens</v>
      </c>
      <c r="D158" s="6" t="str">
        <f t="array" ref="D158">IF(ISBLANK(A158),"",IF(A158="PROREP (L)",VLOOKUP(LEFT($A158,6),'Data Feed (40C)'!$A$1:$G$10,4,FALSE),IF(A158="PROREP (S)", INDEX('Data Feed (40C)'!D:D, MATCH(LEFT($A158,6), 'Data Feed (40C)'!$A$1:$A$10, 0) + 1, +1), VLOOKUP($A158,'Data Feed (40C)'!$A$1:$G$10,4,FALSE))))</f>
        <v>40C</v>
      </c>
      <c r="E158" s="6">
        <f t="array" ref="E158">IF(ISBLANK(A158),"",IF(A158="PROREP (L)",VLOOKUP(LEFT($A158,6),'Data Feed (40C)'!$A$1:$G$10,7,FALSE),IF(A158="PROREP (S)", INDEX('Data Feed (40C)'!G:G, MATCH(LEFT($A158,6), 'Data Feed (40C)'!$A$1:$A$10, 0) + 1, +1), VLOOKUP($A158,'Data Feed (40C)'!$A$1:$G$10,7,FALSE))))</f>
        <v>1</v>
      </c>
      <c r="F158" s="7">
        <v>45477.86944444444</v>
      </c>
      <c r="G158" s="8">
        <v>0.427</v>
      </c>
    </row>
    <row r="159">
      <c r="A159" s="9" t="str">
        <f t="shared" ref="A159:A163" si="184">A158</f>
        <v>PROREP (L)</v>
      </c>
      <c r="B159" s="9" t="str">
        <f>IF(ISBLANK(A158),"",LEFT(B158,27)&amp;VALUE(RIGHT(B158,1)+1))</f>
        <v>JKL240702PROREP_40C_sample_2</v>
      </c>
      <c r="C159" s="6" t="str">
        <f t="shared" ref="C159:D159" si="183">C158</f>
        <v>Protea repens</v>
      </c>
      <c r="D159" s="6" t="str">
        <f t="shared" si="183"/>
        <v>40C</v>
      </c>
      <c r="E159" s="10">
        <f>IF(ISBLANK(A158),"",E158+1)</f>
        <v>2</v>
      </c>
      <c r="F159" s="11">
        <f t="shared" ref="F159:F163" si="186">F158</f>
        <v>45477.86944</v>
      </c>
      <c r="G159" s="8">
        <v>0.333</v>
      </c>
    </row>
    <row r="160">
      <c r="A160" s="9" t="str">
        <f t="shared" si="184"/>
        <v>PROREP (L)</v>
      </c>
      <c r="B160" s="9" t="str">
        <f>IF(ISBLANK(A158),"",LEFT(B159,27)&amp;VALUE(RIGHT(B159,1)+1))</f>
        <v>JKL240702PROREP_40C_sample_3</v>
      </c>
      <c r="C160" s="6" t="str">
        <f t="shared" ref="C160:D160" si="185">C159</f>
        <v>Protea repens</v>
      </c>
      <c r="D160" s="6" t="str">
        <f t="shared" si="185"/>
        <v>40C</v>
      </c>
      <c r="E160" s="10">
        <f>IF(ISBLANK(A158),"",E159+1)</f>
        <v>3</v>
      </c>
      <c r="F160" s="11">
        <f t="shared" si="186"/>
        <v>45477.86944</v>
      </c>
      <c r="G160" s="8">
        <v>0.313</v>
      </c>
    </row>
    <row r="161">
      <c r="A161" s="9" t="str">
        <f t="shared" si="184"/>
        <v>PROREP (L)</v>
      </c>
      <c r="B161" s="9" t="str">
        <f>IF(ISBLANK(A158),"",LEFT(B160,27)&amp;VALUE(RIGHT(B160,1)+1))</f>
        <v>JKL240702PROREP_40C_sample_4</v>
      </c>
      <c r="C161" s="6" t="str">
        <f t="shared" ref="C161:D161" si="187">C160</f>
        <v>Protea repens</v>
      </c>
      <c r="D161" s="6" t="str">
        <f t="shared" si="187"/>
        <v>40C</v>
      </c>
      <c r="E161" s="10">
        <f>IF(ISBLANK(A158),"",E160+1)</f>
        <v>4</v>
      </c>
      <c r="F161" s="11">
        <f t="shared" si="186"/>
        <v>45477.86944</v>
      </c>
      <c r="G161" s="8">
        <v>0.189</v>
      </c>
    </row>
    <row r="162">
      <c r="A162" s="9" t="str">
        <f t="shared" si="184"/>
        <v>PROREP (L)</v>
      </c>
      <c r="B162" s="9" t="str">
        <f>IF(ISBLANK(A158),"",LEFT(B161,27)&amp;VALUE(RIGHT(B161,1)+1))</f>
        <v>JKL240702PROREP_40C_sample_5</v>
      </c>
      <c r="C162" s="6" t="str">
        <f t="shared" ref="C162:D162" si="188">C161</f>
        <v>Protea repens</v>
      </c>
      <c r="D162" s="6" t="str">
        <f t="shared" si="188"/>
        <v>40C</v>
      </c>
      <c r="E162" s="10">
        <f>IF(ISBLANK(A158),"",E161+1)</f>
        <v>5</v>
      </c>
      <c r="F162" s="11">
        <f t="shared" si="186"/>
        <v>45477.86944</v>
      </c>
      <c r="G162" s="8">
        <v>0.246</v>
      </c>
    </row>
    <row r="163">
      <c r="A163" s="12" t="str">
        <f t="shared" si="184"/>
        <v>PROREP (L)</v>
      </c>
      <c r="B163" s="12" t="str">
        <f>IF(ISBLANK(A158),"",LEFT(B162,27)&amp;VALUE(RIGHT(B162,1)+1))</f>
        <v>JKL240702PROREP_40C_sample_6</v>
      </c>
      <c r="C163" s="13" t="str">
        <f t="shared" ref="C163:D163" si="189">C162</f>
        <v>Protea repens</v>
      </c>
      <c r="D163" s="13" t="str">
        <f t="shared" si="189"/>
        <v>40C</v>
      </c>
      <c r="E163" s="14">
        <f>IF(ISBLANK(A158),"",E162+1)</f>
        <v>6</v>
      </c>
      <c r="F163" s="15">
        <f t="shared" si="186"/>
        <v>45477.86944</v>
      </c>
      <c r="G163" s="16">
        <v>0.246</v>
      </c>
    </row>
    <row r="164">
      <c r="A164" s="5" t="s">
        <v>9</v>
      </c>
      <c r="B164" s="6" t="str">
        <f t="array" ref="B164">IF(ISBLANK(A164),"",IF(A164="PROREP (L)",VLOOKUP(LEFT($A164,6),'Data Feed (40C)'!$A$1:$G$10,2,FALSE),IF(A164="PROREP (S)", INDEX('Data Feed (40C)'!B:B, MATCH(LEFT($A164,6), 'Data Feed (40C)'!$A$1:$A$10, 0) + 1), VLOOKUP($A164,'Data Feed (40C)'!$A$1:$G$10,2,FALSE))))</f>
        <v>JKS240702PROREP_40C_sample_1</v>
      </c>
      <c r="C164" s="6" t="str">
        <f t="array" ref="C164">IF(ISBLANK(A164),"",IF(A164="PROREP (L)",VLOOKUP(LEFT($A164,6),'Data Feed (40C)'!$A$1:$G$10,3,FALSE),IF(A164="PROREP (S)", INDEX('Data Feed (40C)'!C:C, MATCH(LEFT($A164,6), 'Data Feed (40C)'!$A$1:$A$10, 0) + 1, +1), VLOOKUP($A164,'Data Feed (40C)'!$A$1:$G$10,3,FALSE))))</f>
        <v>Protea repens</v>
      </c>
      <c r="D164" s="6" t="str">
        <f t="array" ref="D164">IF(ISBLANK(A164),"",IF(A164="PROREP (L)",VLOOKUP(LEFT($A164,6),'Data Feed (40C)'!$A$1:$G$10,4,FALSE),IF(A164="PROREP (S)", INDEX('Data Feed (40C)'!D:D, MATCH(LEFT($A164,6), 'Data Feed (40C)'!$A$1:$A$10, 0) + 1, +1), VLOOKUP($A164,'Data Feed (40C)'!$A$1:$G$10,4,FALSE))))</f>
        <v>40C</v>
      </c>
      <c r="E164" s="6">
        <f t="array" ref="E164">IF(ISBLANK(A164),"",IF(A164="PROREP (L)",VLOOKUP(LEFT($A164,6),'Data Feed (40C)'!$A$1:$G$10,7,FALSE),IF(A164="PROREP (S)", INDEX('Data Feed (40C)'!G:G, MATCH(LEFT($A164,6), 'Data Feed (40C)'!$A$1:$A$10, 0) + 1, +1), VLOOKUP($A164,'Data Feed (40C)'!$A$1:$G$10,7,FALSE))))</f>
        <v>1</v>
      </c>
      <c r="F164" s="7">
        <v>45477.870833333334</v>
      </c>
      <c r="G164" s="8">
        <v>5.356</v>
      </c>
    </row>
    <row r="165">
      <c r="A165" s="9" t="str">
        <f t="shared" ref="A165:A169" si="191">A164</f>
        <v>PROREP (S)</v>
      </c>
      <c r="B165" s="9" t="str">
        <f>IF(ISBLANK(A164),"",LEFT(B164,27)&amp;VALUE(RIGHT(B164,1)+1))</f>
        <v>JKS240702PROREP_40C_sample_2</v>
      </c>
      <c r="C165" s="6" t="str">
        <f t="shared" ref="C165:D165" si="190">C164</f>
        <v>Protea repens</v>
      </c>
      <c r="D165" s="6" t="str">
        <f t="shared" si="190"/>
        <v>40C</v>
      </c>
      <c r="E165" s="10">
        <f>IF(ISBLANK(A164),"",E164+1)</f>
        <v>2</v>
      </c>
      <c r="F165" s="11">
        <f t="shared" ref="F165:F169" si="193">F164</f>
        <v>45477.87083</v>
      </c>
      <c r="G165" s="8">
        <v>8.48</v>
      </c>
    </row>
    <row r="166">
      <c r="A166" s="9" t="str">
        <f t="shared" si="191"/>
        <v>PROREP (S)</v>
      </c>
      <c r="B166" s="9" t="str">
        <f>IF(ISBLANK(A164),"",LEFT(B165,27)&amp;VALUE(RIGHT(B165,1)+1))</f>
        <v>JKS240702PROREP_40C_sample_3</v>
      </c>
      <c r="C166" s="6" t="str">
        <f t="shared" ref="C166:D166" si="192">C165</f>
        <v>Protea repens</v>
      </c>
      <c r="D166" s="6" t="str">
        <f t="shared" si="192"/>
        <v>40C</v>
      </c>
      <c r="E166" s="10">
        <f>IF(ISBLANK(A164),"",E165+1)</f>
        <v>3</v>
      </c>
      <c r="F166" s="11">
        <f t="shared" si="193"/>
        <v>45477.87083</v>
      </c>
      <c r="G166" s="8">
        <v>3.009</v>
      </c>
    </row>
    <row r="167">
      <c r="A167" s="9" t="str">
        <f t="shared" si="191"/>
        <v>PROREP (S)</v>
      </c>
      <c r="B167" s="9" t="str">
        <f>IF(ISBLANK(A164),"",LEFT(B166,27)&amp;VALUE(RIGHT(B166,1)+1))</f>
        <v>JKS240702PROREP_40C_sample_4</v>
      </c>
      <c r="C167" s="6" t="str">
        <f t="shared" ref="C167:D167" si="194">C166</f>
        <v>Protea repens</v>
      </c>
      <c r="D167" s="6" t="str">
        <f t="shared" si="194"/>
        <v>40C</v>
      </c>
      <c r="E167" s="10">
        <f>IF(ISBLANK(A164),"",E166+1)</f>
        <v>4</v>
      </c>
      <c r="F167" s="11">
        <f t="shared" si="193"/>
        <v>45477.87083</v>
      </c>
      <c r="G167" s="8">
        <v>1.39</v>
      </c>
    </row>
    <row r="168">
      <c r="A168" s="9" t="str">
        <f t="shared" si="191"/>
        <v>PROREP (S)</v>
      </c>
      <c r="B168" s="9" t="str">
        <f>IF(ISBLANK(A164),"",LEFT(B167,27)&amp;VALUE(RIGHT(B167,1)+1))</f>
        <v>JKS240702PROREP_40C_sample_5</v>
      </c>
      <c r="C168" s="6" t="str">
        <f t="shared" ref="C168:D168" si="195">C167</f>
        <v>Protea repens</v>
      </c>
      <c r="D168" s="6" t="str">
        <f t="shared" si="195"/>
        <v>40C</v>
      </c>
      <c r="E168" s="10">
        <f>IF(ISBLANK(A164),"",E167+1)</f>
        <v>5</v>
      </c>
      <c r="F168" s="11">
        <f t="shared" si="193"/>
        <v>45477.87083</v>
      </c>
      <c r="G168" s="8">
        <v>5.344</v>
      </c>
    </row>
    <row r="169">
      <c r="A169" s="12" t="str">
        <f t="shared" si="191"/>
        <v>PROREP (S)</v>
      </c>
      <c r="B169" s="12" t="str">
        <f>IF(ISBLANK(A164),"",LEFT(B168,27)&amp;VALUE(RIGHT(B168,1)+1))</f>
        <v>JKS240702PROREP_40C_sample_6</v>
      </c>
      <c r="C169" s="13" t="str">
        <f t="shared" ref="C169:D169" si="196">C168</f>
        <v>Protea repens</v>
      </c>
      <c r="D169" s="13" t="str">
        <f t="shared" si="196"/>
        <v>40C</v>
      </c>
      <c r="E169" s="14">
        <f>IF(ISBLANK(A164),"",E168+1)</f>
        <v>6</v>
      </c>
      <c r="F169" s="15">
        <f t="shared" si="193"/>
        <v>45477.87083</v>
      </c>
      <c r="G169" s="16">
        <v>8.227</v>
      </c>
    </row>
    <row r="170">
      <c r="A170" s="5" t="s">
        <v>10</v>
      </c>
      <c r="B170" s="6" t="str">
        <f t="array" ref="B170">IF(ISBLANK(A170),"",IF(A170="PROREP (L)",VLOOKUP(LEFT($A170,6),'Data Feed (40C)'!$A$1:$G$10,2,FALSE),IF(A170="PROREP (S)", INDEX('Data Feed (40C)'!B:B, MATCH(LEFT($A170,6), 'Data Feed (40C)'!$A$1:$A$10, 0) + 1), VLOOKUP($A170,'Data Feed (40C)'!$A$1:$G$10,2,FALSE))))</f>
        <v>JKS240702CANCON_40C_sample_1</v>
      </c>
      <c r="C170" s="6" t="str">
        <f t="array" ref="C170">IF(ISBLANK(A170),"",IF(A170="PROREP (L)",VLOOKUP(LEFT($A170,6),'Data Feed (40C)'!$A$1:$G$10,3,FALSE),IF(A170="PROREP (S)", INDEX('Data Feed (40C)'!C:C, MATCH(LEFT($A170,6), 'Data Feed (40C)'!$A$1:$A$10, 0) + 1, +1), VLOOKUP($A170,'Data Feed (40C)'!$A$1:$G$10,3,FALSE))))</f>
        <v>Cannomois congesta</v>
      </c>
      <c r="D170" s="6" t="str">
        <f t="array" ref="D170">IF(ISBLANK(A170),"",IF(A170="PROREP (L)",VLOOKUP(LEFT($A170,6),'Data Feed (40C)'!$A$1:$G$10,4,FALSE),IF(A170="PROREP (S)", INDEX('Data Feed (40C)'!D:D, MATCH(LEFT($A170,6), 'Data Feed (40C)'!$A$1:$A$10, 0) + 1, +1), VLOOKUP($A170,'Data Feed (40C)'!$A$1:$G$10,4,FALSE))))</f>
        <v>40C</v>
      </c>
      <c r="E170" s="6">
        <f t="array" ref="E170">IF(ISBLANK(A170),"",IF(A170="PROREP (L)",VLOOKUP(LEFT($A170,6),'Data Feed (40C)'!$A$1:$G$10,7,FALSE),IF(A170="PROREP (S)", INDEX('Data Feed (40C)'!G:G, MATCH(LEFT($A170,6), 'Data Feed (40C)'!$A$1:$A$10, 0) + 1, +1), VLOOKUP($A170,'Data Feed (40C)'!$A$1:$G$10,7,FALSE))))</f>
        <v>1</v>
      </c>
      <c r="F170" s="7">
        <v>45477.87152777778</v>
      </c>
      <c r="G170" s="8">
        <v>0.885</v>
      </c>
    </row>
    <row r="171">
      <c r="A171" s="9" t="str">
        <f t="shared" ref="A171:A175" si="198">A170</f>
        <v>CANCON</v>
      </c>
      <c r="B171" s="9" t="str">
        <f>IF(ISBLANK(A170),"",LEFT(B170,27)&amp;VALUE(RIGHT(B170,1)+1))</f>
        <v>JKS240702CANCON_40C_sample_2</v>
      </c>
      <c r="C171" s="6" t="str">
        <f t="shared" ref="C171:D171" si="197">C170</f>
        <v>Cannomois congesta</v>
      </c>
      <c r="D171" s="6" t="str">
        <f t="shared" si="197"/>
        <v>40C</v>
      </c>
      <c r="E171" s="10">
        <f>IF(ISBLANK(A170),"",E170+1)</f>
        <v>2</v>
      </c>
      <c r="F171" s="11">
        <f t="shared" ref="F171:F175" si="200">F170</f>
        <v>45477.87153</v>
      </c>
      <c r="G171" s="8">
        <v>1.905</v>
      </c>
    </row>
    <row r="172">
      <c r="A172" s="9" t="str">
        <f t="shared" si="198"/>
        <v>CANCON</v>
      </c>
      <c r="B172" s="9" t="str">
        <f>IF(ISBLANK(A170),"",LEFT(B171,27)&amp;VALUE(RIGHT(B171,1)+1))</f>
        <v>JKS240702CANCON_40C_sample_3</v>
      </c>
      <c r="C172" s="6" t="str">
        <f t="shared" ref="C172:D172" si="199">C171</f>
        <v>Cannomois congesta</v>
      </c>
      <c r="D172" s="6" t="str">
        <f t="shared" si="199"/>
        <v>40C</v>
      </c>
      <c r="E172" s="10">
        <f>IF(ISBLANK(A170),"",E171+1)</f>
        <v>3</v>
      </c>
      <c r="F172" s="11">
        <f t="shared" si="200"/>
        <v>45477.87153</v>
      </c>
      <c r="G172" s="8">
        <v>0.984</v>
      </c>
    </row>
    <row r="173">
      <c r="A173" s="9" t="str">
        <f t="shared" si="198"/>
        <v>CANCON</v>
      </c>
      <c r="B173" s="9" t="str">
        <f>IF(ISBLANK(A170),"",LEFT(B172,27)&amp;VALUE(RIGHT(B172,1)+1))</f>
        <v>JKS240702CANCON_40C_sample_4</v>
      </c>
      <c r="C173" s="6" t="str">
        <f t="shared" ref="C173:D173" si="201">C172</f>
        <v>Cannomois congesta</v>
      </c>
      <c r="D173" s="6" t="str">
        <f t="shared" si="201"/>
        <v>40C</v>
      </c>
      <c r="E173" s="10">
        <f>IF(ISBLANK(A170),"",E172+1)</f>
        <v>4</v>
      </c>
      <c r="F173" s="11">
        <f t="shared" si="200"/>
        <v>45477.87153</v>
      </c>
      <c r="G173" s="8">
        <v>1.508</v>
      </c>
    </row>
    <row r="174">
      <c r="A174" s="9" t="str">
        <f t="shared" si="198"/>
        <v>CANCON</v>
      </c>
      <c r="B174" s="9" t="str">
        <f>IF(ISBLANK(A170),"",LEFT(B173,27)&amp;VALUE(RIGHT(B173,1)+1))</f>
        <v>JKS240702CANCON_40C_sample_5</v>
      </c>
      <c r="C174" s="6" t="str">
        <f t="shared" ref="C174:D174" si="202">C173</f>
        <v>Cannomois congesta</v>
      </c>
      <c r="D174" s="6" t="str">
        <f t="shared" si="202"/>
        <v>40C</v>
      </c>
      <c r="E174" s="10">
        <f>IF(ISBLANK(A170),"",E173+1)</f>
        <v>5</v>
      </c>
      <c r="F174" s="11">
        <f t="shared" si="200"/>
        <v>45477.87153</v>
      </c>
      <c r="G174" s="8">
        <v>0.786</v>
      </c>
    </row>
    <row r="175">
      <c r="A175" s="12" t="str">
        <f t="shared" si="198"/>
        <v>CANCON</v>
      </c>
      <c r="B175" s="12" t="str">
        <f>IF(ISBLANK(A170),"",LEFT(B174,27)&amp;VALUE(RIGHT(B174,1)+1))</f>
        <v>JKS240702CANCON_40C_sample_6</v>
      </c>
      <c r="C175" s="13" t="str">
        <f t="shared" ref="C175:D175" si="203">C174</f>
        <v>Cannomois congesta</v>
      </c>
      <c r="D175" s="13" t="str">
        <f t="shared" si="203"/>
        <v>40C</v>
      </c>
      <c r="E175" s="14">
        <f>IF(ISBLANK(A170),"",E174+1)</f>
        <v>6</v>
      </c>
      <c r="F175" s="15">
        <f t="shared" si="200"/>
        <v>45477.87153</v>
      </c>
      <c r="G175" s="16">
        <v>1.574</v>
      </c>
    </row>
    <row r="176">
      <c r="A176" s="5" t="s">
        <v>7</v>
      </c>
      <c r="B176" s="6" t="str">
        <f t="array" ref="B176">IF(ISBLANK(A176),"",IF(A176="PROREP (L)",VLOOKUP(LEFT($A176,6),'Data Feed (40C)'!$A$1:$G$10,2,FALSE),IF(A176="PROREP (S)", INDEX('Data Feed (40C)'!B:B, MATCH(LEFT($A176,6), 'Data Feed (40C)'!$A$1:$A$10, 0) + 1), VLOOKUP($A176,'Data Feed (40C)'!$A$1:$G$10,2,FALSE))))</f>
        <v>JKS240702ERIMON_40C_sample_1</v>
      </c>
      <c r="C176" s="6" t="str">
        <f t="array" ref="C176">IF(ISBLANK(A176),"",IF(A176="PROREP (L)",VLOOKUP(LEFT($A176,6),'Data Feed (40C)'!$A$1:$G$10,3,FALSE),IF(A176="PROREP (S)", INDEX('Data Feed (40C)'!C:C, MATCH(LEFT($A176,6), 'Data Feed (40C)'!$A$1:$A$10, 0) + 1, +1), VLOOKUP($A176,'Data Feed (40C)'!$A$1:$G$10,3,FALSE))))</f>
        <v>Erica monsoniana</v>
      </c>
      <c r="D176" s="6" t="str">
        <f t="array" ref="D176">IF(ISBLANK(A176),"",IF(A176="PROREP (L)",VLOOKUP(LEFT($A176,6),'Data Feed (40C)'!$A$1:$G$10,4,FALSE),IF(A176="PROREP (S)", INDEX('Data Feed (40C)'!D:D, MATCH(LEFT($A176,6), 'Data Feed (40C)'!$A$1:$A$10, 0) + 1, +1), VLOOKUP($A176,'Data Feed (40C)'!$A$1:$G$10,4,FALSE))))</f>
        <v>40C</v>
      </c>
      <c r="E176" s="6">
        <f t="array" ref="E176">IF(ISBLANK(A176),"",IF(A176="PROREP (L)",VLOOKUP(LEFT($A176,6),'Data Feed (40C)'!$A$1:$G$10,7,FALSE),IF(A176="PROREP (S)", INDEX('Data Feed (40C)'!G:G, MATCH(LEFT($A176,6), 'Data Feed (40C)'!$A$1:$A$10, 0) + 1, +1), VLOOKUP($A176,'Data Feed (40C)'!$A$1:$G$10,7,FALSE))))</f>
        <v>1</v>
      </c>
      <c r="F176" s="7">
        <v>45477.925</v>
      </c>
      <c r="G176" s="8">
        <v>0.786</v>
      </c>
    </row>
    <row r="177">
      <c r="A177" s="9" t="str">
        <f t="shared" ref="A177:A181" si="205">A176</f>
        <v>ERIMON</v>
      </c>
      <c r="B177" s="9" t="str">
        <f>IF(ISBLANK(A176),"",LEFT(B176,27)&amp;VALUE(RIGHT(B176,1)+1))</f>
        <v>JKS240702ERIMON_40C_sample_2</v>
      </c>
      <c r="C177" s="6" t="str">
        <f t="shared" ref="C177:D177" si="204">C176</f>
        <v>Erica monsoniana</v>
      </c>
      <c r="D177" s="6" t="str">
        <f t="shared" si="204"/>
        <v>40C</v>
      </c>
      <c r="E177" s="10">
        <f>IF(ISBLANK(A176),"",E176+1)</f>
        <v>2</v>
      </c>
      <c r="F177" s="11">
        <f t="shared" ref="F177:F181" si="207">F176</f>
        <v>45477.925</v>
      </c>
      <c r="G177" s="8">
        <v>0.91</v>
      </c>
    </row>
    <row r="178">
      <c r="A178" s="9" t="str">
        <f t="shared" si="205"/>
        <v>ERIMON</v>
      </c>
      <c r="B178" s="9" t="str">
        <f>IF(ISBLANK(A176),"",LEFT(B177,27)&amp;VALUE(RIGHT(B177,1)+1))</f>
        <v>JKS240702ERIMON_40C_sample_3</v>
      </c>
      <c r="C178" s="6" t="str">
        <f t="shared" ref="C178:D178" si="206">C177</f>
        <v>Erica monsoniana</v>
      </c>
      <c r="D178" s="6" t="str">
        <f t="shared" si="206"/>
        <v>40C</v>
      </c>
      <c r="E178" s="10">
        <f>IF(ISBLANK(A176),"",E177+1)</f>
        <v>3</v>
      </c>
      <c r="F178" s="11">
        <f t="shared" si="207"/>
        <v>45477.925</v>
      </c>
      <c r="G178" s="8">
        <v>0.804</v>
      </c>
    </row>
    <row r="179">
      <c r="A179" s="9" t="str">
        <f t="shared" si="205"/>
        <v>ERIMON</v>
      </c>
      <c r="B179" s="9" t="str">
        <f>IF(ISBLANK(A176),"",LEFT(B178,27)&amp;VALUE(RIGHT(B178,1)+1))</f>
        <v>JKS240702ERIMON_40C_sample_4</v>
      </c>
      <c r="C179" s="6" t="str">
        <f t="shared" ref="C179:D179" si="208">C178</f>
        <v>Erica monsoniana</v>
      </c>
      <c r="D179" s="6" t="str">
        <f t="shared" si="208"/>
        <v>40C</v>
      </c>
      <c r="E179" s="10">
        <f>IF(ISBLANK(A176),"",E178+1)</f>
        <v>4</v>
      </c>
      <c r="F179" s="11">
        <f t="shared" si="207"/>
        <v>45477.925</v>
      </c>
      <c r="G179" s="8">
        <v>1.901</v>
      </c>
    </row>
    <row r="180">
      <c r="A180" s="9" t="str">
        <f t="shared" si="205"/>
        <v>ERIMON</v>
      </c>
      <c r="B180" s="9" t="str">
        <f>IF(ISBLANK(A176),"",LEFT(B179,27)&amp;VALUE(RIGHT(B179,1)+1))</f>
        <v>JKS240702ERIMON_40C_sample_5</v>
      </c>
      <c r="C180" s="6" t="str">
        <f t="shared" ref="C180:D180" si="209">C179</f>
        <v>Erica monsoniana</v>
      </c>
      <c r="D180" s="6" t="str">
        <f t="shared" si="209"/>
        <v>40C</v>
      </c>
      <c r="E180" s="10">
        <f>IF(ISBLANK(A176),"",E179+1)</f>
        <v>5</v>
      </c>
      <c r="F180" s="11">
        <f t="shared" si="207"/>
        <v>45477.925</v>
      </c>
      <c r="G180" s="8">
        <v>0.686</v>
      </c>
    </row>
    <row r="181">
      <c r="A181" s="12" t="str">
        <f t="shared" si="205"/>
        <v>ERIMON</v>
      </c>
      <c r="B181" s="12" t="str">
        <f>IF(ISBLANK(A176),"",LEFT(B180,27)&amp;VALUE(RIGHT(B180,1)+1))</f>
        <v>JKS240702ERIMON_40C_sample_6</v>
      </c>
      <c r="C181" s="13" t="str">
        <f t="shared" ref="C181:D181" si="210">C180</f>
        <v>Erica monsoniana</v>
      </c>
      <c r="D181" s="13" t="str">
        <f t="shared" si="210"/>
        <v>40C</v>
      </c>
      <c r="E181" s="14">
        <f>IF(ISBLANK(A176),"",E180+1)</f>
        <v>6</v>
      </c>
      <c r="F181" s="15">
        <f t="shared" si="207"/>
        <v>45477.925</v>
      </c>
      <c r="G181" s="16">
        <v>1.09</v>
      </c>
    </row>
    <row r="182">
      <c r="A182" s="5" t="s">
        <v>8</v>
      </c>
      <c r="B182" s="6" t="str">
        <f t="array" ref="B182">IF(ISBLANK(A182),"",IF(A182="PROREP (L)",VLOOKUP(LEFT($A182,6),'Data Feed (40C)'!$A$1:$G$10,2,FALSE),IF(A182="PROREP (S)", INDEX('Data Feed (40C)'!B:B, MATCH(LEFT($A182,6), 'Data Feed (40C)'!$A$1:$A$10, 0) + 1), VLOOKUP($A182,'Data Feed (40C)'!$A$1:$G$10,2,FALSE))))</f>
        <v>JKL240702PROREP_40C_sample_1</v>
      </c>
      <c r="C182" s="6" t="str">
        <f t="array" ref="C182">IF(ISBLANK(A182),"",IF(A182="PROREP (L)",VLOOKUP(LEFT($A182,6),'Data Feed (40C)'!$A$1:$G$10,3,FALSE),IF(A182="PROREP (S)", INDEX('Data Feed (40C)'!C:C, MATCH(LEFT($A182,6), 'Data Feed (40C)'!$A$1:$A$10, 0) + 1, +1), VLOOKUP($A182,'Data Feed (40C)'!$A$1:$G$10,3,FALSE))))</f>
        <v>Protea repens</v>
      </c>
      <c r="D182" s="6" t="str">
        <f t="array" ref="D182">IF(ISBLANK(A182),"",IF(A182="PROREP (L)",VLOOKUP(LEFT($A182,6),'Data Feed (40C)'!$A$1:$G$10,4,FALSE),IF(A182="PROREP (S)", INDEX('Data Feed (40C)'!D:D, MATCH(LEFT($A182,6), 'Data Feed (40C)'!$A$1:$A$10, 0) + 1, +1), VLOOKUP($A182,'Data Feed (40C)'!$A$1:$G$10,4,FALSE))))</f>
        <v>40C</v>
      </c>
      <c r="E182" s="6">
        <f t="array" ref="E182">IF(ISBLANK(A182),"",IF(A182="PROREP (L)",VLOOKUP(LEFT($A182,6),'Data Feed (40C)'!$A$1:$G$10,7,FALSE),IF(A182="PROREP (S)", INDEX('Data Feed (40C)'!G:G, MATCH(LEFT($A182,6), 'Data Feed (40C)'!$A$1:$A$10, 0) + 1, +1), VLOOKUP($A182,'Data Feed (40C)'!$A$1:$G$10,7,FALSE))))</f>
        <v>1</v>
      </c>
      <c r="F182" s="7">
        <v>45477.92638888889</v>
      </c>
      <c r="G182" s="8">
        <v>0.416</v>
      </c>
    </row>
    <row r="183">
      <c r="A183" s="9" t="str">
        <f t="shared" ref="A183:A187" si="212">A182</f>
        <v>PROREP (L)</v>
      </c>
      <c r="B183" s="9" t="str">
        <f>IF(ISBLANK(A182),"",LEFT(B182,27)&amp;VALUE(RIGHT(B182,1)+1))</f>
        <v>JKL240702PROREP_40C_sample_2</v>
      </c>
      <c r="C183" s="6" t="str">
        <f t="shared" ref="C183:D183" si="211">C182</f>
        <v>Protea repens</v>
      </c>
      <c r="D183" s="6" t="str">
        <f t="shared" si="211"/>
        <v>40C</v>
      </c>
      <c r="E183" s="10">
        <f>IF(ISBLANK(A182),"",E182+1)</f>
        <v>2</v>
      </c>
      <c r="F183" s="11">
        <f t="shared" ref="F183:F187" si="214">F182</f>
        <v>45477.92639</v>
      </c>
      <c r="G183" s="8">
        <v>0.309</v>
      </c>
    </row>
    <row r="184">
      <c r="A184" s="9" t="str">
        <f t="shared" si="212"/>
        <v>PROREP (L)</v>
      </c>
      <c r="B184" s="9" t="str">
        <f>IF(ISBLANK(A182),"",LEFT(B183,27)&amp;VALUE(RIGHT(B183,1)+1))</f>
        <v>JKL240702PROREP_40C_sample_3</v>
      </c>
      <c r="C184" s="6" t="str">
        <f t="shared" ref="C184:D184" si="213">C183</f>
        <v>Protea repens</v>
      </c>
      <c r="D184" s="6" t="str">
        <f t="shared" si="213"/>
        <v>40C</v>
      </c>
      <c r="E184" s="10">
        <f>IF(ISBLANK(A182),"",E183+1)</f>
        <v>3</v>
      </c>
      <c r="F184" s="11">
        <f t="shared" si="214"/>
        <v>45477.92639</v>
      </c>
      <c r="G184" s="8">
        <v>0.305</v>
      </c>
    </row>
    <row r="185">
      <c r="A185" s="9" t="str">
        <f t="shared" si="212"/>
        <v>PROREP (L)</v>
      </c>
      <c r="B185" s="9" t="str">
        <f>IF(ISBLANK(A182),"",LEFT(B184,27)&amp;VALUE(RIGHT(B184,1)+1))</f>
        <v>JKL240702PROREP_40C_sample_4</v>
      </c>
      <c r="C185" s="6" t="str">
        <f t="shared" ref="C185:D185" si="215">C184</f>
        <v>Protea repens</v>
      </c>
      <c r="D185" s="6" t="str">
        <f t="shared" si="215"/>
        <v>40C</v>
      </c>
      <c r="E185" s="10">
        <f>IF(ISBLANK(A182),"",E184+1)</f>
        <v>4</v>
      </c>
      <c r="F185" s="11">
        <f t="shared" si="214"/>
        <v>45477.92639</v>
      </c>
      <c r="G185" s="8">
        <v>0.177</v>
      </c>
    </row>
    <row r="186">
      <c r="A186" s="9" t="str">
        <f t="shared" si="212"/>
        <v>PROREP (L)</v>
      </c>
      <c r="B186" s="9" t="str">
        <f>IF(ISBLANK(A182),"",LEFT(B185,27)&amp;VALUE(RIGHT(B185,1)+1))</f>
        <v>JKL240702PROREP_40C_sample_5</v>
      </c>
      <c r="C186" s="6" t="str">
        <f t="shared" ref="C186:D186" si="216">C185</f>
        <v>Protea repens</v>
      </c>
      <c r="D186" s="6" t="str">
        <f t="shared" si="216"/>
        <v>40C</v>
      </c>
      <c r="E186" s="10">
        <f>IF(ISBLANK(A182),"",E185+1)</f>
        <v>5</v>
      </c>
      <c r="F186" s="11">
        <f t="shared" si="214"/>
        <v>45477.92639</v>
      </c>
      <c r="G186" s="8">
        <v>0.24</v>
      </c>
    </row>
    <row r="187">
      <c r="A187" s="12" t="str">
        <f t="shared" si="212"/>
        <v>PROREP (L)</v>
      </c>
      <c r="B187" s="12" t="str">
        <f>IF(ISBLANK(A182),"",LEFT(B186,27)&amp;VALUE(RIGHT(B186,1)+1))</f>
        <v>JKL240702PROREP_40C_sample_6</v>
      </c>
      <c r="C187" s="13" t="str">
        <f t="shared" ref="C187:D187" si="217">C186</f>
        <v>Protea repens</v>
      </c>
      <c r="D187" s="13" t="str">
        <f t="shared" si="217"/>
        <v>40C</v>
      </c>
      <c r="E187" s="14">
        <f>IF(ISBLANK(A182),"",E186+1)</f>
        <v>6</v>
      </c>
      <c r="F187" s="15">
        <f t="shared" si="214"/>
        <v>45477.92639</v>
      </c>
      <c r="G187" s="16">
        <v>0.245</v>
      </c>
    </row>
    <row r="188">
      <c r="A188" s="5" t="s">
        <v>9</v>
      </c>
      <c r="B188" s="6" t="str">
        <f t="array" ref="B188">IF(ISBLANK(A188),"",IF(A188="PROREP (L)",VLOOKUP(LEFT($A188,6),'Data Feed (40C)'!$A$1:$G$10,2,FALSE),IF(A188="PROREP (S)", INDEX('Data Feed (40C)'!B:B, MATCH(LEFT($A188,6), 'Data Feed (40C)'!$A$1:$A$10, 0) + 1), VLOOKUP($A188,'Data Feed (40C)'!$A$1:$G$10,2,FALSE))))</f>
        <v>JKS240702PROREP_40C_sample_1</v>
      </c>
      <c r="C188" s="6" t="str">
        <f t="array" ref="C188">IF(ISBLANK(A188),"",IF(A188="PROREP (L)",VLOOKUP(LEFT($A188,6),'Data Feed (40C)'!$A$1:$G$10,3,FALSE),IF(A188="PROREP (S)", INDEX('Data Feed (40C)'!C:C, MATCH(LEFT($A188,6), 'Data Feed (40C)'!$A$1:$A$10, 0) + 1, +1), VLOOKUP($A188,'Data Feed (40C)'!$A$1:$G$10,3,FALSE))))</f>
        <v>Protea repens</v>
      </c>
      <c r="D188" s="6" t="str">
        <f t="array" ref="D188">IF(ISBLANK(A188),"",IF(A188="PROREP (L)",VLOOKUP(LEFT($A188,6),'Data Feed (40C)'!$A$1:$G$10,4,FALSE),IF(A188="PROREP (S)", INDEX('Data Feed (40C)'!D:D, MATCH(LEFT($A188,6), 'Data Feed (40C)'!$A$1:$A$10, 0) + 1, +1), VLOOKUP($A188,'Data Feed (40C)'!$A$1:$G$10,4,FALSE))))</f>
        <v>40C</v>
      </c>
      <c r="E188" s="6">
        <f t="array" ref="E188">IF(ISBLANK(A188),"",IF(A188="PROREP (L)",VLOOKUP(LEFT($A188,6),'Data Feed (40C)'!$A$1:$G$10,7,FALSE),IF(A188="PROREP (S)", INDEX('Data Feed (40C)'!G:G, MATCH(LEFT($A188,6), 'Data Feed (40C)'!$A$1:$A$10, 0) + 1, +1), VLOOKUP($A188,'Data Feed (40C)'!$A$1:$G$10,7,FALSE))))</f>
        <v>1</v>
      </c>
      <c r="F188" s="7">
        <v>45477.927777777775</v>
      </c>
      <c r="G188" s="8">
        <v>5.045</v>
      </c>
    </row>
    <row r="189">
      <c r="A189" s="9" t="str">
        <f t="shared" ref="A189:A193" si="219">A188</f>
        <v>PROREP (S)</v>
      </c>
      <c r="B189" s="9" t="str">
        <f>IF(ISBLANK(A188),"",LEFT(B188,27)&amp;VALUE(RIGHT(B188,1)+1))</f>
        <v>JKS240702PROREP_40C_sample_2</v>
      </c>
      <c r="C189" s="6" t="str">
        <f t="shared" ref="C189:D189" si="218">C188</f>
        <v>Protea repens</v>
      </c>
      <c r="D189" s="6" t="str">
        <f t="shared" si="218"/>
        <v>40C</v>
      </c>
      <c r="E189" s="10">
        <f>IF(ISBLANK(A188),"",E188+1)</f>
        <v>2</v>
      </c>
      <c r="F189" s="11">
        <f t="shared" ref="F189:F193" si="221">F188</f>
        <v>45477.92778</v>
      </c>
      <c r="G189" s="8">
        <v>8.104</v>
      </c>
    </row>
    <row r="190">
      <c r="A190" s="9" t="str">
        <f t="shared" si="219"/>
        <v>PROREP (S)</v>
      </c>
      <c r="B190" s="9" t="str">
        <f>IF(ISBLANK(A188),"",LEFT(B189,27)&amp;VALUE(RIGHT(B189,1)+1))</f>
        <v>JKS240702PROREP_40C_sample_3</v>
      </c>
      <c r="C190" s="6" t="str">
        <f t="shared" ref="C190:D190" si="220">C189</f>
        <v>Protea repens</v>
      </c>
      <c r="D190" s="6" t="str">
        <f t="shared" si="220"/>
        <v>40C</v>
      </c>
      <c r="E190" s="10">
        <f>IF(ISBLANK(A188),"",E189+1)</f>
        <v>3</v>
      </c>
      <c r="F190" s="11">
        <f t="shared" si="221"/>
        <v>45477.92778</v>
      </c>
      <c r="G190" s="8">
        <v>2.75</v>
      </c>
    </row>
    <row r="191">
      <c r="A191" s="9" t="str">
        <f t="shared" si="219"/>
        <v>PROREP (S)</v>
      </c>
      <c r="B191" s="9" t="str">
        <f>IF(ISBLANK(A188),"",LEFT(B190,27)&amp;VALUE(RIGHT(B190,1)+1))</f>
        <v>JKS240702PROREP_40C_sample_4</v>
      </c>
      <c r="C191" s="6" t="str">
        <f t="shared" ref="C191:D191" si="222">C190</f>
        <v>Protea repens</v>
      </c>
      <c r="D191" s="6" t="str">
        <f t="shared" si="222"/>
        <v>40C</v>
      </c>
      <c r="E191" s="10">
        <f>IF(ISBLANK(A188),"",E190+1)</f>
        <v>4</v>
      </c>
      <c r="F191" s="11">
        <f t="shared" si="221"/>
        <v>45477.92778</v>
      </c>
      <c r="G191" s="8">
        <v>1.306</v>
      </c>
    </row>
    <row r="192">
      <c r="A192" s="9" t="str">
        <f t="shared" si="219"/>
        <v>PROREP (S)</v>
      </c>
      <c r="B192" s="9" t="str">
        <f>IF(ISBLANK(A188),"",LEFT(B191,27)&amp;VALUE(RIGHT(B191,1)+1))</f>
        <v>JKS240702PROREP_40C_sample_5</v>
      </c>
      <c r="C192" s="6" t="str">
        <f t="shared" ref="C192:D192" si="223">C191</f>
        <v>Protea repens</v>
      </c>
      <c r="D192" s="6" t="str">
        <f t="shared" si="223"/>
        <v>40C</v>
      </c>
      <c r="E192" s="10">
        <f>IF(ISBLANK(A188),"",E191+1)</f>
        <v>5</v>
      </c>
      <c r="F192" s="11">
        <f t="shared" si="221"/>
        <v>45477.92778</v>
      </c>
      <c r="G192" s="8">
        <v>5.025</v>
      </c>
    </row>
    <row r="193">
      <c r="A193" s="12" t="str">
        <f t="shared" si="219"/>
        <v>PROREP (S)</v>
      </c>
      <c r="B193" s="12" t="str">
        <f>IF(ISBLANK(A188),"",LEFT(B192,27)&amp;VALUE(RIGHT(B192,1)+1))</f>
        <v>JKS240702PROREP_40C_sample_6</v>
      </c>
      <c r="C193" s="13" t="str">
        <f t="shared" ref="C193:D193" si="224">C192</f>
        <v>Protea repens</v>
      </c>
      <c r="D193" s="13" t="str">
        <f t="shared" si="224"/>
        <v>40C</v>
      </c>
      <c r="E193" s="14">
        <f>IF(ISBLANK(A188),"",E192+1)</f>
        <v>6</v>
      </c>
      <c r="F193" s="15">
        <f t="shared" si="221"/>
        <v>45477.92778</v>
      </c>
      <c r="G193" s="16">
        <v>7.891</v>
      </c>
    </row>
    <row r="194">
      <c r="A194" s="5" t="s">
        <v>10</v>
      </c>
      <c r="B194" s="6" t="str">
        <f t="array" ref="B194">IF(ISBLANK(A194),"",IF(A194="PROREP (L)",VLOOKUP(LEFT($A194,6),'Data Feed (40C)'!$A$1:$G$10,2,FALSE),IF(A194="PROREP (S)", INDEX('Data Feed (40C)'!B:B, MATCH(LEFT($A194,6), 'Data Feed (40C)'!$A$1:$A$10, 0) + 1), VLOOKUP($A194,'Data Feed (40C)'!$A$1:$G$10,2,FALSE))))</f>
        <v>JKS240702CANCON_40C_sample_1</v>
      </c>
      <c r="C194" s="6" t="str">
        <f t="array" ref="C194">IF(ISBLANK(A194),"",IF(A194="PROREP (L)",VLOOKUP(LEFT($A194,6),'Data Feed (40C)'!$A$1:$G$10,3,FALSE),IF(A194="PROREP (S)", INDEX('Data Feed (40C)'!C:C, MATCH(LEFT($A194,6), 'Data Feed (40C)'!$A$1:$A$10, 0) + 1, +1), VLOOKUP($A194,'Data Feed (40C)'!$A$1:$G$10,3,FALSE))))</f>
        <v>Cannomois congesta</v>
      </c>
      <c r="D194" s="6" t="str">
        <f t="array" ref="D194">IF(ISBLANK(A194),"",IF(A194="PROREP (L)",VLOOKUP(LEFT($A194,6),'Data Feed (40C)'!$A$1:$G$10,4,FALSE),IF(A194="PROREP (S)", INDEX('Data Feed (40C)'!D:D, MATCH(LEFT($A194,6), 'Data Feed (40C)'!$A$1:$A$10, 0) + 1, +1), VLOOKUP($A194,'Data Feed (40C)'!$A$1:$G$10,4,FALSE))))</f>
        <v>40C</v>
      </c>
      <c r="E194" s="6">
        <f t="array" ref="E194">IF(ISBLANK(A194),"",IF(A194="PROREP (L)",VLOOKUP(LEFT($A194,6),'Data Feed (40C)'!$A$1:$G$10,7,FALSE),IF(A194="PROREP (S)", INDEX('Data Feed (40C)'!G:G, MATCH(LEFT($A194,6), 'Data Feed (40C)'!$A$1:$A$10, 0) + 1, +1), VLOOKUP($A194,'Data Feed (40C)'!$A$1:$G$10,7,FALSE))))</f>
        <v>1</v>
      </c>
      <c r="F194" s="7">
        <v>45477.92847222222</v>
      </c>
      <c r="G194" s="8">
        <v>0.834</v>
      </c>
    </row>
    <row r="195">
      <c r="A195" s="9" t="str">
        <f t="shared" ref="A195:A199" si="226">A194</f>
        <v>CANCON</v>
      </c>
      <c r="B195" s="9" t="str">
        <f>IF(ISBLANK(A194),"",LEFT(B194,27)&amp;VALUE(RIGHT(B194,1)+1))</f>
        <v>JKS240702CANCON_40C_sample_2</v>
      </c>
      <c r="C195" s="6" t="str">
        <f t="shared" ref="C195:D195" si="225">C194</f>
        <v>Cannomois congesta</v>
      </c>
      <c r="D195" s="6" t="str">
        <f t="shared" si="225"/>
        <v>40C</v>
      </c>
      <c r="E195" s="10">
        <f>IF(ISBLANK(A194),"",E194+1)</f>
        <v>2</v>
      </c>
      <c r="F195" s="11">
        <f t="shared" ref="F195:F199" si="228">F194</f>
        <v>45477.92847</v>
      </c>
      <c r="G195" s="8">
        <v>1.836</v>
      </c>
    </row>
    <row r="196">
      <c r="A196" s="9" t="str">
        <f t="shared" si="226"/>
        <v>CANCON</v>
      </c>
      <c r="B196" s="9" t="str">
        <f>IF(ISBLANK(A194),"",LEFT(B195,27)&amp;VALUE(RIGHT(B195,1)+1))</f>
        <v>JKS240702CANCON_40C_sample_3</v>
      </c>
      <c r="C196" s="6" t="str">
        <f t="shared" ref="C196:D196" si="227">C195</f>
        <v>Cannomois congesta</v>
      </c>
      <c r="D196" s="6" t="str">
        <f t="shared" si="227"/>
        <v>40C</v>
      </c>
      <c r="E196" s="10">
        <f>IF(ISBLANK(A194),"",E195+1)</f>
        <v>3</v>
      </c>
      <c r="F196" s="11">
        <f t="shared" si="228"/>
        <v>45477.92847</v>
      </c>
      <c r="G196" s="8">
        <v>0.943</v>
      </c>
    </row>
    <row r="197">
      <c r="A197" s="9" t="str">
        <f t="shared" si="226"/>
        <v>CANCON</v>
      </c>
      <c r="B197" s="9" t="str">
        <f>IF(ISBLANK(A194),"",LEFT(B196,27)&amp;VALUE(RIGHT(B196,1)+1))</f>
        <v>JKS240702CANCON_40C_sample_4</v>
      </c>
      <c r="C197" s="6" t="str">
        <f t="shared" ref="C197:D197" si="229">C196</f>
        <v>Cannomois congesta</v>
      </c>
      <c r="D197" s="6" t="str">
        <f t="shared" si="229"/>
        <v>40C</v>
      </c>
      <c r="E197" s="10">
        <f>IF(ISBLANK(A194),"",E196+1)</f>
        <v>4</v>
      </c>
      <c r="F197" s="11">
        <f t="shared" si="228"/>
        <v>45477.92847</v>
      </c>
      <c r="G197" s="8">
        <v>1.44</v>
      </c>
    </row>
    <row r="198">
      <c r="A198" s="9" t="str">
        <f t="shared" si="226"/>
        <v>CANCON</v>
      </c>
      <c r="B198" s="9" t="str">
        <f>IF(ISBLANK(A194),"",LEFT(B197,27)&amp;VALUE(RIGHT(B197,1)+1))</f>
        <v>JKS240702CANCON_40C_sample_5</v>
      </c>
      <c r="C198" s="6" t="str">
        <f t="shared" ref="C198:D198" si="230">C197</f>
        <v>Cannomois congesta</v>
      </c>
      <c r="D198" s="6" t="str">
        <f t="shared" si="230"/>
        <v>40C</v>
      </c>
      <c r="E198" s="10">
        <f>IF(ISBLANK(A194),"",E197+1)</f>
        <v>5</v>
      </c>
      <c r="F198" s="11">
        <f t="shared" si="228"/>
        <v>45477.92847</v>
      </c>
      <c r="G198" s="8">
        <v>0.745</v>
      </c>
    </row>
    <row r="199">
      <c r="A199" s="12" t="str">
        <f t="shared" si="226"/>
        <v>CANCON</v>
      </c>
      <c r="B199" s="12" t="str">
        <f>IF(ISBLANK(A194),"",LEFT(B198,27)&amp;VALUE(RIGHT(B198,1)+1))</f>
        <v>JKS240702CANCON_40C_sample_6</v>
      </c>
      <c r="C199" s="13" t="str">
        <f t="shared" ref="C199:D199" si="231">C198</f>
        <v>Cannomois congesta</v>
      </c>
      <c r="D199" s="13" t="str">
        <f t="shared" si="231"/>
        <v>40C</v>
      </c>
      <c r="E199" s="14">
        <f>IF(ISBLANK(A194),"",E198+1)</f>
        <v>6</v>
      </c>
      <c r="F199" s="15">
        <f t="shared" si="228"/>
        <v>45477.92847</v>
      </c>
      <c r="G199" s="16">
        <v>1.491</v>
      </c>
    </row>
    <row r="200">
      <c r="A200" s="5" t="s">
        <v>7</v>
      </c>
      <c r="B200" s="6" t="str">
        <f t="array" ref="B200">IF(ISBLANK(A200),"",IF(A200="PROREP (L)",VLOOKUP(LEFT($A200,6),'Data Feed (40C)'!$A$1:$G$10,2,FALSE),IF(A200="PROREP (S)", INDEX('Data Feed (40C)'!B:B, MATCH(LEFT($A200,6), 'Data Feed (40C)'!$A$1:$A$10, 0) + 1), VLOOKUP($A200,'Data Feed (40C)'!$A$1:$G$10,2,FALSE))))</f>
        <v>JKS240702ERIMON_40C_sample_1</v>
      </c>
      <c r="C200" s="6" t="str">
        <f t="array" ref="C200">IF(ISBLANK(A200),"",IF(A200="PROREP (L)",VLOOKUP(LEFT($A200,6),'Data Feed (40C)'!$A$1:$G$10,3,FALSE),IF(A200="PROREP (S)", INDEX('Data Feed (40C)'!C:C, MATCH(LEFT($A200,6), 'Data Feed (40C)'!$A$1:$A$10, 0) + 1, +1), VLOOKUP($A200,'Data Feed (40C)'!$A$1:$G$10,3,FALSE))))</f>
        <v>Erica monsoniana</v>
      </c>
      <c r="D200" s="6" t="str">
        <f t="array" ref="D200">IF(ISBLANK(A200),"",IF(A200="PROREP (L)",VLOOKUP(LEFT($A200,6),'Data Feed (40C)'!$A$1:$G$10,4,FALSE),IF(A200="PROREP (S)", INDEX('Data Feed (40C)'!D:D, MATCH(LEFT($A200,6), 'Data Feed (40C)'!$A$1:$A$10, 0) + 1, +1), VLOOKUP($A200,'Data Feed (40C)'!$A$1:$G$10,4,FALSE))))</f>
        <v>40C</v>
      </c>
      <c r="E200" s="6">
        <f t="array" ref="E200">IF(ISBLANK(A200),"",IF(A200="PROREP (L)",VLOOKUP(LEFT($A200,6),'Data Feed (40C)'!$A$1:$G$10,7,FALSE),IF(A200="PROREP (S)", INDEX('Data Feed (40C)'!G:G, MATCH(LEFT($A200,6), 'Data Feed (40C)'!$A$1:$A$10, 0) + 1, +1), VLOOKUP($A200,'Data Feed (40C)'!$A$1:$G$10,7,FALSE))))</f>
        <v>1</v>
      </c>
      <c r="F200" s="7">
        <v>45477.99236111111</v>
      </c>
      <c r="G200" s="8">
        <v>0.772</v>
      </c>
    </row>
    <row r="201">
      <c r="A201" s="9" t="str">
        <f t="shared" ref="A201:A205" si="233">A200</f>
        <v>ERIMON</v>
      </c>
      <c r="B201" s="9" t="str">
        <f>IF(ISBLANK(A200),"",LEFT(B200,27)&amp;VALUE(RIGHT(B200,1)+1))</f>
        <v>JKS240702ERIMON_40C_sample_2</v>
      </c>
      <c r="C201" s="6" t="str">
        <f t="shared" ref="C201:D201" si="232">C200</f>
        <v>Erica monsoniana</v>
      </c>
      <c r="D201" s="6" t="str">
        <f t="shared" si="232"/>
        <v>40C</v>
      </c>
      <c r="E201" s="10">
        <f>IF(ISBLANK(A200),"",E200+1)</f>
        <v>2</v>
      </c>
      <c r="F201" s="11">
        <f t="shared" ref="F201:F205" si="235">F200</f>
        <v>45477.99236</v>
      </c>
      <c r="G201" s="8">
        <v>0.897</v>
      </c>
    </row>
    <row r="202">
      <c r="A202" s="9" t="str">
        <f t="shared" si="233"/>
        <v>ERIMON</v>
      </c>
      <c r="B202" s="9" t="str">
        <f>IF(ISBLANK(A200),"",LEFT(B201,27)&amp;VALUE(RIGHT(B201,1)+1))</f>
        <v>JKS240702ERIMON_40C_sample_3</v>
      </c>
      <c r="C202" s="6" t="str">
        <f t="shared" ref="C202:D202" si="234">C201</f>
        <v>Erica monsoniana</v>
      </c>
      <c r="D202" s="6" t="str">
        <f t="shared" si="234"/>
        <v>40C</v>
      </c>
      <c r="E202" s="10">
        <f>IF(ISBLANK(A200),"",E201+1)</f>
        <v>3</v>
      </c>
      <c r="F202" s="11">
        <f t="shared" si="235"/>
        <v>45477.99236</v>
      </c>
      <c r="G202" s="8">
        <v>0.797</v>
      </c>
    </row>
    <row r="203">
      <c r="A203" s="9" t="str">
        <f t="shared" si="233"/>
        <v>ERIMON</v>
      </c>
      <c r="B203" s="9" t="str">
        <f>IF(ISBLANK(A200),"",LEFT(B202,27)&amp;VALUE(RIGHT(B202,1)+1))</f>
        <v>JKS240702ERIMON_40C_sample_4</v>
      </c>
      <c r="C203" s="6" t="str">
        <f t="shared" ref="C203:D203" si="236">C202</f>
        <v>Erica monsoniana</v>
      </c>
      <c r="D203" s="6" t="str">
        <f t="shared" si="236"/>
        <v>40C</v>
      </c>
      <c r="E203" s="10">
        <f>IF(ISBLANK(A200),"",E202+1)</f>
        <v>4</v>
      </c>
      <c r="F203" s="11">
        <f t="shared" si="235"/>
        <v>45477.99236</v>
      </c>
      <c r="G203" s="8">
        <v>1.879</v>
      </c>
    </row>
    <row r="204">
      <c r="A204" s="9" t="str">
        <f t="shared" si="233"/>
        <v>ERIMON</v>
      </c>
      <c r="B204" s="9" t="str">
        <f>IF(ISBLANK(A200),"",LEFT(B203,27)&amp;VALUE(RIGHT(B203,1)+1))</f>
        <v>JKS240702ERIMON_40C_sample_5</v>
      </c>
      <c r="C204" s="6" t="str">
        <f t="shared" ref="C204:D204" si="237">C203</f>
        <v>Erica monsoniana</v>
      </c>
      <c r="D204" s="6" t="str">
        <f t="shared" si="237"/>
        <v>40C</v>
      </c>
      <c r="E204" s="10">
        <f>IF(ISBLANK(A200),"",E203+1)</f>
        <v>5</v>
      </c>
      <c r="F204" s="11">
        <f t="shared" si="235"/>
        <v>45477.99236</v>
      </c>
      <c r="G204" s="8">
        <v>0.68</v>
      </c>
    </row>
    <row r="205">
      <c r="A205" s="12" t="str">
        <f t="shared" si="233"/>
        <v>ERIMON</v>
      </c>
      <c r="B205" s="12" t="str">
        <f>IF(ISBLANK(A200),"",LEFT(B204,27)&amp;VALUE(RIGHT(B204,1)+1))</f>
        <v>JKS240702ERIMON_40C_sample_6</v>
      </c>
      <c r="C205" s="13" t="str">
        <f t="shared" ref="C205:D205" si="238">C204</f>
        <v>Erica monsoniana</v>
      </c>
      <c r="D205" s="13" t="str">
        <f t="shared" si="238"/>
        <v>40C</v>
      </c>
      <c r="E205" s="14">
        <f>IF(ISBLANK(A200),"",E204+1)</f>
        <v>6</v>
      </c>
      <c r="F205" s="15">
        <f t="shared" si="235"/>
        <v>45477.99236</v>
      </c>
      <c r="G205" s="16">
        <v>1.074</v>
      </c>
    </row>
    <row r="206">
      <c r="A206" s="5" t="s">
        <v>8</v>
      </c>
      <c r="B206" s="6" t="str">
        <f t="array" ref="B206">IF(ISBLANK(A206),"",IF(A206="PROREP (L)",VLOOKUP(LEFT($A206,6),'Data Feed (40C)'!$A$1:$G$10,2,FALSE),IF(A206="PROREP (S)", INDEX('Data Feed (40C)'!B:B, MATCH(LEFT($A206,6), 'Data Feed (40C)'!$A$1:$A$10, 0) + 1), VLOOKUP($A206,'Data Feed (40C)'!$A$1:$G$10,2,FALSE))))</f>
        <v>JKL240702PROREP_40C_sample_1</v>
      </c>
      <c r="C206" s="6" t="str">
        <f t="array" ref="C206">IF(ISBLANK(A206),"",IF(A206="PROREP (L)",VLOOKUP(LEFT($A206,6),'Data Feed (40C)'!$A$1:$G$10,3,FALSE),IF(A206="PROREP (S)", INDEX('Data Feed (40C)'!C:C, MATCH(LEFT($A206,6), 'Data Feed (40C)'!$A$1:$A$10, 0) + 1, +1), VLOOKUP($A206,'Data Feed (40C)'!$A$1:$G$10,3,FALSE))))</f>
        <v>Protea repens</v>
      </c>
      <c r="D206" s="6" t="str">
        <f t="array" ref="D206">IF(ISBLANK(A206),"",IF(A206="PROREP (L)",VLOOKUP(LEFT($A206,6),'Data Feed (40C)'!$A$1:$G$10,4,FALSE),IF(A206="PROREP (S)", INDEX('Data Feed (40C)'!D:D, MATCH(LEFT($A206,6), 'Data Feed (40C)'!$A$1:$A$10, 0) + 1, +1), VLOOKUP($A206,'Data Feed (40C)'!$A$1:$G$10,4,FALSE))))</f>
        <v>40C</v>
      </c>
      <c r="E206" s="6">
        <f t="array" ref="E206">IF(ISBLANK(A206),"",IF(A206="PROREP (L)",VLOOKUP(LEFT($A206,6),'Data Feed (40C)'!$A$1:$G$10,7,FALSE),IF(A206="PROREP (S)", INDEX('Data Feed (40C)'!G:G, MATCH(LEFT($A206,6), 'Data Feed (40C)'!$A$1:$A$10, 0) + 1, +1), VLOOKUP($A206,'Data Feed (40C)'!$A$1:$G$10,7,FALSE))))</f>
        <v>1</v>
      </c>
      <c r="F206" s="7">
        <v>45477.99375</v>
      </c>
      <c r="G206" s="8">
        <v>0.383</v>
      </c>
    </row>
    <row r="207">
      <c r="A207" s="9" t="str">
        <f t="shared" ref="A207:A211" si="240">A206</f>
        <v>PROREP (L)</v>
      </c>
      <c r="B207" s="9" t="str">
        <f>IF(ISBLANK(A206),"",LEFT(B206,27)&amp;VALUE(RIGHT(B206,1)+1))</f>
        <v>JKL240702PROREP_40C_sample_2</v>
      </c>
      <c r="C207" s="6" t="str">
        <f t="shared" ref="C207:D207" si="239">C206</f>
        <v>Protea repens</v>
      </c>
      <c r="D207" s="6" t="str">
        <f t="shared" si="239"/>
        <v>40C</v>
      </c>
      <c r="E207" s="10">
        <f>IF(ISBLANK(A206),"",E206+1)</f>
        <v>2</v>
      </c>
      <c r="F207" s="11">
        <f t="shared" ref="F207:F211" si="242">F206</f>
        <v>45477.99375</v>
      </c>
      <c r="G207" s="8">
        <v>0.28</v>
      </c>
    </row>
    <row r="208">
      <c r="A208" s="9" t="str">
        <f t="shared" si="240"/>
        <v>PROREP (L)</v>
      </c>
      <c r="B208" s="9" t="str">
        <f>IF(ISBLANK(A206),"",LEFT(B207,27)&amp;VALUE(RIGHT(B207,1)+1))</f>
        <v>JKL240702PROREP_40C_sample_3</v>
      </c>
      <c r="C208" s="6" t="str">
        <f t="shared" ref="C208:D208" si="241">C207</f>
        <v>Protea repens</v>
      </c>
      <c r="D208" s="6" t="str">
        <f t="shared" si="241"/>
        <v>40C</v>
      </c>
      <c r="E208" s="10">
        <f>IF(ISBLANK(A206),"",E207+1)</f>
        <v>3</v>
      </c>
      <c r="F208" s="11">
        <f t="shared" si="242"/>
        <v>45477.99375</v>
      </c>
      <c r="G208" s="8">
        <v>0.287</v>
      </c>
    </row>
    <row r="209">
      <c r="A209" s="9" t="str">
        <f t="shared" si="240"/>
        <v>PROREP (L)</v>
      </c>
      <c r="B209" s="9" t="str">
        <f>IF(ISBLANK(A206),"",LEFT(B208,27)&amp;VALUE(RIGHT(B208,1)+1))</f>
        <v>JKL240702PROREP_40C_sample_4</v>
      </c>
      <c r="C209" s="6" t="str">
        <f t="shared" ref="C209:D209" si="243">C208</f>
        <v>Protea repens</v>
      </c>
      <c r="D209" s="6" t="str">
        <f t="shared" si="243"/>
        <v>40C</v>
      </c>
      <c r="E209" s="10">
        <f>IF(ISBLANK(A206),"",E208+1)</f>
        <v>4</v>
      </c>
      <c r="F209" s="11">
        <f t="shared" si="242"/>
        <v>45477.99375</v>
      </c>
      <c r="G209" s="8">
        <v>0.156</v>
      </c>
    </row>
    <row r="210">
      <c r="A210" s="9" t="str">
        <f t="shared" si="240"/>
        <v>PROREP (L)</v>
      </c>
      <c r="B210" s="9" t="str">
        <f>IF(ISBLANK(A206),"",LEFT(B209,27)&amp;VALUE(RIGHT(B209,1)+1))</f>
        <v>JKL240702PROREP_40C_sample_5</v>
      </c>
      <c r="C210" s="6" t="str">
        <f t="shared" ref="C210:D210" si="244">C209</f>
        <v>Protea repens</v>
      </c>
      <c r="D210" s="6" t="str">
        <f t="shared" si="244"/>
        <v>40C</v>
      </c>
      <c r="E210" s="10">
        <f>IF(ISBLANK(A206),"",E209+1)</f>
        <v>5</v>
      </c>
      <c r="F210" s="11">
        <f t="shared" si="242"/>
        <v>45477.99375</v>
      </c>
      <c r="G210" s="8">
        <v>0.219</v>
      </c>
    </row>
    <row r="211">
      <c r="A211" s="12" t="str">
        <f t="shared" si="240"/>
        <v>PROREP (L)</v>
      </c>
      <c r="B211" s="12" t="str">
        <f>IF(ISBLANK(A206),"",LEFT(B210,27)&amp;VALUE(RIGHT(B210,1)+1))</f>
        <v>JKL240702PROREP_40C_sample_6</v>
      </c>
      <c r="C211" s="13" t="str">
        <f t="shared" ref="C211:D211" si="245">C210</f>
        <v>Protea repens</v>
      </c>
      <c r="D211" s="13" t="str">
        <f t="shared" si="245"/>
        <v>40C</v>
      </c>
      <c r="E211" s="14">
        <f>IF(ISBLANK(A206),"",E210+1)</f>
        <v>6</v>
      </c>
      <c r="F211" s="15">
        <f t="shared" si="242"/>
        <v>45477.99375</v>
      </c>
      <c r="G211" s="16">
        <v>0.241</v>
      </c>
    </row>
    <row r="212">
      <c r="A212" s="5" t="s">
        <v>9</v>
      </c>
      <c r="B212" s="6" t="str">
        <f t="array" ref="B212">IF(ISBLANK(A212),"",IF(A212="PROREP (L)",VLOOKUP(LEFT($A212,6),'Data Feed (40C)'!$A$1:$G$10,2,FALSE),IF(A212="PROREP (S)", INDEX('Data Feed (40C)'!B:B, MATCH(LEFT($A212,6), 'Data Feed (40C)'!$A$1:$A$10, 0) + 1), VLOOKUP($A212,'Data Feed (40C)'!$A$1:$G$10,2,FALSE))))</f>
        <v>JKS240702PROREP_40C_sample_1</v>
      </c>
      <c r="C212" s="6" t="str">
        <f t="array" ref="C212">IF(ISBLANK(A212),"",IF(A212="PROREP (L)",VLOOKUP(LEFT($A212,6),'Data Feed (40C)'!$A$1:$G$10,3,FALSE),IF(A212="PROREP (S)", INDEX('Data Feed (40C)'!C:C, MATCH(LEFT($A212,6), 'Data Feed (40C)'!$A$1:$A$10, 0) + 1, +1), VLOOKUP($A212,'Data Feed (40C)'!$A$1:$G$10,3,FALSE))))</f>
        <v>Protea repens</v>
      </c>
      <c r="D212" s="6" t="str">
        <f t="array" ref="D212">IF(ISBLANK(A212),"",IF(A212="PROREP (L)",VLOOKUP(LEFT($A212,6),'Data Feed (40C)'!$A$1:$G$10,4,FALSE),IF(A212="PROREP (S)", INDEX('Data Feed (40C)'!D:D, MATCH(LEFT($A212,6), 'Data Feed (40C)'!$A$1:$A$10, 0) + 1, +1), VLOOKUP($A212,'Data Feed (40C)'!$A$1:$G$10,4,FALSE))))</f>
        <v>40C</v>
      </c>
      <c r="E212" s="6">
        <f t="array" ref="E212">IF(ISBLANK(A212),"",IF(A212="PROREP (L)",VLOOKUP(LEFT($A212,6),'Data Feed (40C)'!$A$1:$G$10,7,FALSE),IF(A212="PROREP (S)", INDEX('Data Feed (40C)'!G:G, MATCH(LEFT($A212,6), 'Data Feed (40C)'!$A$1:$A$10, 0) + 1, +1), VLOOKUP($A212,'Data Feed (40C)'!$A$1:$G$10,7,FALSE))))</f>
        <v>1</v>
      </c>
      <c r="F212" s="7">
        <v>45477.99444444444</v>
      </c>
      <c r="G212" s="8">
        <v>4.672</v>
      </c>
    </row>
    <row r="213">
      <c r="A213" s="9" t="str">
        <f t="shared" ref="A213:A217" si="247">A212</f>
        <v>PROREP (S)</v>
      </c>
      <c r="B213" s="9" t="str">
        <f>IF(ISBLANK(A212),"",LEFT(B212,27)&amp;VALUE(RIGHT(B212,1)+1))</f>
        <v>JKS240702PROREP_40C_sample_2</v>
      </c>
      <c r="C213" s="6" t="str">
        <f t="shared" ref="C213:D213" si="246">C212</f>
        <v>Protea repens</v>
      </c>
      <c r="D213" s="6" t="str">
        <f t="shared" si="246"/>
        <v>40C</v>
      </c>
      <c r="E213" s="10">
        <f>IF(ISBLANK(A212),"",E212+1)</f>
        <v>2</v>
      </c>
      <c r="F213" s="11">
        <f t="shared" ref="F213:F217" si="249">F212</f>
        <v>45477.99444</v>
      </c>
      <c r="G213" s="8">
        <v>7.659</v>
      </c>
    </row>
    <row r="214">
      <c r="A214" s="9" t="str">
        <f t="shared" si="247"/>
        <v>PROREP (S)</v>
      </c>
      <c r="B214" s="9" t="str">
        <f>IF(ISBLANK(A212),"",LEFT(B213,27)&amp;VALUE(RIGHT(B213,1)+1))</f>
        <v>JKS240702PROREP_40C_sample_3</v>
      </c>
      <c r="C214" s="6" t="str">
        <f t="shared" ref="C214:D214" si="248">C213</f>
        <v>Protea repens</v>
      </c>
      <c r="D214" s="6" t="str">
        <f t="shared" si="248"/>
        <v>40C</v>
      </c>
      <c r="E214" s="10">
        <f>IF(ISBLANK(A212),"",E213+1)</f>
        <v>3</v>
      </c>
      <c r="F214" s="11">
        <f t="shared" si="249"/>
        <v>45477.99444</v>
      </c>
      <c r="G214" s="8">
        <v>2.555</v>
      </c>
    </row>
    <row r="215">
      <c r="A215" s="9" t="str">
        <f t="shared" si="247"/>
        <v>PROREP (S)</v>
      </c>
      <c r="B215" s="9" t="str">
        <f>IF(ISBLANK(A212),"",LEFT(B214,27)&amp;VALUE(RIGHT(B214,1)+1))</f>
        <v>JKS240702PROREP_40C_sample_4</v>
      </c>
      <c r="C215" s="6" t="str">
        <f t="shared" ref="C215:D215" si="250">C214</f>
        <v>Protea repens</v>
      </c>
      <c r="D215" s="6" t="str">
        <f t="shared" si="250"/>
        <v>40C</v>
      </c>
      <c r="E215" s="10">
        <f>IF(ISBLANK(A212),"",E214+1)</f>
        <v>4</v>
      </c>
      <c r="F215" s="11">
        <f t="shared" si="249"/>
        <v>45477.99444</v>
      </c>
      <c r="G215" s="8">
        <v>1.215</v>
      </c>
    </row>
    <row r="216">
      <c r="A216" s="9" t="str">
        <f t="shared" si="247"/>
        <v>PROREP (S)</v>
      </c>
      <c r="B216" s="9" t="str">
        <f>IF(ISBLANK(A212),"",LEFT(B215,27)&amp;VALUE(RIGHT(B215,1)+1))</f>
        <v>JKS240702PROREP_40C_sample_5</v>
      </c>
      <c r="C216" s="6" t="str">
        <f t="shared" ref="C216:D216" si="251">C215</f>
        <v>Protea repens</v>
      </c>
      <c r="D216" s="6" t="str">
        <f t="shared" si="251"/>
        <v>40C</v>
      </c>
      <c r="E216" s="10">
        <f>IF(ISBLANK(A212),"",E215+1)</f>
        <v>5</v>
      </c>
      <c r="F216" s="11">
        <f t="shared" si="249"/>
        <v>45477.99444</v>
      </c>
      <c r="G216" s="8">
        <v>4.68</v>
      </c>
    </row>
    <row r="217">
      <c r="A217" s="12" t="str">
        <f t="shared" si="247"/>
        <v>PROREP (S)</v>
      </c>
      <c r="B217" s="12" t="str">
        <f>IF(ISBLANK(A212),"",LEFT(B216,27)&amp;VALUE(RIGHT(B216,1)+1))</f>
        <v>JKS240702PROREP_40C_sample_6</v>
      </c>
      <c r="C217" s="13" t="str">
        <f t="shared" ref="C217:D217" si="252">C216</f>
        <v>Protea repens</v>
      </c>
      <c r="D217" s="13" t="str">
        <f t="shared" si="252"/>
        <v>40C</v>
      </c>
      <c r="E217" s="14">
        <f>IF(ISBLANK(A212),"",E216+1)</f>
        <v>6</v>
      </c>
      <c r="F217" s="15">
        <f t="shared" si="249"/>
        <v>45477.99444</v>
      </c>
      <c r="G217" s="16">
        <v>7.482</v>
      </c>
    </row>
    <row r="218">
      <c r="A218" s="5" t="s">
        <v>10</v>
      </c>
      <c r="B218" s="6" t="str">
        <f t="array" ref="B218">IF(ISBLANK(A218),"",IF(A218="PROREP (L)",VLOOKUP(LEFT($A218,6),'Data Feed (40C)'!$A$1:$G$10,2,FALSE),IF(A218="PROREP (S)", INDEX('Data Feed (40C)'!B:B, MATCH(LEFT($A218,6), 'Data Feed (40C)'!$A$1:$A$10, 0) + 1), VLOOKUP($A218,'Data Feed (40C)'!$A$1:$G$10,2,FALSE))))</f>
        <v>JKS240702CANCON_40C_sample_1</v>
      </c>
      <c r="C218" s="6" t="str">
        <f t="array" ref="C218">IF(ISBLANK(A218),"",IF(A218="PROREP (L)",VLOOKUP(LEFT($A218,6),'Data Feed (40C)'!$A$1:$G$10,3,FALSE),IF(A218="PROREP (S)", INDEX('Data Feed (40C)'!C:C, MATCH(LEFT($A218,6), 'Data Feed (40C)'!$A$1:$A$10, 0) + 1, +1), VLOOKUP($A218,'Data Feed (40C)'!$A$1:$G$10,3,FALSE))))</f>
        <v>Cannomois congesta</v>
      </c>
      <c r="D218" s="6" t="str">
        <f t="array" ref="D218">IF(ISBLANK(A218),"",IF(A218="PROREP (L)",VLOOKUP(LEFT($A218,6),'Data Feed (40C)'!$A$1:$G$10,4,FALSE),IF(A218="PROREP (S)", INDEX('Data Feed (40C)'!D:D, MATCH(LEFT($A218,6), 'Data Feed (40C)'!$A$1:$A$10, 0) + 1, +1), VLOOKUP($A218,'Data Feed (40C)'!$A$1:$G$10,4,FALSE))))</f>
        <v>40C</v>
      </c>
      <c r="E218" s="6">
        <f t="array" ref="E218">IF(ISBLANK(A218),"",IF(A218="PROREP (L)",VLOOKUP(LEFT($A218,6),'Data Feed (40C)'!$A$1:$G$10,7,FALSE),IF(A218="PROREP (S)", INDEX('Data Feed (40C)'!G:G, MATCH(LEFT($A218,6), 'Data Feed (40C)'!$A$1:$A$10, 0) + 1, +1), VLOOKUP($A218,'Data Feed (40C)'!$A$1:$G$10,7,FALSE))))</f>
        <v>1</v>
      </c>
      <c r="F218" s="7">
        <v>45477.995833333334</v>
      </c>
      <c r="G218" s="8">
        <v>0.781</v>
      </c>
    </row>
    <row r="219">
      <c r="A219" s="9" t="str">
        <f t="shared" ref="A219:A223" si="254">A218</f>
        <v>CANCON</v>
      </c>
      <c r="B219" s="9" t="str">
        <f>IF(ISBLANK(A218),"",LEFT(B218,27)&amp;VALUE(RIGHT(B218,1)+1))</f>
        <v>JKS240702CANCON_40C_sample_2</v>
      </c>
      <c r="C219" s="6" t="str">
        <f t="shared" ref="C219:D219" si="253">C218</f>
        <v>Cannomois congesta</v>
      </c>
      <c r="D219" s="6" t="str">
        <f t="shared" si="253"/>
        <v>40C</v>
      </c>
      <c r="E219" s="10">
        <f>IF(ISBLANK(A218),"",E218+1)</f>
        <v>2</v>
      </c>
      <c r="F219" s="11">
        <f t="shared" ref="F219:F223" si="256">F218</f>
        <v>45477.99583</v>
      </c>
      <c r="G219" s="8">
        <v>1.766</v>
      </c>
    </row>
    <row r="220">
      <c r="A220" s="9" t="str">
        <f t="shared" si="254"/>
        <v>CANCON</v>
      </c>
      <c r="B220" s="9" t="str">
        <f>IF(ISBLANK(A218),"",LEFT(B219,27)&amp;VALUE(RIGHT(B219,1)+1))</f>
        <v>JKS240702CANCON_40C_sample_3</v>
      </c>
      <c r="C220" s="6" t="str">
        <f t="shared" ref="C220:D220" si="255">C219</f>
        <v>Cannomois congesta</v>
      </c>
      <c r="D220" s="6" t="str">
        <f t="shared" si="255"/>
        <v>40C</v>
      </c>
      <c r="E220" s="10">
        <f>IF(ISBLANK(A218),"",E219+1)</f>
        <v>3</v>
      </c>
      <c r="F220" s="11">
        <f t="shared" si="256"/>
        <v>45477.99583</v>
      </c>
      <c r="G220" s="8">
        <v>0.893</v>
      </c>
    </row>
    <row r="221">
      <c r="A221" s="9" t="str">
        <f t="shared" si="254"/>
        <v>CANCON</v>
      </c>
      <c r="B221" s="9" t="str">
        <f>IF(ISBLANK(A218),"",LEFT(B220,27)&amp;VALUE(RIGHT(B220,1)+1))</f>
        <v>JKS240702CANCON_40C_sample_4</v>
      </c>
      <c r="C221" s="6" t="str">
        <f t="shared" ref="C221:D221" si="257">C220</f>
        <v>Cannomois congesta</v>
      </c>
      <c r="D221" s="6" t="str">
        <f t="shared" si="257"/>
        <v>40C</v>
      </c>
      <c r="E221" s="10">
        <f>IF(ISBLANK(A218),"",E220+1)</f>
        <v>4</v>
      </c>
      <c r="F221" s="11">
        <f t="shared" si="256"/>
        <v>45477.99583</v>
      </c>
      <c r="G221" s="8">
        <v>1.368</v>
      </c>
    </row>
    <row r="222">
      <c r="A222" s="9" t="str">
        <f t="shared" si="254"/>
        <v>CANCON</v>
      </c>
      <c r="B222" s="9" t="str">
        <f>IF(ISBLANK(A218),"",LEFT(B221,27)&amp;VALUE(RIGHT(B221,1)+1))</f>
        <v>JKS240702CANCON_40C_sample_5</v>
      </c>
      <c r="C222" s="6" t="str">
        <f t="shared" ref="C222:D222" si="258">C221</f>
        <v>Cannomois congesta</v>
      </c>
      <c r="D222" s="6" t="str">
        <f t="shared" si="258"/>
        <v>40C</v>
      </c>
      <c r="E222" s="10">
        <f>IF(ISBLANK(A218),"",E221+1)</f>
        <v>5</v>
      </c>
      <c r="F222" s="11">
        <f t="shared" si="256"/>
        <v>45477.99583</v>
      </c>
      <c r="G222" s="8">
        <v>0.698</v>
      </c>
    </row>
    <row r="223">
      <c r="A223" s="12" t="str">
        <f t="shared" si="254"/>
        <v>CANCON</v>
      </c>
      <c r="B223" s="12" t="str">
        <f>IF(ISBLANK(A218),"",LEFT(B222,27)&amp;VALUE(RIGHT(B222,1)+1))</f>
        <v>JKS240702CANCON_40C_sample_6</v>
      </c>
      <c r="C223" s="13" t="str">
        <f t="shared" ref="C223:D223" si="259">C222</f>
        <v>Cannomois congesta</v>
      </c>
      <c r="D223" s="13" t="str">
        <f t="shared" si="259"/>
        <v>40C</v>
      </c>
      <c r="E223" s="14">
        <f>IF(ISBLANK(A218),"",E222+1)</f>
        <v>6</v>
      </c>
      <c r="F223" s="15">
        <f t="shared" si="256"/>
        <v>45477.99583</v>
      </c>
      <c r="G223" s="16">
        <v>1.407</v>
      </c>
    </row>
    <row r="224">
      <c r="A224" s="5" t="s">
        <v>7</v>
      </c>
      <c r="B224" s="6" t="str">
        <f t="array" ref="B224">IF(ISBLANK(A224),"",IF(A224="PROREP (L)",VLOOKUP(LEFT($A224,6),'Data Feed (40C)'!$A$1:$G$10,2,FALSE),IF(A224="PROREP (S)", INDEX('Data Feed (40C)'!B:B, MATCH(LEFT($A224,6), 'Data Feed (40C)'!$A$1:$A$10, 0) + 1), VLOOKUP($A224,'Data Feed (40C)'!$A$1:$G$10,2,FALSE))))</f>
        <v>JKS240702ERIMON_40C_sample_1</v>
      </c>
      <c r="C224" s="6" t="str">
        <f t="array" ref="C224">IF(ISBLANK(A224),"",IF(A224="PROREP (L)",VLOOKUP(LEFT($A224,6),'Data Feed (40C)'!$A$1:$G$10,3,FALSE),IF(A224="PROREP (S)", INDEX('Data Feed (40C)'!C:C, MATCH(LEFT($A224,6), 'Data Feed (40C)'!$A$1:$A$10, 0) + 1, +1), VLOOKUP($A224,'Data Feed (40C)'!$A$1:$G$10,3,FALSE))))</f>
        <v>Erica monsoniana</v>
      </c>
      <c r="D224" s="6" t="str">
        <f t="array" ref="D224">IF(ISBLANK(A224),"",IF(A224="PROREP (L)",VLOOKUP(LEFT($A224,6),'Data Feed (40C)'!$A$1:$G$10,4,FALSE),IF(A224="PROREP (S)", INDEX('Data Feed (40C)'!D:D, MATCH(LEFT($A224,6), 'Data Feed (40C)'!$A$1:$A$10, 0) + 1, +1), VLOOKUP($A224,'Data Feed (40C)'!$A$1:$G$10,4,FALSE))))</f>
        <v>40C</v>
      </c>
      <c r="E224" s="6">
        <f t="array" ref="E224">IF(ISBLANK(A224),"",IF(A224="PROREP (L)",VLOOKUP(LEFT($A224,6),'Data Feed (40C)'!$A$1:$G$10,7,FALSE),IF(A224="PROREP (S)", INDEX('Data Feed (40C)'!G:G, MATCH(LEFT($A224,6), 'Data Feed (40C)'!$A$1:$A$10, 0) + 1, +1), VLOOKUP($A224,'Data Feed (40C)'!$A$1:$G$10,7,FALSE))))</f>
        <v>1</v>
      </c>
      <c r="F224" s="7">
        <v>45478.07986111111</v>
      </c>
      <c r="G224" s="8">
        <v>0.758</v>
      </c>
    </row>
    <row r="225">
      <c r="A225" s="9" t="str">
        <f t="shared" ref="A225:A229" si="261">A224</f>
        <v>ERIMON</v>
      </c>
      <c r="B225" s="9" t="str">
        <f>IF(ISBLANK(A224),"",LEFT(B224,27)&amp;VALUE(RIGHT(B224,1)+1))</f>
        <v>JKS240702ERIMON_40C_sample_2</v>
      </c>
      <c r="C225" s="6" t="str">
        <f t="shared" ref="C225:D225" si="260">C224</f>
        <v>Erica monsoniana</v>
      </c>
      <c r="D225" s="6" t="str">
        <f t="shared" si="260"/>
        <v>40C</v>
      </c>
      <c r="E225" s="10">
        <f>IF(ISBLANK(A224),"",E224+1)</f>
        <v>2</v>
      </c>
      <c r="F225" s="11">
        <f t="shared" ref="F225:F229" si="263">F224</f>
        <v>45478.07986</v>
      </c>
      <c r="G225" s="8">
        <v>0.878</v>
      </c>
    </row>
    <row r="226">
      <c r="A226" s="9" t="str">
        <f t="shared" si="261"/>
        <v>ERIMON</v>
      </c>
      <c r="B226" s="9" t="str">
        <f>IF(ISBLANK(A224),"",LEFT(B225,27)&amp;VALUE(RIGHT(B225,1)+1))</f>
        <v>JKS240702ERIMON_40C_sample_3</v>
      </c>
      <c r="C226" s="6" t="str">
        <f t="shared" ref="C226:D226" si="262">C225</f>
        <v>Erica monsoniana</v>
      </c>
      <c r="D226" s="6" t="str">
        <f t="shared" si="262"/>
        <v>40C</v>
      </c>
      <c r="E226" s="10">
        <f>IF(ISBLANK(A224),"",E225+1)</f>
        <v>3</v>
      </c>
      <c r="F226" s="11">
        <f t="shared" si="263"/>
        <v>45478.07986</v>
      </c>
      <c r="G226" s="8">
        <v>0.793</v>
      </c>
    </row>
    <row r="227">
      <c r="A227" s="9" t="str">
        <f t="shared" si="261"/>
        <v>ERIMON</v>
      </c>
      <c r="B227" s="9" t="str">
        <f>IF(ISBLANK(A224),"",LEFT(B226,27)&amp;VALUE(RIGHT(B226,1)+1))</f>
        <v>JKS240702ERIMON_40C_sample_4</v>
      </c>
      <c r="C227" s="6" t="str">
        <f t="shared" ref="C227:D227" si="264">C226</f>
        <v>Erica monsoniana</v>
      </c>
      <c r="D227" s="6" t="str">
        <f t="shared" si="264"/>
        <v>40C</v>
      </c>
      <c r="E227" s="10">
        <f>IF(ISBLANK(A224),"",E226+1)</f>
        <v>4</v>
      </c>
      <c r="F227" s="11">
        <f t="shared" si="263"/>
        <v>45478.07986</v>
      </c>
      <c r="G227" s="8">
        <v>1.849</v>
      </c>
    </row>
    <row r="228">
      <c r="A228" s="9" t="str">
        <f t="shared" si="261"/>
        <v>ERIMON</v>
      </c>
      <c r="B228" s="9" t="str">
        <f>IF(ISBLANK(A224),"",LEFT(B227,27)&amp;VALUE(RIGHT(B227,1)+1))</f>
        <v>JKS240702ERIMON_40C_sample_5</v>
      </c>
      <c r="C228" s="6" t="str">
        <f t="shared" ref="C228:D228" si="265">C227</f>
        <v>Erica monsoniana</v>
      </c>
      <c r="D228" s="6" t="str">
        <f t="shared" si="265"/>
        <v>40C</v>
      </c>
      <c r="E228" s="10">
        <f>IF(ISBLANK(A224),"",E227+1)</f>
        <v>5</v>
      </c>
      <c r="F228" s="11">
        <f t="shared" si="263"/>
        <v>45478.07986</v>
      </c>
      <c r="G228" s="8">
        <v>0.669</v>
      </c>
    </row>
    <row r="229">
      <c r="A229" s="12" t="str">
        <f t="shared" si="261"/>
        <v>ERIMON</v>
      </c>
      <c r="B229" s="12" t="str">
        <f>IF(ISBLANK(A224),"",LEFT(B228,27)&amp;VALUE(RIGHT(B228,1)+1))</f>
        <v>JKS240702ERIMON_40C_sample_6</v>
      </c>
      <c r="C229" s="13" t="str">
        <f t="shared" ref="C229:D229" si="266">C228</f>
        <v>Erica monsoniana</v>
      </c>
      <c r="D229" s="13" t="str">
        <f t="shared" si="266"/>
        <v>40C</v>
      </c>
      <c r="E229" s="14">
        <f>IF(ISBLANK(A224),"",E228+1)</f>
        <v>6</v>
      </c>
      <c r="F229" s="15">
        <f t="shared" si="263"/>
        <v>45478.07986</v>
      </c>
      <c r="G229" s="16">
        <v>1.056</v>
      </c>
    </row>
    <row r="230">
      <c r="A230" s="5" t="s">
        <v>8</v>
      </c>
      <c r="B230" s="6" t="str">
        <f t="array" ref="B230">IF(ISBLANK(A230),"",IF(A230="PROREP (L)",VLOOKUP(LEFT($A230,6),'Data Feed (40C)'!$A$1:$G$10,2,FALSE),IF(A230="PROREP (S)", INDEX('Data Feed (40C)'!B:B, MATCH(LEFT($A230,6), 'Data Feed (40C)'!$A$1:$A$10, 0) + 1), VLOOKUP($A230,'Data Feed (40C)'!$A$1:$G$10,2,FALSE))))</f>
        <v>JKL240702PROREP_40C_sample_1</v>
      </c>
      <c r="C230" s="6" t="str">
        <f t="array" ref="C230">IF(ISBLANK(A230),"",IF(A230="PROREP (L)",VLOOKUP(LEFT($A230,6),'Data Feed (40C)'!$A$1:$G$10,3,FALSE),IF(A230="PROREP (S)", INDEX('Data Feed (40C)'!C:C, MATCH(LEFT($A230,6), 'Data Feed (40C)'!$A$1:$A$10, 0) + 1, +1), VLOOKUP($A230,'Data Feed (40C)'!$A$1:$G$10,3,FALSE))))</f>
        <v>Protea repens</v>
      </c>
      <c r="D230" s="6" t="str">
        <f t="array" ref="D230">IF(ISBLANK(A230),"",IF(A230="PROREP (L)",VLOOKUP(LEFT($A230,6),'Data Feed (40C)'!$A$1:$G$10,4,FALSE),IF(A230="PROREP (S)", INDEX('Data Feed (40C)'!D:D, MATCH(LEFT($A230,6), 'Data Feed (40C)'!$A$1:$A$10, 0) + 1, +1), VLOOKUP($A230,'Data Feed (40C)'!$A$1:$G$10,4,FALSE))))</f>
        <v>40C</v>
      </c>
      <c r="E230" s="6">
        <f t="array" ref="E230">IF(ISBLANK(A230),"",IF(A230="PROREP (L)",VLOOKUP(LEFT($A230,6),'Data Feed (40C)'!$A$1:$G$10,7,FALSE),IF(A230="PROREP (S)", INDEX('Data Feed (40C)'!G:G, MATCH(LEFT($A230,6), 'Data Feed (40C)'!$A$1:$A$10, 0) + 1, +1), VLOOKUP($A230,'Data Feed (40C)'!$A$1:$G$10,7,FALSE))))</f>
        <v>1</v>
      </c>
      <c r="F230" s="7">
        <v>45478.08125</v>
      </c>
      <c r="G230" s="8">
        <v>0.357</v>
      </c>
    </row>
    <row r="231">
      <c r="A231" s="9" t="str">
        <f t="shared" ref="A231:A235" si="268">A230</f>
        <v>PROREP (L)</v>
      </c>
      <c r="B231" s="9" t="str">
        <f>IF(ISBLANK(A230),"",LEFT(B230,27)&amp;VALUE(RIGHT(B230,1)+1))</f>
        <v>JKL240702PROREP_40C_sample_2</v>
      </c>
      <c r="C231" s="6" t="str">
        <f t="shared" ref="C231:D231" si="267">C230</f>
        <v>Protea repens</v>
      </c>
      <c r="D231" s="6" t="str">
        <f t="shared" si="267"/>
        <v>40C</v>
      </c>
      <c r="E231" s="10">
        <f>IF(ISBLANK(A230),"",E230+1)</f>
        <v>2</v>
      </c>
      <c r="F231" s="11">
        <f t="shared" ref="F231:F235" si="270">F230</f>
        <v>45478.08125</v>
      </c>
      <c r="G231" s="8">
        <v>0.271</v>
      </c>
    </row>
    <row r="232">
      <c r="A232" s="9" t="str">
        <f t="shared" si="268"/>
        <v>PROREP (L)</v>
      </c>
      <c r="B232" s="9" t="str">
        <f>IF(ISBLANK(A230),"",LEFT(B231,27)&amp;VALUE(RIGHT(B231,1)+1))</f>
        <v>JKL240702PROREP_40C_sample_3</v>
      </c>
      <c r="C232" s="6" t="str">
        <f t="shared" ref="C232:D232" si="269">C231</f>
        <v>Protea repens</v>
      </c>
      <c r="D232" s="6" t="str">
        <f t="shared" si="269"/>
        <v>40C</v>
      </c>
      <c r="E232" s="10">
        <f>IF(ISBLANK(A230),"",E231+1)</f>
        <v>3</v>
      </c>
      <c r="F232" s="11">
        <f t="shared" si="270"/>
        <v>45478.08125</v>
      </c>
      <c r="G232" s="8">
        <v>0.292</v>
      </c>
    </row>
    <row r="233">
      <c r="A233" s="9" t="str">
        <f t="shared" si="268"/>
        <v>PROREP (L)</v>
      </c>
      <c r="B233" s="9" t="str">
        <f>IF(ISBLANK(A230),"",LEFT(B232,27)&amp;VALUE(RIGHT(B232,1)+1))</f>
        <v>JKL240702PROREP_40C_sample_4</v>
      </c>
      <c r="C233" s="6" t="str">
        <f t="shared" ref="C233:D233" si="271">C232</f>
        <v>Protea repens</v>
      </c>
      <c r="D233" s="6" t="str">
        <f t="shared" si="271"/>
        <v>40C</v>
      </c>
      <c r="E233" s="10">
        <f>IF(ISBLANK(A230),"",E232+1)</f>
        <v>4</v>
      </c>
      <c r="F233" s="11">
        <f t="shared" si="270"/>
        <v>45478.08125</v>
      </c>
      <c r="G233" s="8">
        <v>0.148</v>
      </c>
    </row>
    <row r="234">
      <c r="A234" s="9" t="str">
        <f t="shared" si="268"/>
        <v>PROREP (L)</v>
      </c>
      <c r="B234" s="9" t="str">
        <f>IF(ISBLANK(A230),"",LEFT(B233,27)&amp;VALUE(RIGHT(B233,1)+1))</f>
        <v>JKL240702PROREP_40C_sample_5</v>
      </c>
      <c r="C234" s="6" t="str">
        <f t="shared" ref="C234:D234" si="272">C233</f>
        <v>Protea repens</v>
      </c>
      <c r="D234" s="6" t="str">
        <f t="shared" si="272"/>
        <v>40C</v>
      </c>
      <c r="E234" s="10">
        <f>IF(ISBLANK(A230),"",E233+1)</f>
        <v>5</v>
      </c>
      <c r="F234" s="11">
        <f t="shared" si="270"/>
        <v>45478.08125</v>
      </c>
      <c r="G234" s="8">
        <v>0.213</v>
      </c>
    </row>
    <row r="235">
      <c r="A235" s="12" t="str">
        <f t="shared" si="268"/>
        <v>PROREP (L)</v>
      </c>
      <c r="B235" s="12" t="str">
        <f>IF(ISBLANK(A230),"",LEFT(B234,27)&amp;VALUE(RIGHT(B234,1)+1))</f>
        <v>JKL240702PROREP_40C_sample_6</v>
      </c>
      <c r="C235" s="13" t="str">
        <f t="shared" ref="C235:D235" si="273">C234</f>
        <v>Protea repens</v>
      </c>
      <c r="D235" s="13" t="str">
        <f t="shared" si="273"/>
        <v>40C</v>
      </c>
      <c r="E235" s="14">
        <f>IF(ISBLANK(A230),"",E234+1)</f>
        <v>6</v>
      </c>
      <c r="F235" s="15">
        <f t="shared" si="270"/>
        <v>45478.08125</v>
      </c>
      <c r="G235" s="16">
        <v>0.239</v>
      </c>
    </row>
    <row r="236">
      <c r="A236" s="5" t="s">
        <v>9</v>
      </c>
      <c r="B236" s="6" t="str">
        <f t="array" ref="B236">IF(ISBLANK(A236),"",IF(A236="PROREP (L)",VLOOKUP(LEFT($A236,6),'Data Feed (40C)'!$A$1:$G$10,2,FALSE),IF(A236="PROREP (S)", INDEX('Data Feed (40C)'!B:B, MATCH(LEFT($A236,6), 'Data Feed (40C)'!$A$1:$A$10, 0) + 1), VLOOKUP($A236,'Data Feed (40C)'!$A$1:$G$10,2,FALSE))))</f>
        <v>JKS240702PROREP_40C_sample_1</v>
      </c>
      <c r="C236" s="6" t="str">
        <f t="array" ref="C236">IF(ISBLANK(A236),"",IF(A236="PROREP (L)",VLOOKUP(LEFT($A236,6),'Data Feed (40C)'!$A$1:$G$10,3,FALSE),IF(A236="PROREP (S)", INDEX('Data Feed (40C)'!C:C, MATCH(LEFT($A236,6), 'Data Feed (40C)'!$A$1:$A$10, 0) + 1, +1), VLOOKUP($A236,'Data Feed (40C)'!$A$1:$G$10,3,FALSE))))</f>
        <v>Protea repens</v>
      </c>
      <c r="D236" s="6" t="str">
        <f t="array" ref="D236">IF(ISBLANK(A236),"",IF(A236="PROREP (L)",VLOOKUP(LEFT($A236,6),'Data Feed (40C)'!$A$1:$G$10,4,FALSE),IF(A236="PROREP (S)", INDEX('Data Feed (40C)'!D:D, MATCH(LEFT($A236,6), 'Data Feed (40C)'!$A$1:$A$10, 0) + 1, +1), VLOOKUP($A236,'Data Feed (40C)'!$A$1:$G$10,4,FALSE))))</f>
        <v>40C</v>
      </c>
      <c r="E236" s="6">
        <f t="array" ref="E236">IF(ISBLANK(A236),"",IF(A236="PROREP (L)",VLOOKUP(LEFT($A236,6),'Data Feed (40C)'!$A$1:$G$10,7,FALSE),IF(A236="PROREP (S)", INDEX('Data Feed (40C)'!G:G, MATCH(LEFT($A236,6), 'Data Feed (40C)'!$A$1:$A$10, 0) + 1, +1), VLOOKUP($A236,'Data Feed (40C)'!$A$1:$G$10,7,FALSE))))</f>
        <v>1</v>
      </c>
      <c r="F236" s="7">
        <v>45478.08263888889</v>
      </c>
      <c r="G236" s="8">
        <v>4.262</v>
      </c>
    </row>
    <row r="237">
      <c r="A237" s="9" t="str">
        <f t="shared" ref="A237:A241" si="275">A236</f>
        <v>PROREP (S)</v>
      </c>
      <c r="B237" s="9" t="str">
        <f>IF(ISBLANK(A236),"",LEFT(B236,27)&amp;VALUE(RIGHT(B236,1)+1))</f>
        <v>JKS240702PROREP_40C_sample_2</v>
      </c>
      <c r="C237" s="6" t="str">
        <f t="shared" ref="C237:D237" si="274">C236</f>
        <v>Protea repens</v>
      </c>
      <c r="D237" s="6" t="str">
        <f t="shared" si="274"/>
        <v>40C</v>
      </c>
      <c r="E237" s="10">
        <f>IF(ISBLANK(A236),"",E236+1)</f>
        <v>2</v>
      </c>
      <c r="F237" s="11">
        <f t="shared" ref="F237:F241" si="277">F236</f>
        <v>45478.08264</v>
      </c>
      <c r="G237" s="8">
        <v>7.091</v>
      </c>
    </row>
    <row r="238">
      <c r="A238" s="9" t="str">
        <f t="shared" si="275"/>
        <v>PROREP (S)</v>
      </c>
      <c r="B238" s="9" t="str">
        <f>IF(ISBLANK(A236),"",LEFT(B237,27)&amp;VALUE(RIGHT(B237,1)+1))</f>
        <v>JKS240702PROREP_40C_sample_3</v>
      </c>
      <c r="C238" s="6" t="str">
        <f t="shared" ref="C238:D238" si="276">C237</f>
        <v>Protea repens</v>
      </c>
      <c r="D238" s="6" t="str">
        <f t="shared" si="276"/>
        <v>40C</v>
      </c>
      <c r="E238" s="10">
        <f>IF(ISBLANK(A236),"",E237+1)</f>
        <v>3</v>
      </c>
      <c r="F238" s="11">
        <f t="shared" si="277"/>
        <v>45478.08264</v>
      </c>
      <c r="G238" s="8">
        <v>2.455</v>
      </c>
    </row>
    <row r="239">
      <c r="A239" s="9" t="str">
        <f t="shared" si="275"/>
        <v>PROREP (S)</v>
      </c>
      <c r="B239" s="9" t="str">
        <f>IF(ISBLANK(A236),"",LEFT(B238,27)&amp;VALUE(RIGHT(B238,1)+1))</f>
        <v>JKS240702PROREP_40C_sample_4</v>
      </c>
      <c r="C239" s="6" t="str">
        <f t="shared" ref="C239:D239" si="278">C238</f>
        <v>Protea repens</v>
      </c>
      <c r="D239" s="6" t="str">
        <f t="shared" si="278"/>
        <v>40C</v>
      </c>
      <c r="E239" s="10">
        <f>IF(ISBLANK(A236),"",E238+1)</f>
        <v>4</v>
      </c>
      <c r="F239" s="11">
        <f t="shared" si="277"/>
        <v>45478.08264</v>
      </c>
      <c r="G239" s="8">
        <v>1.119</v>
      </c>
    </row>
    <row r="240">
      <c r="A240" s="9" t="str">
        <f t="shared" si="275"/>
        <v>PROREP (S)</v>
      </c>
      <c r="B240" s="9" t="str">
        <f>IF(ISBLANK(A236),"",LEFT(B239,27)&amp;VALUE(RIGHT(B239,1)+1))</f>
        <v>JKS240702PROREP_40C_sample_5</v>
      </c>
      <c r="C240" s="6" t="str">
        <f t="shared" ref="C240:D240" si="279">C239</f>
        <v>Protea repens</v>
      </c>
      <c r="D240" s="6" t="str">
        <f t="shared" si="279"/>
        <v>40C</v>
      </c>
      <c r="E240" s="10">
        <f>IF(ISBLANK(A236),"",E239+1)</f>
        <v>5</v>
      </c>
      <c r="F240" s="11">
        <f t="shared" si="277"/>
        <v>45478.08264</v>
      </c>
      <c r="G240" s="8">
        <v>4.295</v>
      </c>
    </row>
    <row r="241">
      <c r="A241" s="12" t="str">
        <f t="shared" si="275"/>
        <v>PROREP (S)</v>
      </c>
      <c r="B241" s="12" t="str">
        <f>IF(ISBLANK(A236),"",LEFT(B240,27)&amp;VALUE(RIGHT(B240,1)+1))</f>
        <v>JKS240702PROREP_40C_sample_6</v>
      </c>
      <c r="C241" s="13" t="str">
        <f t="shared" ref="C241:D241" si="280">C240</f>
        <v>Protea repens</v>
      </c>
      <c r="D241" s="13" t="str">
        <f t="shared" si="280"/>
        <v>40C</v>
      </c>
      <c r="E241" s="14">
        <f>IF(ISBLANK(A236),"",E240+1)</f>
        <v>6</v>
      </c>
      <c r="F241" s="15">
        <f t="shared" si="277"/>
        <v>45478.08264</v>
      </c>
      <c r="G241" s="16">
        <v>6.95</v>
      </c>
    </row>
    <row r="242">
      <c r="A242" s="5" t="s">
        <v>10</v>
      </c>
      <c r="B242" s="6" t="str">
        <f t="array" ref="B242">IF(ISBLANK(A242),"",IF(A242="PROREP (L)",VLOOKUP(LEFT($A242,6),'Data Feed (40C)'!$A$1:$G$10,2,FALSE),IF(A242="PROREP (S)", INDEX('Data Feed (40C)'!B:B, MATCH(LEFT($A242,6), 'Data Feed (40C)'!$A$1:$A$10, 0) + 1), VLOOKUP($A242,'Data Feed (40C)'!$A$1:$G$10,2,FALSE))))</f>
        <v>JKS240702CANCON_40C_sample_1</v>
      </c>
      <c r="C242" s="6" t="str">
        <f t="array" ref="C242">IF(ISBLANK(A242),"",IF(A242="PROREP (L)",VLOOKUP(LEFT($A242,6),'Data Feed (40C)'!$A$1:$G$10,3,FALSE),IF(A242="PROREP (S)", INDEX('Data Feed (40C)'!C:C, MATCH(LEFT($A242,6), 'Data Feed (40C)'!$A$1:$A$10, 0) + 1, +1), VLOOKUP($A242,'Data Feed (40C)'!$A$1:$G$10,3,FALSE))))</f>
        <v>Cannomois congesta</v>
      </c>
      <c r="D242" s="6" t="str">
        <f t="array" ref="D242">IF(ISBLANK(A242),"",IF(A242="PROREP (L)",VLOOKUP(LEFT($A242,6),'Data Feed (40C)'!$A$1:$G$10,4,FALSE),IF(A242="PROREP (S)", INDEX('Data Feed (40C)'!D:D, MATCH(LEFT($A242,6), 'Data Feed (40C)'!$A$1:$A$10, 0) + 1, +1), VLOOKUP($A242,'Data Feed (40C)'!$A$1:$G$10,4,FALSE))))</f>
        <v>40C</v>
      </c>
      <c r="E242" s="6">
        <f t="array" ref="E242">IF(ISBLANK(A242),"",IF(A242="PROREP (L)",VLOOKUP(LEFT($A242,6),'Data Feed (40C)'!$A$1:$G$10,7,FALSE),IF(A242="PROREP (S)", INDEX('Data Feed (40C)'!G:G, MATCH(LEFT($A242,6), 'Data Feed (40C)'!$A$1:$A$10, 0) + 1, +1), VLOOKUP($A242,'Data Feed (40C)'!$A$1:$G$10,7,FALSE))))</f>
        <v>1</v>
      </c>
      <c r="F242" s="7">
        <v>45478.084027777775</v>
      </c>
      <c r="G242" s="8">
        <v>0.726</v>
      </c>
    </row>
    <row r="243">
      <c r="A243" s="9" t="str">
        <f t="shared" ref="A243:A247" si="282">A242</f>
        <v>CANCON</v>
      </c>
      <c r="B243" s="9" t="str">
        <f>IF(ISBLANK(A242),"",LEFT(B242,27)&amp;VALUE(RIGHT(B242,1)+1))</f>
        <v>JKS240702CANCON_40C_sample_2</v>
      </c>
      <c r="C243" s="6" t="str">
        <f t="shared" ref="C243:D243" si="281">C242</f>
        <v>Cannomois congesta</v>
      </c>
      <c r="D243" s="6" t="str">
        <f t="shared" si="281"/>
        <v>40C</v>
      </c>
      <c r="E243" s="10">
        <f>IF(ISBLANK(A242),"",E242+1)</f>
        <v>2</v>
      </c>
      <c r="F243" s="11">
        <f t="shared" ref="F243:F247" si="284">F242</f>
        <v>45478.08403</v>
      </c>
      <c r="G243" s="8">
        <v>1.678</v>
      </c>
    </row>
    <row r="244">
      <c r="A244" s="9" t="str">
        <f t="shared" si="282"/>
        <v>CANCON</v>
      </c>
      <c r="B244" s="9" t="str">
        <f>IF(ISBLANK(A242),"",LEFT(B243,27)&amp;VALUE(RIGHT(B243,1)+1))</f>
        <v>JKS240702CANCON_40C_sample_3</v>
      </c>
      <c r="C244" s="6" t="str">
        <f t="shared" ref="C244:D244" si="283">C243</f>
        <v>Cannomois congesta</v>
      </c>
      <c r="D244" s="6" t="str">
        <f t="shared" si="283"/>
        <v>40C</v>
      </c>
      <c r="E244" s="10">
        <f>IF(ISBLANK(A242),"",E243+1)</f>
        <v>3</v>
      </c>
      <c r="F244" s="11">
        <f t="shared" si="284"/>
        <v>45478.08403</v>
      </c>
      <c r="G244" s="8">
        <v>0.834</v>
      </c>
    </row>
    <row r="245">
      <c r="A245" s="9" t="str">
        <f t="shared" si="282"/>
        <v>CANCON</v>
      </c>
      <c r="B245" s="9" t="str">
        <f>IF(ISBLANK(A242),"",LEFT(B244,27)&amp;VALUE(RIGHT(B244,1)+1))</f>
        <v>JKS240702CANCON_40C_sample_4</v>
      </c>
      <c r="C245" s="6" t="str">
        <f t="shared" ref="C245:D245" si="285">C244</f>
        <v>Cannomois congesta</v>
      </c>
      <c r="D245" s="6" t="str">
        <f t="shared" si="285"/>
        <v>40C</v>
      </c>
      <c r="E245" s="10">
        <f>IF(ISBLANK(A242),"",E244+1)</f>
        <v>4</v>
      </c>
      <c r="F245" s="11">
        <f t="shared" si="284"/>
        <v>45478.08403</v>
      </c>
      <c r="G245" s="8">
        <v>1.263</v>
      </c>
    </row>
    <row r="246">
      <c r="A246" s="9" t="str">
        <f t="shared" si="282"/>
        <v>CANCON</v>
      </c>
      <c r="B246" s="9" t="str">
        <f>IF(ISBLANK(A242),"",LEFT(B245,27)&amp;VALUE(RIGHT(B245,1)+1))</f>
        <v>JKS240702CANCON_40C_sample_5</v>
      </c>
      <c r="C246" s="6" t="str">
        <f t="shared" ref="C246:D246" si="286">C245</f>
        <v>Cannomois congesta</v>
      </c>
      <c r="D246" s="6" t="str">
        <f t="shared" si="286"/>
        <v>40C</v>
      </c>
      <c r="E246" s="10">
        <f>IF(ISBLANK(A242),"",E245+1)</f>
        <v>5</v>
      </c>
      <c r="F246" s="11">
        <f t="shared" si="284"/>
        <v>45478.08403</v>
      </c>
      <c r="G246" s="8">
        <v>0.633</v>
      </c>
    </row>
    <row r="247">
      <c r="A247" s="12" t="str">
        <f t="shared" si="282"/>
        <v>CANCON</v>
      </c>
      <c r="B247" s="12" t="str">
        <f>IF(ISBLANK(A242),"",LEFT(B246,27)&amp;VALUE(RIGHT(B246,1)+1))</f>
        <v>JKS240702CANCON_40C_sample_6</v>
      </c>
      <c r="C247" s="13" t="str">
        <f t="shared" ref="C247:D247" si="287">C246</f>
        <v>Cannomois congesta</v>
      </c>
      <c r="D247" s="13" t="str">
        <f t="shared" si="287"/>
        <v>40C</v>
      </c>
      <c r="E247" s="14">
        <f>IF(ISBLANK(A242),"",E246+1)</f>
        <v>6</v>
      </c>
      <c r="F247" s="15">
        <f t="shared" si="284"/>
        <v>45478.08403</v>
      </c>
      <c r="G247" s="16">
        <v>1.299</v>
      </c>
    </row>
    <row r="248">
      <c r="A248" s="5" t="s">
        <v>7</v>
      </c>
      <c r="B248" s="6" t="str">
        <f t="array" ref="B248">IF(ISBLANK(A248),"",IF(A248="PROREP (L)",VLOOKUP(LEFT($A248,6),'Data Feed (40C)'!$A$1:$G$10,2,FALSE),IF(A248="PROREP (S)", INDEX('Data Feed (40C)'!B:B, MATCH(LEFT($A248,6), 'Data Feed (40C)'!$A$1:$A$10, 0) + 1), VLOOKUP($A248,'Data Feed (40C)'!$A$1:$G$10,2,FALSE))))</f>
        <v>JKS240702ERIMON_40C_sample_1</v>
      </c>
      <c r="C248" s="6" t="str">
        <f t="array" ref="C248">IF(ISBLANK(A248),"",IF(A248="PROREP (L)",VLOOKUP(LEFT($A248,6),'Data Feed (40C)'!$A$1:$G$10,3,FALSE),IF(A248="PROREP (S)", INDEX('Data Feed (40C)'!C:C, MATCH(LEFT($A248,6), 'Data Feed (40C)'!$A$1:$A$10, 0) + 1, +1), VLOOKUP($A248,'Data Feed (40C)'!$A$1:$G$10,3,FALSE))))</f>
        <v>Erica monsoniana</v>
      </c>
      <c r="D248" s="6" t="str">
        <f t="array" ref="D248">IF(ISBLANK(A248),"",IF(A248="PROREP (L)",VLOOKUP(LEFT($A248,6),'Data Feed (40C)'!$A$1:$G$10,4,FALSE),IF(A248="PROREP (S)", INDEX('Data Feed (40C)'!D:D, MATCH(LEFT($A248,6), 'Data Feed (40C)'!$A$1:$A$10, 0) + 1, +1), VLOOKUP($A248,'Data Feed (40C)'!$A$1:$G$10,4,FALSE))))</f>
        <v>40C</v>
      </c>
      <c r="E248" s="6">
        <f t="array" ref="E248">IF(ISBLANK(A248),"",IF(A248="PROREP (L)",VLOOKUP(LEFT($A248,6),'Data Feed (40C)'!$A$1:$G$10,7,FALSE),IF(A248="PROREP (S)", INDEX('Data Feed (40C)'!G:G, MATCH(LEFT($A248,6), 'Data Feed (40C)'!$A$1:$A$10, 0) + 1, +1), VLOOKUP($A248,'Data Feed (40C)'!$A$1:$G$10,7,FALSE))))</f>
        <v>1</v>
      </c>
      <c r="F248" s="7">
        <v>45478.20138888889</v>
      </c>
      <c r="G248" s="8">
        <v>0.743</v>
      </c>
    </row>
    <row r="249">
      <c r="A249" s="9" t="str">
        <f t="shared" ref="A249:A253" si="289">A248</f>
        <v>ERIMON</v>
      </c>
      <c r="B249" s="9" t="str">
        <f>IF(ISBLANK(A248),"",LEFT(B248,27)&amp;VALUE(RIGHT(B248,1)+1))</f>
        <v>JKS240702ERIMON_40C_sample_2</v>
      </c>
      <c r="C249" s="6" t="str">
        <f t="shared" ref="C249:D249" si="288">C248</f>
        <v>Erica monsoniana</v>
      </c>
      <c r="D249" s="6" t="str">
        <f t="shared" si="288"/>
        <v>40C</v>
      </c>
      <c r="E249" s="10">
        <f>IF(ISBLANK(A248),"",E248+1)</f>
        <v>2</v>
      </c>
      <c r="F249" s="11">
        <f t="shared" ref="F249:F253" si="291">F248</f>
        <v>45478.20139</v>
      </c>
      <c r="G249" s="8">
        <v>0.847</v>
      </c>
    </row>
    <row r="250">
      <c r="A250" s="9" t="str">
        <f t="shared" si="289"/>
        <v>ERIMON</v>
      </c>
      <c r="B250" s="9" t="str">
        <f>IF(ISBLANK(A248),"",LEFT(B249,27)&amp;VALUE(RIGHT(B249,1)+1))</f>
        <v>JKS240702ERIMON_40C_sample_3</v>
      </c>
      <c r="C250" s="6" t="str">
        <f t="shared" ref="C250:D250" si="290">C249</f>
        <v>Erica monsoniana</v>
      </c>
      <c r="D250" s="6" t="str">
        <f t="shared" si="290"/>
        <v>40C</v>
      </c>
      <c r="E250" s="10">
        <f>IF(ISBLANK(A248),"",E249+1)</f>
        <v>3</v>
      </c>
      <c r="F250" s="11">
        <f t="shared" si="291"/>
        <v>45478.20139</v>
      </c>
      <c r="G250" s="8">
        <v>0.771</v>
      </c>
    </row>
    <row r="251">
      <c r="A251" s="9" t="str">
        <f t="shared" si="289"/>
        <v>ERIMON</v>
      </c>
      <c r="B251" s="9" t="str">
        <f>IF(ISBLANK(A248),"",LEFT(B250,27)&amp;VALUE(RIGHT(B250,1)+1))</f>
        <v>JKS240702ERIMON_40C_sample_4</v>
      </c>
      <c r="C251" s="6" t="str">
        <f t="shared" ref="C251:D251" si="292">C250</f>
        <v>Erica monsoniana</v>
      </c>
      <c r="D251" s="6" t="str">
        <f t="shared" si="292"/>
        <v>40C</v>
      </c>
      <c r="E251" s="10">
        <f>IF(ISBLANK(A248),"",E250+1)</f>
        <v>4</v>
      </c>
      <c r="F251" s="11">
        <f t="shared" si="291"/>
        <v>45478.20139</v>
      </c>
      <c r="G251" s="8">
        <v>1.809</v>
      </c>
    </row>
    <row r="252">
      <c r="A252" s="9" t="str">
        <f t="shared" si="289"/>
        <v>ERIMON</v>
      </c>
      <c r="B252" s="9" t="str">
        <f>IF(ISBLANK(A248),"",LEFT(B251,27)&amp;VALUE(RIGHT(B251,1)+1))</f>
        <v>JKS240702ERIMON_40C_sample_5</v>
      </c>
      <c r="C252" s="6" t="str">
        <f t="shared" ref="C252:D252" si="293">C251</f>
        <v>Erica monsoniana</v>
      </c>
      <c r="D252" s="6" t="str">
        <f t="shared" si="293"/>
        <v>40C</v>
      </c>
      <c r="E252" s="10">
        <f>IF(ISBLANK(A248),"",E251+1)</f>
        <v>5</v>
      </c>
      <c r="F252" s="11">
        <f t="shared" si="291"/>
        <v>45478.20139</v>
      </c>
      <c r="G252" s="8">
        <v>0.655</v>
      </c>
    </row>
    <row r="253">
      <c r="A253" s="12" t="str">
        <f t="shared" si="289"/>
        <v>ERIMON</v>
      </c>
      <c r="B253" s="12" t="str">
        <f>IF(ISBLANK(A248),"",LEFT(B252,27)&amp;VALUE(RIGHT(B252,1)+1))</f>
        <v>JKS240702ERIMON_40C_sample_6</v>
      </c>
      <c r="C253" s="13" t="str">
        <f t="shared" ref="C253:D253" si="294">C252</f>
        <v>Erica monsoniana</v>
      </c>
      <c r="D253" s="13" t="str">
        <f t="shared" si="294"/>
        <v>40C</v>
      </c>
      <c r="E253" s="14">
        <f>IF(ISBLANK(A248),"",E252+1)</f>
        <v>6</v>
      </c>
      <c r="F253" s="15">
        <f t="shared" si="291"/>
        <v>45478.20139</v>
      </c>
      <c r="G253" s="16">
        <v>1.033</v>
      </c>
    </row>
    <row r="254">
      <c r="A254" s="5" t="s">
        <v>8</v>
      </c>
      <c r="B254" s="6" t="str">
        <f t="array" ref="B254">IF(ISBLANK(A254),"",IF(A254="PROREP (L)",VLOOKUP(LEFT($A254,6),'Data Feed (40C)'!$A$1:$G$10,2,FALSE),IF(A254="PROREP (S)", INDEX('Data Feed (40C)'!B:B, MATCH(LEFT($A254,6), 'Data Feed (40C)'!$A$1:$A$10, 0) + 1), VLOOKUP($A254,'Data Feed (40C)'!$A$1:$G$10,2,FALSE))))</f>
        <v>JKL240702PROREP_40C_sample_1</v>
      </c>
      <c r="C254" s="6" t="str">
        <f t="array" ref="C254">IF(ISBLANK(A254),"",IF(A254="PROREP (L)",VLOOKUP(LEFT($A254,6),'Data Feed (40C)'!$A$1:$G$10,3,FALSE),IF(A254="PROREP (S)", INDEX('Data Feed (40C)'!C:C, MATCH(LEFT($A254,6), 'Data Feed (40C)'!$A$1:$A$10, 0) + 1, +1), VLOOKUP($A254,'Data Feed (40C)'!$A$1:$G$10,3,FALSE))))</f>
        <v>Protea repens</v>
      </c>
      <c r="D254" s="6" t="str">
        <f t="array" ref="D254">IF(ISBLANK(A254),"",IF(A254="PROREP (L)",VLOOKUP(LEFT($A254,6),'Data Feed (40C)'!$A$1:$G$10,4,FALSE),IF(A254="PROREP (S)", INDEX('Data Feed (40C)'!D:D, MATCH(LEFT($A254,6), 'Data Feed (40C)'!$A$1:$A$10, 0) + 1, +1), VLOOKUP($A254,'Data Feed (40C)'!$A$1:$G$10,4,FALSE))))</f>
        <v>40C</v>
      </c>
      <c r="E254" s="6">
        <f t="array" ref="E254">IF(ISBLANK(A254),"",IF(A254="PROREP (L)",VLOOKUP(LEFT($A254,6),'Data Feed (40C)'!$A$1:$G$10,7,FALSE),IF(A254="PROREP (S)", INDEX('Data Feed (40C)'!G:G, MATCH(LEFT($A254,6), 'Data Feed (40C)'!$A$1:$A$10, 0) + 1, +1), VLOOKUP($A254,'Data Feed (40C)'!$A$1:$G$10,7,FALSE))))</f>
        <v>1</v>
      </c>
      <c r="F254" s="7">
        <v>45478.20277777778</v>
      </c>
      <c r="G254" s="8">
        <v>0.315</v>
      </c>
    </row>
    <row r="255">
      <c r="A255" s="9" t="str">
        <f t="shared" ref="A255:A259" si="296">A254</f>
        <v>PROREP (L)</v>
      </c>
      <c r="B255" s="9" t="str">
        <f>IF(ISBLANK(A254),"",LEFT(B254,27)&amp;VALUE(RIGHT(B254,1)+1))</f>
        <v>JKL240702PROREP_40C_sample_2</v>
      </c>
      <c r="C255" s="6" t="str">
        <f t="shared" ref="C255:D255" si="295">C254</f>
        <v>Protea repens</v>
      </c>
      <c r="D255" s="6" t="str">
        <f t="shared" si="295"/>
        <v>40C</v>
      </c>
      <c r="E255" s="10">
        <f>IF(ISBLANK(A254),"",E254+1)</f>
        <v>2</v>
      </c>
      <c r="F255" s="11">
        <f t="shared" ref="F255:F259" si="298">F254</f>
        <v>45478.20278</v>
      </c>
      <c r="G255" s="8">
        <v>0.261</v>
      </c>
    </row>
    <row r="256">
      <c r="A256" s="9" t="str">
        <f t="shared" si="296"/>
        <v>PROREP (L)</v>
      </c>
      <c r="B256" s="9" t="str">
        <f>IF(ISBLANK(A254),"",LEFT(B255,27)&amp;VALUE(RIGHT(B255,1)+1))</f>
        <v>JKL240702PROREP_40C_sample_3</v>
      </c>
      <c r="C256" s="6" t="str">
        <f t="shared" ref="C256:D256" si="297">C255</f>
        <v>Protea repens</v>
      </c>
      <c r="D256" s="6" t="str">
        <f t="shared" si="297"/>
        <v>40C</v>
      </c>
      <c r="E256" s="10">
        <f>IF(ISBLANK(A254),"",E255+1)</f>
        <v>3</v>
      </c>
      <c r="F256" s="11">
        <f t="shared" si="298"/>
        <v>45478.20278</v>
      </c>
      <c r="G256" s="8">
        <v>0.289</v>
      </c>
    </row>
    <row r="257">
      <c r="A257" s="9" t="str">
        <f t="shared" si="296"/>
        <v>PROREP (L)</v>
      </c>
      <c r="B257" s="9" t="str">
        <f>IF(ISBLANK(A254),"",LEFT(B256,27)&amp;VALUE(RIGHT(B256,1)+1))</f>
        <v>JKL240702PROREP_40C_sample_4</v>
      </c>
      <c r="C257" s="6" t="str">
        <f t="shared" ref="C257:D257" si="299">C256</f>
        <v>Protea repens</v>
      </c>
      <c r="D257" s="6" t="str">
        <f t="shared" si="299"/>
        <v>40C</v>
      </c>
      <c r="E257" s="10">
        <f>IF(ISBLANK(A254),"",E256+1)</f>
        <v>4</v>
      </c>
      <c r="F257" s="11">
        <f t="shared" si="298"/>
        <v>45478.20278</v>
      </c>
      <c r="G257" s="8">
        <v>0.144</v>
      </c>
    </row>
    <row r="258">
      <c r="A258" s="9" t="str">
        <f t="shared" si="296"/>
        <v>PROREP (L)</v>
      </c>
      <c r="B258" s="9" t="str">
        <f>IF(ISBLANK(A254),"",LEFT(B257,27)&amp;VALUE(RIGHT(B257,1)+1))</f>
        <v>JKL240702PROREP_40C_sample_5</v>
      </c>
      <c r="C258" s="6" t="str">
        <f t="shared" ref="C258:D258" si="300">C257</f>
        <v>Protea repens</v>
      </c>
      <c r="D258" s="6" t="str">
        <f t="shared" si="300"/>
        <v>40C</v>
      </c>
      <c r="E258" s="10">
        <f>IF(ISBLANK(A254),"",E257+1)</f>
        <v>5</v>
      </c>
      <c r="F258" s="11">
        <f t="shared" si="298"/>
        <v>45478.20278</v>
      </c>
      <c r="G258" s="8">
        <v>0.2</v>
      </c>
    </row>
    <row r="259">
      <c r="A259" s="12" t="str">
        <f t="shared" si="296"/>
        <v>PROREP (L)</v>
      </c>
      <c r="B259" s="12" t="str">
        <f>IF(ISBLANK(A254),"",LEFT(B258,27)&amp;VALUE(RIGHT(B258,1)+1))</f>
        <v>JKL240702PROREP_40C_sample_6</v>
      </c>
      <c r="C259" s="13" t="str">
        <f t="shared" ref="C259:D259" si="301">C258</f>
        <v>Protea repens</v>
      </c>
      <c r="D259" s="13" t="str">
        <f t="shared" si="301"/>
        <v>40C</v>
      </c>
      <c r="E259" s="14">
        <f>IF(ISBLANK(A254),"",E258+1)</f>
        <v>6</v>
      </c>
      <c r="F259" s="15">
        <f t="shared" si="298"/>
        <v>45478.20278</v>
      </c>
      <c r="G259" s="16">
        <v>0.242</v>
      </c>
    </row>
    <row r="260">
      <c r="A260" s="5" t="s">
        <v>9</v>
      </c>
      <c r="B260" s="6" t="str">
        <f t="array" ref="B260">IF(ISBLANK(A260),"",IF(A260="PROREP (L)",VLOOKUP(LEFT($A260,6),'Data Feed (40C)'!$A$1:$G$10,2,FALSE),IF(A260="PROREP (S)", INDEX('Data Feed (40C)'!B:B, MATCH(LEFT($A260,6), 'Data Feed (40C)'!$A$1:$A$10, 0) + 1), VLOOKUP($A260,'Data Feed (40C)'!$A$1:$G$10,2,FALSE))))</f>
        <v>JKS240702PROREP_40C_sample_1</v>
      </c>
      <c r="C260" s="6" t="str">
        <f t="array" ref="C260">IF(ISBLANK(A260),"",IF(A260="PROREP (L)",VLOOKUP(LEFT($A260,6),'Data Feed (40C)'!$A$1:$G$10,3,FALSE),IF(A260="PROREP (S)", INDEX('Data Feed (40C)'!C:C, MATCH(LEFT($A260,6), 'Data Feed (40C)'!$A$1:$A$10, 0) + 1, +1), VLOOKUP($A260,'Data Feed (40C)'!$A$1:$G$10,3,FALSE))))</f>
        <v>Protea repens</v>
      </c>
      <c r="D260" s="6" t="str">
        <f t="array" ref="D260">IF(ISBLANK(A260),"",IF(A260="PROREP (L)",VLOOKUP(LEFT($A260,6),'Data Feed (40C)'!$A$1:$G$10,4,FALSE),IF(A260="PROREP (S)", INDEX('Data Feed (40C)'!D:D, MATCH(LEFT($A260,6), 'Data Feed (40C)'!$A$1:$A$10, 0) + 1, +1), VLOOKUP($A260,'Data Feed (40C)'!$A$1:$G$10,4,FALSE))))</f>
        <v>40C</v>
      </c>
      <c r="E260" s="6">
        <f t="array" ref="E260">IF(ISBLANK(A260),"",IF(A260="PROREP (L)",VLOOKUP(LEFT($A260,6),'Data Feed (40C)'!$A$1:$G$10,7,FALSE),IF(A260="PROREP (S)", INDEX('Data Feed (40C)'!G:G, MATCH(LEFT($A260,6), 'Data Feed (40C)'!$A$1:$A$10, 0) + 1, +1), VLOOKUP($A260,'Data Feed (40C)'!$A$1:$G$10,7,FALSE))))</f>
        <v>1</v>
      </c>
      <c r="F260" s="7">
        <v>45478.20416666667</v>
      </c>
      <c r="G260" s="8">
        <v>3.925</v>
      </c>
    </row>
    <row r="261">
      <c r="A261" s="9" t="str">
        <f t="shared" ref="A261:A265" si="303">A260</f>
        <v>PROREP (S)</v>
      </c>
      <c r="B261" s="9" t="str">
        <f>IF(ISBLANK(A260),"",LEFT(B260,27)&amp;VALUE(RIGHT(B260,1)+1))</f>
        <v>JKS240702PROREP_40C_sample_2</v>
      </c>
      <c r="C261" s="6" t="str">
        <f t="shared" ref="C261:D261" si="302">C260</f>
        <v>Protea repens</v>
      </c>
      <c r="D261" s="6" t="str">
        <f t="shared" si="302"/>
        <v>40C</v>
      </c>
      <c r="E261" s="10">
        <f>IF(ISBLANK(A260),"",E260+1)</f>
        <v>2</v>
      </c>
      <c r="F261" s="11">
        <f t="shared" ref="F261:F265" si="305">F260</f>
        <v>45478.20417</v>
      </c>
      <c r="G261" s="8">
        <v>6.43</v>
      </c>
    </row>
    <row r="262">
      <c r="A262" s="9" t="str">
        <f t="shared" si="303"/>
        <v>PROREP (S)</v>
      </c>
      <c r="B262" s="9" t="str">
        <f>IF(ISBLANK(A260),"",LEFT(B261,27)&amp;VALUE(RIGHT(B261,1)+1))</f>
        <v>JKS240702PROREP_40C_sample_3</v>
      </c>
      <c r="C262" s="6" t="str">
        <f t="shared" ref="C262:D262" si="304">C261</f>
        <v>Protea repens</v>
      </c>
      <c r="D262" s="6" t="str">
        <f t="shared" si="304"/>
        <v>40C</v>
      </c>
      <c r="E262" s="10">
        <f>IF(ISBLANK(A260),"",E261+1)</f>
        <v>3</v>
      </c>
      <c r="F262" s="11">
        <f t="shared" si="305"/>
        <v>45478.20417</v>
      </c>
      <c r="G262" s="8">
        <v>2.415</v>
      </c>
    </row>
    <row r="263">
      <c r="A263" s="9" t="str">
        <f t="shared" si="303"/>
        <v>PROREP (S)</v>
      </c>
      <c r="B263" s="9" t="str">
        <f>IF(ISBLANK(A260),"",LEFT(B262,27)&amp;VALUE(RIGHT(B262,1)+1))</f>
        <v>JKS240702PROREP_40C_sample_4</v>
      </c>
      <c r="C263" s="6" t="str">
        <f t="shared" ref="C263:D263" si="306">C262</f>
        <v>Protea repens</v>
      </c>
      <c r="D263" s="6" t="str">
        <f t="shared" si="306"/>
        <v>40C</v>
      </c>
      <c r="E263" s="10">
        <f>IF(ISBLANK(A260),"",E262+1)</f>
        <v>4</v>
      </c>
      <c r="F263" s="11">
        <f t="shared" si="305"/>
        <v>45478.20417</v>
      </c>
      <c r="G263" s="8">
        <v>1.013</v>
      </c>
    </row>
    <row r="264">
      <c r="A264" s="9" t="str">
        <f t="shared" si="303"/>
        <v>PROREP (S)</v>
      </c>
      <c r="B264" s="9" t="str">
        <f>IF(ISBLANK(A260),"",LEFT(B263,27)&amp;VALUE(RIGHT(B263,1)+1))</f>
        <v>JKS240702PROREP_40C_sample_5</v>
      </c>
      <c r="C264" s="6" t="str">
        <f t="shared" ref="C264:D264" si="307">C263</f>
        <v>Protea repens</v>
      </c>
      <c r="D264" s="6" t="str">
        <f t="shared" si="307"/>
        <v>40C</v>
      </c>
      <c r="E264" s="10">
        <f>IF(ISBLANK(A260),"",E263+1)</f>
        <v>5</v>
      </c>
      <c r="F264" s="11">
        <f t="shared" si="305"/>
        <v>45478.20417</v>
      </c>
      <c r="G264" s="8">
        <v>3.918</v>
      </c>
    </row>
    <row r="265">
      <c r="A265" s="12" t="str">
        <f t="shared" si="303"/>
        <v>PROREP (S)</v>
      </c>
      <c r="B265" s="12" t="str">
        <f>IF(ISBLANK(A260),"",LEFT(B264,27)&amp;VALUE(RIGHT(B264,1)+1))</f>
        <v>JKS240702PROREP_40C_sample_6</v>
      </c>
      <c r="C265" s="13" t="str">
        <f t="shared" ref="C265:D265" si="308">C264</f>
        <v>Protea repens</v>
      </c>
      <c r="D265" s="13" t="str">
        <f t="shared" si="308"/>
        <v>40C</v>
      </c>
      <c r="E265" s="14">
        <f>IF(ISBLANK(A260),"",E264+1)</f>
        <v>6</v>
      </c>
      <c r="F265" s="15">
        <f t="shared" si="305"/>
        <v>45478.20417</v>
      </c>
      <c r="G265" s="16">
        <v>6.296</v>
      </c>
    </row>
    <row r="266">
      <c r="A266" s="5" t="s">
        <v>10</v>
      </c>
      <c r="B266" s="6" t="str">
        <f t="array" ref="B266">IF(ISBLANK(A266),"",IF(A266="PROREP (L)",VLOOKUP(LEFT($A266,6),'Data Feed (40C)'!$A$1:$G$10,2,FALSE),IF(A266="PROREP (S)", INDEX('Data Feed (40C)'!B:B, MATCH(LEFT($A266,6), 'Data Feed (40C)'!$A$1:$A$10, 0) + 1), VLOOKUP($A266,'Data Feed (40C)'!$A$1:$G$10,2,FALSE))))</f>
        <v>JKS240702CANCON_40C_sample_1</v>
      </c>
      <c r="C266" s="6" t="str">
        <f t="array" ref="C266">IF(ISBLANK(A266),"",IF(A266="PROREP (L)",VLOOKUP(LEFT($A266,6),'Data Feed (40C)'!$A$1:$G$10,3,FALSE),IF(A266="PROREP (S)", INDEX('Data Feed (40C)'!C:C, MATCH(LEFT($A266,6), 'Data Feed (40C)'!$A$1:$A$10, 0) + 1, +1), VLOOKUP($A266,'Data Feed (40C)'!$A$1:$G$10,3,FALSE))))</f>
        <v>Cannomois congesta</v>
      </c>
      <c r="D266" s="6" t="str">
        <f t="array" ref="D266">IF(ISBLANK(A266),"",IF(A266="PROREP (L)",VLOOKUP(LEFT($A266,6),'Data Feed (40C)'!$A$1:$G$10,4,FALSE),IF(A266="PROREP (S)", INDEX('Data Feed (40C)'!D:D, MATCH(LEFT($A266,6), 'Data Feed (40C)'!$A$1:$A$10, 0) + 1, +1), VLOOKUP($A266,'Data Feed (40C)'!$A$1:$G$10,4,FALSE))))</f>
        <v>40C</v>
      </c>
      <c r="E266" s="6">
        <f t="array" ref="E266">IF(ISBLANK(A266),"",IF(A266="PROREP (L)",VLOOKUP(LEFT($A266,6),'Data Feed (40C)'!$A$1:$G$10,7,FALSE),IF(A266="PROREP (S)", INDEX('Data Feed (40C)'!G:G, MATCH(LEFT($A266,6), 'Data Feed (40C)'!$A$1:$A$10, 0) + 1, +1), VLOOKUP($A266,'Data Feed (40C)'!$A$1:$G$10,7,FALSE))))</f>
        <v>1</v>
      </c>
      <c r="F266" s="7">
        <v>45478.205555555556</v>
      </c>
      <c r="G266" s="8">
        <v>0.655</v>
      </c>
    </row>
    <row r="267">
      <c r="A267" s="9" t="str">
        <f t="shared" ref="A267:A271" si="310">A266</f>
        <v>CANCON</v>
      </c>
      <c r="B267" s="9" t="str">
        <f>IF(ISBLANK(A266),"",LEFT(B266,27)&amp;VALUE(RIGHT(B266,1)+1))</f>
        <v>JKS240702CANCON_40C_sample_2</v>
      </c>
      <c r="C267" s="6" t="str">
        <f t="shared" ref="C267:D267" si="309">C266</f>
        <v>Cannomois congesta</v>
      </c>
      <c r="D267" s="6" t="str">
        <f t="shared" si="309"/>
        <v>40C</v>
      </c>
      <c r="E267" s="10">
        <f>IF(ISBLANK(A266),"",E266+1)</f>
        <v>2</v>
      </c>
      <c r="F267" s="11">
        <f t="shared" ref="F267:F271" si="312">F266</f>
        <v>45478.20556</v>
      </c>
      <c r="G267" s="8">
        <v>1.556</v>
      </c>
    </row>
    <row r="268">
      <c r="A268" s="9" t="str">
        <f t="shared" si="310"/>
        <v>CANCON</v>
      </c>
      <c r="B268" s="9" t="str">
        <f>IF(ISBLANK(A266),"",LEFT(B267,27)&amp;VALUE(RIGHT(B267,1)+1))</f>
        <v>JKS240702CANCON_40C_sample_3</v>
      </c>
      <c r="C268" s="6" t="str">
        <f t="shared" ref="C268:D268" si="311">C267</f>
        <v>Cannomois congesta</v>
      </c>
      <c r="D268" s="6" t="str">
        <f t="shared" si="311"/>
        <v>40C</v>
      </c>
      <c r="E268" s="10">
        <f>IF(ISBLANK(A266),"",E267+1)</f>
        <v>3</v>
      </c>
      <c r="F268" s="11">
        <f t="shared" si="312"/>
        <v>45478.20556</v>
      </c>
      <c r="G268" s="8">
        <v>0.752</v>
      </c>
    </row>
    <row r="269">
      <c r="A269" s="9" t="str">
        <f t="shared" si="310"/>
        <v>CANCON</v>
      </c>
      <c r="B269" s="9" t="str">
        <f>IF(ISBLANK(A266),"",LEFT(B268,27)&amp;VALUE(RIGHT(B268,1)+1))</f>
        <v>JKS240702CANCON_40C_sample_4</v>
      </c>
      <c r="C269" s="6" t="str">
        <f t="shared" ref="C269:D269" si="313">C268</f>
        <v>Cannomois congesta</v>
      </c>
      <c r="D269" s="6" t="str">
        <f t="shared" si="313"/>
        <v>40C</v>
      </c>
      <c r="E269" s="10">
        <f>IF(ISBLANK(A266),"",E268+1)</f>
        <v>4</v>
      </c>
      <c r="F269" s="11">
        <f t="shared" si="312"/>
        <v>45478.20556</v>
      </c>
      <c r="G269" s="8">
        <v>1.114</v>
      </c>
    </row>
    <row r="270">
      <c r="A270" s="9" t="str">
        <f t="shared" si="310"/>
        <v>CANCON</v>
      </c>
      <c r="B270" s="9" t="str">
        <f>IF(ISBLANK(A266),"",LEFT(B269,27)&amp;VALUE(RIGHT(B269,1)+1))</f>
        <v>JKS240702CANCON_40C_sample_5</v>
      </c>
      <c r="C270" s="6" t="str">
        <f t="shared" ref="C270:D270" si="314">C269</f>
        <v>Cannomois congesta</v>
      </c>
      <c r="D270" s="6" t="str">
        <f t="shared" si="314"/>
        <v>40C</v>
      </c>
      <c r="E270" s="10">
        <f>IF(ISBLANK(A266),"",E269+1)</f>
        <v>5</v>
      </c>
      <c r="F270" s="11">
        <f t="shared" si="312"/>
        <v>45478.20556</v>
      </c>
      <c r="G270" s="8">
        <v>0.574</v>
      </c>
    </row>
    <row r="271">
      <c r="A271" s="12" t="str">
        <f t="shared" si="310"/>
        <v>CANCON</v>
      </c>
      <c r="B271" s="12" t="str">
        <f>IF(ISBLANK(A266),"",LEFT(B270,27)&amp;VALUE(RIGHT(B270,1)+1))</f>
        <v>JKS240702CANCON_40C_sample_6</v>
      </c>
      <c r="C271" s="13" t="str">
        <f t="shared" ref="C271:D271" si="315">C270</f>
        <v>Cannomois congesta</v>
      </c>
      <c r="D271" s="13" t="str">
        <f t="shared" si="315"/>
        <v>40C</v>
      </c>
      <c r="E271" s="14">
        <f>IF(ISBLANK(A266),"",E270+1)</f>
        <v>6</v>
      </c>
      <c r="F271" s="15">
        <f t="shared" si="312"/>
        <v>45478.20556</v>
      </c>
      <c r="G271" s="16">
        <v>1.162</v>
      </c>
    </row>
    <row r="272">
      <c r="A272" s="5" t="s">
        <v>7</v>
      </c>
      <c r="B272" s="6" t="str">
        <f t="array" ref="B272">IF(ISBLANK(A272),"",IF(A272="PROREP (L)",VLOOKUP(LEFT($A272,6),'Data Feed (40C)'!$A$1:$G$10,2,FALSE),IF(A272="PROREP (S)", INDEX('Data Feed (40C)'!B:B, MATCH(LEFT($A272,6), 'Data Feed (40C)'!$A$1:$A$10, 0) + 1), VLOOKUP($A272,'Data Feed (40C)'!$A$1:$G$10,2,FALSE))))</f>
        <v>JKS240702ERIMON_40C_sample_1</v>
      </c>
      <c r="C272" s="6" t="str">
        <f t="array" ref="C272">IF(ISBLANK(A272),"",IF(A272="PROREP (L)",VLOOKUP(LEFT($A272,6),'Data Feed (40C)'!$A$1:$G$10,3,FALSE),IF(A272="PROREP (S)", INDEX('Data Feed (40C)'!C:C, MATCH(LEFT($A272,6), 'Data Feed (40C)'!$A$1:$A$10, 0) + 1, +1), VLOOKUP($A272,'Data Feed (40C)'!$A$1:$G$10,3,FALSE))))</f>
        <v>Erica monsoniana</v>
      </c>
      <c r="D272" s="6" t="str">
        <f t="array" ref="D272">IF(ISBLANK(A272),"",IF(A272="PROREP (L)",VLOOKUP(LEFT($A272,6),'Data Feed (40C)'!$A$1:$G$10,4,FALSE),IF(A272="PROREP (S)", INDEX('Data Feed (40C)'!D:D, MATCH(LEFT($A272,6), 'Data Feed (40C)'!$A$1:$A$10, 0) + 1, +1), VLOOKUP($A272,'Data Feed (40C)'!$A$1:$G$10,4,FALSE))))</f>
        <v>40C</v>
      </c>
      <c r="E272" s="6">
        <f t="array" ref="E272">IF(ISBLANK(A272),"",IF(A272="PROREP (L)",VLOOKUP(LEFT($A272,6),'Data Feed (40C)'!$A$1:$G$10,7,FALSE),IF(A272="PROREP (S)", INDEX('Data Feed (40C)'!G:G, MATCH(LEFT($A272,6), 'Data Feed (40C)'!$A$1:$A$10, 0) + 1, +1), VLOOKUP($A272,'Data Feed (40C)'!$A$1:$G$10,7,FALSE))))</f>
        <v>1</v>
      </c>
      <c r="F272" s="7">
        <v>45478.347916666666</v>
      </c>
      <c r="G272" s="8">
        <v>0.738</v>
      </c>
    </row>
    <row r="273">
      <c r="A273" s="9" t="str">
        <f t="shared" ref="A273:A277" si="317">A272</f>
        <v>ERIMON</v>
      </c>
      <c r="B273" s="9" t="str">
        <f>IF(ISBLANK(A272),"",LEFT(B272,27)&amp;VALUE(RIGHT(B272,1)+1))</f>
        <v>JKS240702ERIMON_40C_sample_2</v>
      </c>
      <c r="C273" s="6" t="str">
        <f t="shared" ref="C273:D273" si="316">C272</f>
        <v>Erica monsoniana</v>
      </c>
      <c r="D273" s="6" t="str">
        <f t="shared" si="316"/>
        <v>40C</v>
      </c>
      <c r="E273" s="10">
        <f>IF(ISBLANK(A272),"",E272+1)</f>
        <v>2</v>
      </c>
      <c r="F273" s="11">
        <f t="shared" ref="F273:F277" si="319">F272</f>
        <v>45478.34792</v>
      </c>
      <c r="G273" s="8">
        <v>0.838</v>
      </c>
    </row>
    <row r="274">
      <c r="A274" s="9" t="str">
        <f t="shared" si="317"/>
        <v>ERIMON</v>
      </c>
      <c r="B274" s="9" t="str">
        <f>IF(ISBLANK(A272),"",LEFT(B273,27)&amp;VALUE(RIGHT(B273,1)+1))</f>
        <v>JKS240702ERIMON_40C_sample_3</v>
      </c>
      <c r="C274" s="6" t="str">
        <f t="shared" ref="C274:D274" si="318">C273</f>
        <v>Erica monsoniana</v>
      </c>
      <c r="D274" s="6" t="str">
        <f t="shared" si="318"/>
        <v>40C</v>
      </c>
      <c r="E274" s="10">
        <f>IF(ISBLANK(A272),"",E273+1)</f>
        <v>3</v>
      </c>
      <c r="F274" s="11">
        <f t="shared" si="319"/>
        <v>45478.34792</v>
      </c>
      <c r="G274" s="8">
        <v>0.771</v>
      </c>
    </row>
    <row r="275">
      <c r="A275" s="9" t="str">
        <f t="shared" si="317"/>
        <v>ERIMON</v>
      </c>
      <c r="B275" s="9" t="str">
        <f>IF(ISBLANK(A272),"",LEFT(B274,27)&amp;VALUE(RIGHT(B274,1)+1))</f>
        <v>JKS240702ERIMON_40C_sample_4</v>
      </c>
      <c r="C275" s="6" t="str">
        <f t="shared" ref="C275:D275" si="320">C274</f>
        <v>Erica monsoniana</v>
      </c>
      <c r="D275" s="6" t="str">
        <f t="shared" si="320"/>
        <v>40C</v>
      </c>
      <c r="E275" s="10">
        <f>IF(ISBLANK(A272),"",E274+1)</f>
        <v>4</v>
      </c>
      <c r="F275" s="11">
        <f t="shared" si="319"/>
        <v>45478.34792</v>
      </c>
      <c r="G275" s="8">
        <v>1.792</v>
      </c>
    </row>
    <row r="276">
      <c r="A276" s="9" t="str">
        <f t="shared" si="317"/>
        <v>ERIMON</v>
      </c>
      <c r="B276" s="9" t="str">
        <f>IF(ISBLANK(A272),"",LEFT(B275,27)&amp;VALUE(RIGHT(B275,1)+1))</f>
        <v>JKS240702ERIMON_40C_sample_5</v>
      </c>
      <c r="C276" s="6" t="str">
        <f t="shared" ref="C276:D276" si="321">C275</f>
        <v>Erica monsoniana</v>
      </c>
      <c r="D276" s="6" t="str">
        <f t="shared" si="321"/>
        <v>40C</v>
      </c>
      <c r="E276" s="10">
        <f>IF(ISBLANK(A272),"",E275+1)</f>
        <v>5</v>
      </c>
      <c r="F276" s="11">
        <f t="shared" si="319"/>
        <v>45478.34792</v>
      </c>
      <c r="G276" s="8">
        <v>0.65</v>
      </c>
    </row>
    <row r="277">
      <c r="A277" s="12" t="str">
        <f t="shared" si="317"/>
        <v>ERIMON</v>
      </c>
      <c r="B277" s="12" t="str">
        <f>IF(ISBLANK(A272),"",LEFT(B276,27)&amp;VALUE(RIGHT(B276,1)+1))</f>
        <v>JKS240702ERIMON_40C_sample_6</v>
      </c>
      <c r="C277" s="13" t="str">
        <f t="shared" ref="C277:D277" si="322">C276</f>
        <v>Erica monsoniana</v>
      </c>
      <c r="D277" s="13" t="str">
        <f t="shared" si="322"/>
        <v>40C</v>
      </c>
      <c r="E277" s="14">
        <f>IF(ISBLANK(A272),"",E276+1)</f>
        <v>6</v>
      </c>
      <c r="F277" s="15">
        <f t="shared" si="319"/>
        <v>45478.34792</v>
      </c>
      <c r="G277" s="16">
        <v>1.027</v>
      </c>
    </row>
    <row r="278">
      <c r="A278" s="5" t="s">
        <v>8</v>
      </c>
      <c r="B278" s="6" t="str">
        <f t="array" ref="B278">IF(ISBLANK(A278),"",IF(A278="PROREP (L)",VLOOKUP(LEFT($A278,6),'Data Feed (40C)'!$A$1:$G$10,2,FALSE),IF(A278="PROREP (S)", INDEX('Data Feed (40C)'!B:B, MATCH(LEFT($A278,6), 'Data Feed (40C)'!$A$1:$A$10, 0) + 1), VLOOKUP($A278,'Data Feed (40C)'!$A$1:$G$10,2,FALSE))))</f>
        <v>JKL240702PROREP_40C_sample_1</v>
      </c>
      <c r="C278" s="6" t="str">
        <f t="array" ref="C278">IF(ISBLANK(A278),"",IF(A278="PROREP (L)",VLOOKUP(LEFT($A278,6),'Data Feed (40C)'!$A$1:$G$10,3,FALSE),IF(A278="PROREP (S)", INDEX('Data Feed (40C)'!C:C, MATCH(LEFT($A278,6), 'Data Feed (40C)'!$A$1:$A$10, 0) + 1, +1), VLOOKUP($A278,'Data Feed (40C)'!$A$1:$G$10,3,FALSE))))</f>
        <v>Protea repens</v>
      </c>
      <c r="D278" s="6" t="str">
        <f t="array" ref="D278">IF(ISBLANK(A278),"",IF(A278="PROREP (L)",VLOOKUP(LEFT($A278,6),'Data Feed (40C)'!$A$1:$G$10,4,FALSE),IF(A278="PROREP (S)", INDEX('Data Feed (40C)'!D:D, MATCH(LEFT($A278,6), 'Data Feed (40C)'!$A$1:$A$10, 0) + 1, +1), VLOOKUP($A278,'Data Feed (40C)'!$A$1:$G$10,4,FALSE))))</f>
        <v>40C</v>
      </c>
      <c r="E278" s="6">
        <f t="array" ref="E278">IF(ISBLANK(A278),"",IF(A278="PROREP (L)",VLOOKUP(LEFT($A278,6),'Data Feed (40C)'!$A$1:$G$10,7,FALSE),IF(A278="PROREP (S)", INDEX('Data Feed (40C)'!G:G, MATCH(LEFT($A278,6), 'Data Feed (40C)'!$A$1:$A$10, 0) + 1, +1), VLOOKUP($A278,'Data Feed (40C)'!$A$1:$G$10,7,FALSE))))</f>
        <v>1</v>
      </c>
      <c r="F278" s="7">
        <v>45478.34930555556</v>
      </c>
      <c r="G278" s="8">
        <v>0.29</v>
      </c>
    </row>
    <row r="279">
      <c r="A279" s="9" t="str">
        <f t="shared" ref="A279:A283" si="324">A278</f>
        <v>PROREP (L)</v>
      </c>
      <c r="B279" s="9" t="str">
        <f>IF(ISBLANK(A278),"",LEFT(B278,27)&amp;VALUE(RIGHT(B278,1)+1))</f>
        <v>JKL240702PROREP_40C_sample_2</v>
      </c>
      <c r="C279" s="6" t="str">
        <f t="shared" ref="C279:D279" si="323">C278</f>
        <v>Protea repens</v>
      </c>
      <c r="D279" s="6" t="str">
        <f t="shared" si="323"/>
        <v>40C</v>
      </c>
      <c r="E279" s="10">
        <f>IF(ISBLANK(A278),"",E278+1)</f>
        <v>2</v>
      </c>
      <c r="F279" s="11">
        <f t="shared" ref="F279:F283" si="326">F278</f>
        <v>45478.34931</v>
      </c>
      <c r="G279" s="8">
        <v>0.263</v>
      </c>
    </row>
    <row r="280">
      <c r="A280" s="9" t="str">
        <f t="shared" si="324"/>
        <v>PROREP (L)</v>
      </c>
      <c r="B280" s="9" t="str">
        <f>IF(ISBLANK(A278),"",LEFT(B279,27)&amp;VALUE(RIGHT(B279,1)+1))</f>
        <v>JKL240702PROREP_40C_sample_3</v>
      </c>
      <c r="C280" s="6" t="str">
        <f t="shared" ref="C280:D280" si="325">C279</f>
        <v>Protea repens</v>
      </c>
      <c r="D280" s="6" t="str">
        <f t="shared" si="325"/>
        <v>40C</v>
      </c>
      <c r="E280" s="10">
        <f>IF(ISBLANK(A278),"",E279+1)</f>
        <v>3</v>
      </c>
      <c r="F280" s="11">
        <f t="shared" si="326"/>
        <v>45478.34931</v>
      </c>
      <c r="G280" s="8">
        <v>0.293</v>
      </c>
    </row>
    <row r="281">
      <c r="A281" s="9" t="str">
        <f t="shared" si="324"/>
        <v>PROREP (L)</v>
      </c>
      <c r="B281" s="9" t="str">
        <f>IF(ISBLANK(A278),"",LEFT(B280,27)&amp;VALUE(RIGHT(B280,1)+1))</f>
        <v>JKL240702PROREP_40C_sample_4</v>
      </c>
      <c r="C281" s="6" t="str">
        <f t="shared" ref="C281:D281" si="327">C280</f>
        <v>Protea repens</v>
      </c>
      <c r="D281" s="6" t="str">
        <f t="shared" si="327"/>
        <v>40C</v>
      </c>
      <c r="E281" s="10">
        <f>IF(ISBLANK(A278),"",E280+1)</f>
        <v>4</v>
      </c>
      <c r="F281" s="11">
        <f t="shared" si="326"/>
        <v>45478.34931</v>
      </c>
      <c r="G281" s="8">
        <v>0.149</v>
      </c>
    </row>
    <row r="282">
      <c r="A282" s="9" t="str">
        <f t="shared" si="324"/>
        <v>PROREP (L)</v>
      </c>
      <c r="B282" s="9" t="str">
        <f>IF(ISBLANK(A278),"",LEFT(B281,27)&amp;VALUE(RIGHT(B281,1)+1))</f>
        <v>JKL240702PROREP_40C_sample_5</v>
      </c>
      <c r="C282" s="6" t="str">
        <f t="shared" ref="C282:D282" si="328">C281</f>
        <v>Protea repens</v>
      </c>
      <c r="D282" s="6" t="str">
        <f t="shared" si="328"/>
        <v>40C</v>
      </c>
      <c r="E282" s="10">
        <f>IF(ISBLANK(A278),"",E281+1)</f>
        <v>5</v>
      </c>
      <c r="F282" s="11">
        <f t="shared" si="326"/>
        <v>45478.34931</v>
      </c>
      <c r="G282" s="8">
        <v>0.203</v>
      </c>
    </row>
    <row r="283">
      <c r="A283" s="12" t="str">
        <f t="shared" si="324"/>
        <v>PROREP (L)</v>
      </c>
      <c r="B283" s="12" t="str">
        <f>IF(ISBLANK(A278),"",LEFT(B282,27)&amp;VALUE(RIGHT(B282,1)+1))</f>
        <v>JKL240702PROREP_40C_sample_6</v>
      </c>
      <c r="C283" s="13" t="str">
        <f t="shared" ref="C283:D283" si="329">C282</f>
        <v>Protea repens</v>
      </c>
      <c r="D283" s="13" t="str">
        <f t="shared" si="329"/>
        <v>40C</v>
      </c>
      <c r="E283" s="14">
        <f>IF(ISBLANK(A278),"",E282+1)</f>
        <v>6</v>
      </c>
      <c r="F283" s="15">
        <f t="shared" si="326"/>
        <v>45478.34931</v>
      </c>
      <c r="G283" s="16">
        <v>0.243</v>
      </c>
    </row>
    <row r="284">
      <c r="A284" s="5" t="s">
        <v>9</v>
      </c>
      <c r="B284" s="6" t="str">
        <f t="array" ref="B284">IF(ISBLANK(A284),"",IF(A284="PROREP (L)",VLOOKUP(LEFT($A284,6),'Data Feed (40C)'!$A$1:$G$10,2,FALSE),IF(A284="PROREP (S)", INDEX('Data Feed (40C)'!B:B, MATCH(LEFT($A284,6), 'Data Feed (40C)'!$A$1:$A$10, 0) + 1), VLOOKUP($A284,'Data Feed (40C)'!$A$1:$G$10,2,FALSE))))</f>
        <v>JKS240702PROREP_40C_sample_1</v>
      </c>
      <c r="C284" s="6" t="str">
        <f t="array" ref="C284">IF(ISBLANK(A284),"",IF(A284="PROREP (L)",VLOOKUP(LEFT($A284,6),'Data Feed (40C)'!$A$1:$G$10,3,FALSE),IF(A284="PROREP (S)", INDEX('Data Feed (40C)'!C:C, MATCH(LEFT($A284,6), 'Data Feed (40C)'!$A$1:$A$10, 0) + 1, +1), VLOOKUP($A284,'Data Feed (40C)'!$A$1:$G$10,3,FALSE))))</f>
        <v>Protea repens</v>
      </c>
      <c r="D284" s="6" t="str">
        <f t="array" ref="D284">IF(ISBLANK(A284),"",IF(A284="PROREP (L)",VLOOKUP(LEFT($A284,6),'Data Feed (40C)'!$A$1:$G$10,4,FALSE),IF(A284="PROREP (S)", INDEX('Data Feed (40C)'!D:D, MATCH(LEFT($A284,6), 'Data Feed (40C)'!$A$1:$A$10, 0) + 1, +1), VLOOKUP($A284,'Data Feed (40C)'!$A$1:$G$10,4,FALSE))))</f>
        <v>40C</v>
      </c>
      <c r="E284" s="6">
        <f t="array" ref="E284">IF(ISBLANK(A284),"",IF(A284="PROREP (L)",VLOOKUP(LEFT($A284,6),'Data Feed (40C)'!$A$1:$G$10,7,FALSE),IF(A284="PROREP (S)", INDEX('Data Feed (40C)'!G:G, MATCH(LEFT($A284,6), 'Data Feed (40C)'!$A$1:$A$10, 0) + 1, +1), VLOOKUP($A284,'Data Feed (40C)'!$A$1:$G$10,7,FALSE))))</f>
        <v>1</v>
      </c>
      <c r="F284" s="7">
        <v>45478.350694444445</v>
      </c>
      <c r="G284" s="8">
        <v>3.788</v>
      </c>
    </row>
    <row r="285">
      <c r="A285" s="9" t="str">
        <f t="shared" ref="A285:A289" si="331">A284</f>
        <v>PROREP (S)</v>
      </c>
      <c r="B285" s="9" t="str">
        <f>IF(ISBLANK(A284),"",LEFT(B284,27)&amp;VALUE(RIGHT(B284,1)+1))</f>
        <v>JKS240702PROREP_40C_sample_2</v>
      </c>
      <c r="C285" s="6" t="str">
        <f t="shared" ref="C285:D285" si="330">C284</f>
        <v>Protea repens</v>
      </c>
      <c r="D285" s="6" t="str">
        <f t="shared" si="330"/>
        <v>40C</v>
      </c>
      <c r="E285" s="10">
        <f>IF(ISBLANK(A284),"",E284+1)</f>
        <v>2</v>
      </c>
      <c r="F285" s="11">
        <f t="shared" ref="F285:F289" si="333">F284</f>
        <v>45478.35069</v>
      </c>
      <c r="G285" s="8">
        <v>6.035</v>
      </c>
    </row>
    <row r="286">
      <c r="A286" s="9" t="str">
        <f t="shared" si="331"/>
        <v>PROREP (S)</v>
      </c>
      <c r="B286" s="9" t="str">
        <f>IF(ISBLANK(A284),"",LEFT(B285,27)&amp;VALUE(RIGHT(B285,1)+1))</f>
        <v>JKS240702PROREP_40C_sample_3</v>
      </c>
      <c r="C286" s="6" t="str">
        <f t="shared" ref="C286:D286" si="332">C285</f>
        <v>Protea repens</v>
      </c>
      <c r="D286" s="6" t="str">
        <f t="shared" si="332"/>
        <v>40C</v>
      </c>
      <c r="E286" s="10">
        <f>IF(ISBLANK(A284),"",E285+1)</f>
        <v>3</v>
      </c>
      <c r="F286" s="11">
        <f t="shared" si="333"/>
        <v>45478.35069</v>
      </c>
      <c r="G286" s="8">
        <v>2.398</v>
      </c>
    </row>
    <row r="287">
      <c r="A287" s="9" t="str">
        <f t="shared" si="331"/>
        <v>PROREP (S)</v>
      </c>
      <c r="B287" s="9" t="str">
        <f>IF(ISBLANK(A284),"",LEFT(B286,27)&amp;VALUE(RIGHT(B286,1)+1))</f>
        <v>JKS240702PROREP_40C_sample_4</v>
      </c>
      <c r="C287" s="6" t="str">
        <f t="shared" ref="C287:D287" si="334">C286</f>
        <v>Protea repens</v>
      </c>
      <c r="D287" s="6" t="str">
        <f t="shared" si="334"/>
        <v>40C</v>
      </c>
      <c r="E287" s="10">
        <f>IF(ISBLANK(A284),"",E286+1)</f>
        <v>4</v>
      </c>
      <c r="F287" s="11">
        <f t="shared" si="333"/>
        <v>45478.35069</v>
      </c>
      <c r="G287" s="8">
        <v>0.97</v>
      </c>
    </row>
    <row r="288">
      <c r="A288" s="9" t="str">
        <f t="shared" si="331"/>
        <v>PROREP (S)</v>
      </c>
      <c r="B288" s="9" t="str">
        <f>IF(ISBLANK(A284),"",LEFT(B287,27)&amp;VALUE(RIGHT(B287,1)+1))</f>
        <v>JKS240702PROREP_40C_sample_5</v>
      </c>
      <c r="C288" s="6" t="str">
        <f t="shared" ref="C288:D288" si="335">C287</f>
        <v>Protea repens</v>
      </c>
      <c r="D288" s="6" t="str">
        <f t="shared" si="335"/>
        <v>40C</v>
      </c>
      <c r="E288" s="10">
        <f>IF(ISBLANK(A284),"",E287+1)</f>
        <v>5</v>
      </c>
      <c r="F288" s="11">
        <f t="shared" si="333"/>
        <v>45478.35069</v>
      </c>
      <c r="G288" s="8">
        <v>3.735</v>
      </c>
    </row>
    <row r="289">
      <c r="A289" s="12" t="str">
        <f t="shared" si="331"/>
        <v>PROREP (S)</v>
      </c>
      <c r="B289" s="12" t="str">
        <f>IF(ISBLANK(A284),"",LEFT(B288,27)&amp;VALUE(RIGHT(B288,1)+1))</f>
        <v>JKS240702PROREP_40C_sample_6</v>
      </c>
      <c r="C289" s="13" t="str">
        <f t="shared" ref="C289:D289" si="336">C288</f>
        <v>Protea repens</v>
      </c>
      <c r="D289" s="13" t="str">
        <f t="shared" si="336"/>
        <v>40C</v>
      </c>
      <c r="E289" s="14">
        <f>IF(ISBLANK(A284),"",E288+1)</f>
        <v>6</v>
      </c>
      <c r="F289" s="15">
        <f t="shared" si="333"/>
        <v>45478.35069</v>
      </c>
      <c r="G289" s="16">
        <v>5.697</v>
      </c>
    </row>
    <row r="290">
      <c r="A290" s="5" t="s">
        <v>10</v>
      </c>
      <c r="B290" s="6" t="str">
        <f t="array" ref="B290">IF(ISBLANK(A290),"",IF(A290="PROREP (L)",VLOOKUP(LEFT($A290,6),'Data Feed (40C)'!$A$1:$G$10,2,FALSE),IF(A290="PROREP (S)", INDEX('Data Feed (40C)'!B:B, MATCH(LEFT($A290,6), 'Data Feed (40C)'!$A$1:$A$10, 0) + 1), VLOOKUP($A290,'Data Feed (40C)'!$A$1:$G$10,2,FALSE))))</f>
        <v>JKS240702CANCON_40C_sample_1</v>
      </c>
      <c r="C290" s="6" t="str">
        <f t="array" ref="C290">IF(ISBLANK(A290),"",IF(A290="PROREP (L)",VLOOKUP(LEFT($A290,6),'Data Feed (40C)'!$A$1:$G$10,3,FALSE),IF(A290="PROREP (S)", INDEX('Data Feed (40C)'!C:C, MATCH(LEFT($A290,6), 'Data Feed (40C)'!$A$1:$A$10, 0) + 1, +1), VLOOKUP($A290,'Data Feed (40C)'!$A$1:$G$10,3,FALSE))))</f>
        <v>Cannomois congesta</v>
      </c>
      <c r="D290" s="6" t="str">
        <f t="array" ref="D290">IF(ISBLANK(A290),"",IF(A290="PROREP (L)",VLOOKUP(LEFT($A290,6),'Data Feed (40C)'!$A$1:$G$10,4,FALSE),IF(A290="PROREP (S)", INDEX('Data Feed (40C)'!D:D, MATCH(LEFT($A290,6), 'Data Feed (40C)'!$A$1:$A$10, 0) + 1, +1), VLOOKUP($A290,'Data Feed (40C)'!$A$1:$G$10,4,FALSE))))</f>
        <v>40C</v>
      </c>
      <c r="E290" s="6">
        <f t="array" ref="E290">IF(ISBLANK(A290),"",IF(A290="PROREP (L)",VLOOKUP(LEFT($A290,6),'Data Feed (40C)'!$A$1:$G$10,7,FALSE),IF(A290="PROREP (S)", INDEX('Data Feed (40C)'!G:G, MATCH(LEFT($A290,6), 'Data Feed (40C)'!$A$1:$A$10, 0) + 1, +1), VLOOKUP($A290,'Data Feed (40C)'!$A$1:$G$10,7,FALSE))))</f>
        <v>1</v>
      </c>
      <c r="F290" s="7">
        <v>45478.35208333333</v>
      </c>
      <c r="G290" s="8">
        <v>0.586</v>
      </c>
    </row>
    <row r="291">
      <c r="A291" s="9" t="str">
        <f t="shared" ref="A291:A295" si="338">A290</f>
        <v>CANCON</v>
      </c>
      <c r="B291" s="9" t="str">
        <f>IF(ISBLANK(A290),"",LEFT(B290,27)&amp;VALUE(RIGHT(B290,1)+1))</f>
        <v>JKS240702CANCON_40C_sample_2</v>
      </c>
      <c r="C291" s="6" t="str">
        <f t="shared" ref="C291:D291" si="337">C290</f>
        <v>Cannomois congesta</v>
      </c>
      <c r="D291" s="6" t="str">
        <f t="shared" si="337"/>
        <v>40C</v>
      </c>
      <c r="E291" s="10">
        <f>IF(ISBLANK(A290),"",E290+1)</f>
        <v>2</v>
      </c>
      <c r="F291" s="11">
        <f t="shared" ref="F291:F295" si="340">F290</f>
        <v>45478.35208</v>
      </c>
      <c r="G291" s="8">
        <v>1.414</v>
      </c>
    </row>
    <row r="292">
      <c r="A292" s="9" t="str">
        <f t="shared" si="338"/>
        <v>CANCON</v>
      </c>
      <c r="B292" s="9" t="str">
        <f>IF(ISBLANK(A290),"",LEFT(B291,27)&amp;VALUE(RIGHT(B291,1)+1))</f>
        <v>JKS240702CANCON_40C_sample_3</v>
      </c>
      <c r="C292" s="6" t="str">
        <f t="shared" ref="C292:D292" si="339">C291</f>
        <v>Cannomois congesta</v>
      </c>
      <c r="D292" s="6" t="str">
        <f t="shared" si="339"/>
        <v>40C</v>
      </c>
      <c r="E292" s="10">
        <f>IF(ISBLANK(A290),"",E291+1)</f>
        <v>3</v>
      </c>
      <c r="F292" s="11">
        <f t="shared" si="340"/>
        <v>45478.35208</v>
      </c>
      <c r="G292" s="8">
        <v>0.625</v>
      </c>
    </row>
    <row r="293">
      <c r="A293" s="9" t="str">
        <f t="shared" si="338"/>
        <v>CANCON</v>
      </c>
      <c r="B293" s="9" t="str">
        <f>IF(ISBLANK(A290),"",LEFT(B292,27)&amp;VALUE(RIGHT(B292,1)+1))</f>
        <v>JKS240702CANCON_40C_sample_4</v>
      </c>
      <c r="C293" s="6" t="str">
        <f t="shared" ref="C293:D293" si="341">C292</f>
        <v>Cannomois congesta</v>
      </c>
      <c r="D293" s="6" t="str">
        <f t="shared" si="341"/>
        <v>40C</v>
      </c>
      <c r="E293" s="10">
        <f>IF(ISBLANK(A290),"",E292+1)</f>
        <v>4</v>
      </c>
      <c r="F293" s="11">
        <f t="shared" si="340"/>
        <v>45478.35208</v>
      </c>
      <c r="G293" s="8">
        <v>0.974</v>
      </c>
    </row>
    <row r="294">
      <c r="A294" s="9" t="str">
        <f t="shared" si="338"/>
        <v>CANCON</v>
      </c>
      <c r="B294" s="9" t="str">
        <f>IF(ISBLANK(A290),"",LEFT(B293,27)&amp;VALUE(RIGHT(B293,1)+1))</f>
        <v>JKS240702CANCON_40C_sample_5</v>
      </c>
      <c r="C294" s="6" t="str">
        <f t="shared" ref="C294:D294" si="342">C293</f>
        <v>Cannomois congesta</v>
      </c>
      <c r="D294" s="6" t="str">
        <f t="shared" si="342"/>
        <v>40C</v>
      </c>
      <c r="E294" s="10">
        <f>IF(ISBLANK(A290),"",E293+1)</f>
        <v>5</v>
      </c>
      <c r="F294" s="11">
        <f t="shared" si="340"/>
        <v>45478.35208</v>
      </c>
      <c r="G294" s="8">
        <v>0.529</v>
      </c>
    </row>
    <row r="295">
      <c r="A295" s="12" t="str">
        <f t="shared" si="338"/>
        <v>CANCON</v>
      </c>
      <c r="B295" s="12" t="str">
        <f>IF(ISBLANK(A290),"",LEFT(B294,27)&amp;VALUE(RIGHT(B294,1)+1))</f>
        <v>JKS240702CANCON_40C_sample_6</v>
      </c>
      <c r="C295" s="13" t="str">
        <f t="shared" ref="C295:D295" si="343">C294</f>
        <v>Cannomois congesta</v>
      </c>
      <c r="D295" s="13" t="str">
        <f t="shared" si="343"/>
        <v>40C</v>
      </c>
      <c r="E295" s="14">
        <f>IF(ISBLANK(A290),"",E294+1)</f>
        <v>6</v>
      </c>
      <c r="F295" s="15">
        <f t="shared" si="340"/>
        <v>45478.35208</v>
      </c>
      <c r="G295" s="16">
        <v>1.071</v>
      </c>
    </row>
    <row r="296">
      <c r="A296" s="5" t="s">
        <v>7</v>
      </c>
      <c r="B296" s="6" t="str">
        <f t="array" ref="B296">IF(ISBLANK(A296),"",IF(A296="PROREP (L)",VLOOKUP(LEFT($A296,6),'Data Feed (40C)'!$A$1:$G$10,2,FALSE),IF(A296="PROREP (S)", INDEX('Data Feed (40C)'!B:B, MATCH(LEFT($A296,6), 'Data Feed (40C)'!$A$1:$A$10, 0) + 1), VLOOKUP($A296,'Data Feed (40C)'!$A$1:$G$10,2,FALSE))))</f>
        <v>JKS240702ERIMON_40C_sample_1</v>
      </c>
      <c r="C296" s="6" t="str">
        <f t="array" ref="C296">IF(ISBLANK(A296),"",IF(A296="PROREP (L)",VLOOKUP(LEFT($A296,6),'Data Feed (40C)'!$A$1:$G$10,3,FALSE),IF(A296="PROREP (S)", INDEX('Data Feed (40C)'!C:C, MATCH(LEFT($A296,6), 'Data Feed (40C)'!$A$1:$A$10, 0) + 1, +1), VLOOKUP($A296,'Data Feed (40C)'!$A$1:$G$10,3,FALSE))))</f>
        <v>Erica monsoniana</v>
      </c>
      <c r="D296" s="6" t="str">
        <f t="array" ref="D296">IF(ISBLANK(A296),"",IF(A296="PROREP (L)",VLOOKUP(LEFT($A296,6),'Data Feed (40C)'!$A$1:$G$10,4,FALSE),IF(A296="PROREP (S)", INDEX('Data Feed (40C)'!D:D, MATCH(LEFT($A296,6), 'Data Feed (40C)'!$A$1:$A$10, 0) + 1, +1), VLOOKUP($A296,'Data Feed (40C)'!$A$1:$G$10,4,FALSE))))</f>
        <v>40C</v>
      </c>
      <c r="E296" s="6">
        <f t="array" ref="E296">IF(ISBLANK(A296),"",IF(A296="PROREP (L)",VLOOKUP(LEFT($A296,6),'Data Feed (40C)'!$A$1:$G$10,7,FALSE),IF(A296="PROREP (S)", INDEX('Data Feed (40C)'!G:G, MATCH(LEFT($A296,6), 'Data Feed (40C)'!$A$1:$A$10, 0) + 1, +1), VLOOKUP($A296,'Data Feed (40C)'!$A$1:$G$10,7,FALSE))))</f>
        <v>1</v>
      </c>
      <c r="F296" s="7">
        <v>45478.49375</v>
      </c>
      <c r="G296" s="8">
        <v>0.738</v>
      </c>
    </row>
    <row r="297">
      <c r="A297" s="9" t="str">
        <f t="shared" ref="A297:A301" si="345">A296</f>
        <v>ERIMON</v>
      </c>
      <c r="B297" s="9" t="str">
        <f>IF(ISBLANK(A296),"",LEFT(B296,27)&amp;VALUE(RIGHT(B296,1)+1))</f>
        <v>JKS240702ERIMON_40C_sample_2</v>
      </c>
      <c r="C297" s="6" t="str">
        <f t="shared" ref="C297:D297" si="344">C296</f>
        <v>Erica monsoniana</v>
      </c>
      <c r="D297" s="6" t="str">
        <f t="shared" si="344"/>
        <v>40C</v>
      </c>
      <c r="E297" s="10">
        <f>IF(ISBLANK(A296),"",E296+1)</f>
        <v>2</v>
      </c>
      <c r="F297" s="11">
        <f t="shared" ref="F297:F301" si="347">F296</f>
        <v>45478.49375</v>
      </c>
      <c r="G297" s="8">
        <v>0.833</v>
      </c>
    </row>
    <row r="298">
      <c r="A298" s="9" t="str">
        <f t="shared" si="345"/>
        <v>ERIMON</v>
      </c>
      <c r="B298" s="9" t="str">
        <f>IF(ISBLANK(A296),"",LEFT(B297,27)&amp;VALUE(RIGHT(B297,1)+1))</f>
        <v>JKS240702ERIMON_40C_sample_3</v>
      </c>
      <c r="C298" s="6" t="str">
        <f t="shared" ref="C298:D298" si="346">C297</f>
        <v>Erica monsoniana</v>
      </c>
      <c r="D298" s="6" t="str">
        <f t="shared" si="346"/>
        <v>40C</v>
      </c>
      <c r="E298" s="10">
        <f>IF(ISBLANK(A296),"",E297+1)</f>
        <v>3</v>
      </c>
      <c r="F298" s="11">
        <f t="shared" si="347"/>
        <v>45478.49375</v>
      </c>
      <c r="G298" s="8">
        <v>0.773</v>
      </c>
    </row>
    <row r="299">
      <c r="A299" s="9" t="str">
        <f t="shared" si="345"/>
        <v>ERIMON</v>
      </c>
      <c r="B299" s="9" t="str">
        <f>IF(ISBLANK(A296),"",LEFT(B298,27)&amp;VALUE(RIGHT(B298,1)+1))</f>
        <v>JKS240702ERIMON_40C_sample_4</v>
      </c>
      <c r="C299" s="6" t="str">
        <f t="shared" ref="C299:D299" si="348">C298</f>
        <v>Erica monsoniana</v>
      </c>
      <c r="D299" s="6" t="str">
        <f t="shared" si="348"/>
        <v>40C</v>
      </c>
      <c r="E299" s="10">
        <f>IF(ISBLANK(A296),"",E298+1)</f>
        <v>4</v>
      </c>
      <c r="F299" s="11">
        <f t="shared" si="347"/>
        <v>45478.49375</v>
      </c>
      <c r="G299" s="8">
        <v>1.782</v>
      </c>
    </row>
    <row r="300">
      <c r="A300" s="9" t="str">
        <f t="shared" si="345"/>
        <v>ERIMON</v>
      </c>
      <c r="B300" s="9" t="str">
        <f>IF(ISBLANK(A296),"",LEFT(B299,27)&amp;VALUE(RIGHT(B299,1)+1))</f>
        <v>JKS240702ERIMON_40C_sample_5</v>
      </c>
      <c r="C300" s="6" t="str">
        <f t="shared" ref="C300:D300" si="349">C299</f>
        <v>Erica monsoniana</v>
      </c>
      <c r="D300" s="6" t="str">
        <f t="shared" si="349"/>
        <v>40C</v>
      </c>
      <c r="E300" s="10">
        <f>IF(ISBLANK(A296),"",E299+1)</f>
        <v>5</v>
      </c>
      <c r="F300" s="11">
        <f t="shared" si="347"/>
        <v>45478.49375</v>
      </c>
      <c r="G300" s="8">
        <v>0.654</v>
      </c>
    </row>
    <row r="301">
      <c r="A301" s="12" t="str">
        <f t="shared" si="345"/>
        <v>ERIMON</v>
      </c>
      <c r="B301" s="12" t="str">
        <f>IF(ISBLANK(A296),"",LEFT(B300,27)&amp;VALUE(RIGHT(B300,1)+1))</f>
        <v>JKS240702ERIMON_40C_sample_6</v>
      </c>
      <c r="C301" s="13" t="str">
        <f t="shared" ref="C301:D301" si="350">C300</f>
        <v>Erica monsoniana</v>
      </c>
      <c r="D301" s="13" t="str">
        <f t="shared" si="350"/>
        <v>40C</v>
      </c>
      <c r="E301" s="14">
        <f>IF(ISBLANK(A296),"",E300+1)</f>
        <v>6</v>
      </c>
      <c r="F301" s="15">
        <f t="shared" si="347"/>
        <v>45478.49375</v>
      </c>
      <c r="G301" s="16">
        <v>1.023</v>
      </c>
    </row>
    <row r="302">
      <c r="A302" s="5" t="s">
        <v>8</v>
      </c>
      <c r="B302" s="6" t="str">
        <f t="array" ref="B302">IF(ISBLANK(A302),"",IF(A302="PROREP (L)",VLOOKUP(LEFT($A302,6),'Data Feed (40C)'!$A$1:$G$10,2,FALSE),IF(A302="PROREP (S)", INDEX('Data Feed (40C)'!B:B, MATCH(LEFT($A302,6), 'Data Feed (40C)'!$A$1:$A$10, 0) + 1), VLOOKUP($A302,'Data Feed (40C)'!$A$1:$G$10,2,FALSE))))</f>
        <v>JKL240702PROREP_40C_sample_1</v>
      </c>
      <c r="C302" s="6" t="str">
        <f t="array" ref="C302">IF(ISBLANK(A302),"",IF(A302="PROREP (L)",VLOOKUP(LEFT($A302,6),'Data Feed (40C)'!$A$1:$G$10,3,FALSE),IF(A302="PROREP (S)", INDEX('Data Feed (40C)'!C:C, MATCH(LEFT($A302,6), 'Data Feed (40C)'!$A$1:$A$10, 0) + 1, +1), VLOOKUP($A302,'Data Feed (40C)'!$A$1:$G$10,3,FALSE))))</f>
        <v>Protea repens</v>
      </c>
      <c r="D302" s="6" t="str">
        <f t="array" ref="D302">IF(ISBLANK(A302),"",IF(A302="PROREP (L)",VLOOKUP(LEFT($A302,6),'Data Feed (40C)'!$A$1:$G$10,4,FALSE),IF(A302="PROREP (S)", INDEX('Data Feed (40C)'!D:D, MATCH(LEFT($A302,6), 'Data Feed (40C)'!$A$1:$A$10, 0) + 1, +1), VLOOKUP($A302,'Data Feed (40C)'!$A$1:$G$10,4,FALSE))))</f>
        <v>40C</v>
      </c>
      <c r="E302" s="6">
        <f t="array" ref="E302">IF(ISBLANK(A302),"",IF(A302="PROREP (L)",VLOOKUP(LEFT($A302,6),'Data Feed (40C)'!$A$1:$G$10,7,FALSE),IF(A302="PROREP (S)", INDEX('Data Feed (40C)'!G:G, MATCH(LEFT($A302,6), 'Data Feed (40C)'!$A$1:$A$10, 0) + 1, +1), VLOOKUP($A302,'Data Feed (40C)'!$A$1:$G$10,7,FALSE))))</f>
        <v>1</v>
      </c>
      <c r="F302" s="7">
        <v>45478.49513888889</v>
      </c>
      <c r="G302" s="8">
        <v>0.276</v>
      </c>
    </row>
    <row r="303">
      <c r="A303" s="9" t="str">
        <f t="shared" ref="A303:A307" si="352">A302</f>
        <v>PROREP (L)</v>
      </c>
      <c r="B303" s="9" t="str">
        <f>IF(ISBLANK(A302),"",LEFT(B302,27)&amp;VALUE(RIGHT(B302,1)+1))</f>
        <v>JKL240702PROREP_40C_sample_2</v>
      </c>
      <c r="C303" s="6" t="str">
        <f t="shared" ref="C303:D303" si="351">C302</f>
        <v>Protea repens</v>
      </c>
      <c r="D303" s="6" t="str">
        <f t="shared" si="351"/>
        <v>40C</v>
      </c>
      <c r="E303" s="10">
        <f>IF(ISBLANK(A302),"",E302+1)</f>
        <v>2</v>
      </c>
      <c r="F303" s="11">
        <f t="shared" ref="F303:F307" si="354">F302</f>
        <v>45478.49514</v>
      </c>
      <c r="G303" s="8">
        <v>0.256</v>
      </c>
    </row>
    <row r="304">
      <c r="A304" s="9" t="str">
        <f t="shared" si="352"/>
        <v>PROREP (L)</v>
      </c>
      <c r="B304" s="9" t="str">
        <f>IF(ISBLANK(A302),"",LEFT(B303,27)&amp;VALUE(RIGHT(B303,1)+1))</f>
        <v>JKL240702PROREP_40C_sample_3</v>
      </c>
      <c r="C304" s="6" t="str">
        <f t="shared" ref="C304:D304" si="353">C303</f>
        <v>Protea repens</v>
      </c>
      <c r="D304" s="6" t="str">
        <f t="shared" si="353"/>
        <v>40C</v>
      </c>
      <c r="E304" s="10">
        <f>IF(ISBLANK(A302),"",E303+1)</f>
        <v>3</v>
      </c>
      <c r="F304" s="11">
        <f t="shared" si="354"/>
        <v>45478.49514</v>
      </c>
      <c r="G304" s="8">
        <v>0.286</v>
      </c>
    </row>
    <row r="305">
      <c r="A305" s="9" t="str">
        <f t="shared" si="352"/>
        <v>PROREP (L)</v>
      </c>
      <c r="B305" s="9" t="str">
        <f>IF(ISBLANK(A302),"",LEFT(B304,27)&amp;VALUE(RIGHT(B304,1)+1))</f>
        <v>JKL240702PROREP_40C_sample_4</v>
      </c>
      <c r="C305" s="6" t="str">
        <f t="shared" ref="C305:D305" si="355">C304</f>
        <v>Protea repens</v>
      </c>
      <c r="D305" s="6" t="str">
        <f t="shared" si="355"/>
        <v>40C</v>
      </c>
      <c r="E305" s="10">
        <f>IF(ISBLANK(A302),"",E304+1)</f>
        <v>4</v>
      </c>
      <c r="F305" s="11">
        <f t="shared" si="354"/>
        <v>45478.49514</v>
      </c>
      <c r="G305" s="8">
        <v>0.144</v>
      </c>
    </row>
    <row r="306">
      <c r="A306" s="9" t="str">
        <f t="shared" si="352"/>
        <v>PROREP (L)</v>
      </c>
      <c r="B306" s="9" t="str">
        <f>IF(ISBLANK(A302),"",LEFT(B305,27)&amp;VALUE(RIGHT(B305,1)+1))</f>
        <v>JKL240702PROREP_40C_sample_5</v>
      </c>
      <c r="C306" s="6" t="str">
        <f t="shared" ref="C306:D306" si="356">C305</f>
        <v>Protea repens</v>
      </c>
      <c r="D306" s="6" t="str">
        <f t="shared" si="356"/>
        <v>40C</v>
      </c>
      <c r="E306" s="10">
        <f>IF(ISBLANK(A302),"",E305+1)</f>
        <v>5</v>
      </c>
      <c r="F306" s="11">
        <f t="shared" si="354"/>
        <v>45478.49514</v>
      </c>
      <c r="G306" s="8">
        <v>0.196</v>
      </c>
    </row>
    <row r="307">
      <c r="A307" s="12" t="str">
        <f t="shared" si="352"/>
        <v>PROREP (L)</v>
      </c>
      <c r="B307" s="12" t="str">
        <f>IF(ISBLANK(A302),"",LEFT(B306,27)&amp;VALUE(RIGHT(B306,1)+1))</f>
        <v>JKL240702PROREP_40C_sample_6</v>
      </c>
      <c r="C307" s="13" t="str">
        <f t="shared" ref="C307:D307" si="357">C306</f>
        <v>Protea repens</v>
      </c>
      <c r="D307" s="13" t="str">
        <f t="shared" si="357"/>
        <v>40C</v>
      </c>
      <c r="E307" s="14">
        <f>IF(ISBLANK(A302),"",E306+1)</f>
        <v>6</v>
      </c>
      <c r="F307" s="15">
        <f t="shared" si="354"/>
        <v>45478.49514</v>
      </c>
      <c r="G307" s="16">
        <v>0.237</v>
      </c>
    </row>
    <row r="308">
      <c r="A308" s="5" t="s">
        <v>9</v>
      </c>
      <c r="B308" s="6" t="str">
        <f t="array" ref="B308">IF(ISBLANK(A308),"",IF(A308="PROREP (L)",VLOOKUP(LEFT($A308,6),'Data Feed (40C)'!$A$1:$G$10,2,FALSE),IF(A308="PROREP (S)", INDEX('Data Feed (40C)'!B:B, MATCH(LEFT($A308,6), 'Data Feed (40C)'!$A$1:$A$10, 0) + 1), VLOOKUP($A308,'Data Feed (40C)'!$A$1:$G$10,2,FALSE))))</f>
        <v>JKS240702PROREP_40C_sample_1</v>
      </c>
      <c r="C308" s="6" t="str">
        <f t="array" ref="C308">IF(ISBLANK(A308),"",IF(A308="PROREP (L)",VLOOKUP(LEFT($A308,6),'Data Feed (40C)'!$A$1:$G$10,3,FALSE),IF(A308="PROREP (S)", INDEX('Data Feed (40C)'!C:C, MATCH(LEFT($A308,6), 'Data Feed (40C)'!$A$1:$A$10, 0) + 1, +1), VLOOKUP($A308,'Data Feed (40C)'!$A$1:$G$10,3,FALSE))))</f>
        <v>Protea repens</v>
      </c>
      <c r="D308" s="6" t="str">
        <f t="array" ref="D308">IF(ISBLANK(A308),"",IF(A308="PROREP (L)",VLOOKUP(LEFT($A308,6),'Data Feed (40C)'!$A$1:$G$10,4,FALSE),IF(A308="PROREP (S)", INDEX('Data Feed (40C)'!D:D, MATCH(LEFT($A308,6), 'Data Feed (40C)'!$A$1:$A$10, 0) + 1, +1), VLOOKUP($A308,'Data Feed (40C)'!$A$1:$G$10,4,FALSE))))</f>
        <v>40C</v>
      </c>
      <c r="E308" s="6">
        <f t="array" ref="E308">IF(ISBLANK(A308),"",IF(A308="PROREP (L)",VLOOKUP(LEFT($A308,6),'Data Feed (40C)'!$A$1:$G$10,7,FALSE),IF(A308="PROREP (S)", INDEX('Data Feed (40C)'!G:G, MATCH(LEFT($A308,6), 'Data Feed (40C)'!$A$1:$A$10, 0) + 1, +1), VLOOKUP($A308,'Data Feed (40C)'!$A$1:$G$10,7,FALSE))))</f>
        <v>1</v>
      </c>
      <c r="F308" s="7">
        <v>45478.49652777778</v>
      </c>
      <c r="G308" s="8">
        <v>3.746</v>
      </c>
    </row>
    <row r="309">
      <c r="A309" s="9" t="str">
        <f t="shared" ref="A309:A313" si="359">A308</f>
        <v>PROREP (S)</v>
      </c>
      <c r="B309" s="9" t="str">
        <f>IF(ISBLANK(A308),"",LEFT(B308,27)&amp;VALUE(RIGHT(B308,1)+1))</f>
        <v>JKS240702PROREP_40C_sample_2</v>
      </c>
      <c r="C309" s="6" t="str">
        <f t="shared" ref="C309:D309" si="358">C308</f>
        <v>Protea repens</v>
      </c>
      <c r="D309" s="6" t="str">
        <f t="shared" si="358"/>
        <v>40C</v>
      </c>
      <c r="E309" s="10">
        <f>IF(ISBLANK(A308),"",E308+1)</f>
        <v>2</v>
      </c>
      <c r="F309" s="11">
        <f t="shared" ref="F309:F313" si="361">F308</f>
        <v>45478.49653</v>
      </c>
      <c r="G309" s="8">
        <v>5.922</v>
      </c>
    </row>
    <row r="310">
      <c r="A310" s="9" t="str">
        <f t="shared" si="359"/>
        <v>PROREP (S)</v>
      </c>
      <c r="B310" s="9" t="str">
        <f>IF(ISBLANK(A308),"",LEFT(B309,27)&amp;VALUE(RIGHT(B309,1)+1))</f>
        <v>JKS240702PROREP_40C_sample_3</v>
      </c>
      <c r="C310" s="6" t="str">
        <f t="shared" ref="C310:D310" si="360">C309</f>
        <v>Protea repens</v>
      </c>
      <c r="D310" s="6" t="str">
        <f t="shared" si="360"/>
        <v>40C</v>
      </c>
      <c r="E310" s="10">
        <f>IF(ISBLANK(A308),"",E309+1)</f>
        <v>3</v>
      </c>
      <c r="F310" s="11">
        <f t="shared" si="361"/>
        <v>45478.49653</v>
      </c>
      <c r="G310" s="8">
        <v>2.383</v>
      </c>
    </row>
    <row r="311">
      <c r="A311" s="9" t="str">
        <f t="shared" si="359"/>
        <v>PROREP (S)</v>
      </c>
      <c r="B311" s="9" t="str">
        <f>IF(ISBLANK(A308),"",LEFT(B310,27)&amp;VALUE(RIGHT(B310,1)+1))</f>
        <v>JKS240702PROREP_40C_sample_4</v>
      </c>
      <c r="C311" s="6" t="str">
        <f t="shared" ref="C311:D311" si="362">C310</f>
        <v>Protea repens</v>
      </c>
      <c r="D311" s="6" t="str">
        <f t="shared" si="362"/>
        <v>40C</v>
      </c>
      <c r="E311" s="10">
        <f>IF(ISBLANK(A308),"",E310+1)</f>
        <v>4</v>
      </c>
      <c r="F311" s="11">
        <f t="shared" si="361"/>
        <v>45478.49653</v>
      </c>
      <c r="G311" s="8">
        <v>0.945</v>
      </c>
    </row>
    <row r="312">
      <c r="A312" s="9" t="str">
        <f t="shared" si="359"/>
        <v>PROREP (S)</v>
      </c>
      <c r="B312" s="9" t="str">
        <f>IF(ISBLANK(A308),"",LEFT(B311,27)&amp;VALUE(RIGHT(B311,1)+1))</f>
        <v>JKS240702PROREP_40C_sample_5</v>
      </c>
      <c r="C312" s="6" t="str">
        <f t="shared" ref="C312:D312" si="363">C311</f>
        <v>Protea repens</v>
      </c>
      <c r="D312" s="6" t="str">
        <f t="shared" si="363"/>
        <v>40C</v>
      </c>
      <c r="E312" s="10">
        <f>IF(ISBLANK(A308),"",E311+1)</f>
        <v>5</v>
      </c>
      <c r="F312" s="11">
        <f t="shared" si="361"/>
        <v>45478.49653</v>
      </c>
      <c r="G312" s="8">
        <v>3.677</v>
      </c>
    </row>
    <row r="313">
      <c r="A313" s="12" t="str">
        <f t="shared" si="359"/>
        <v>PROREP (S)</v>
      </c>
      <c r="B313" s="12" t="str">
        <f>IF(ISBLANK(A308),"",LEFT(B312,27)&amp;VALUE(RIGHT(B312,1)+1))</f>
        <v>JKS240702PROREP_40C_sample_6</v>
      </c>
      <c r="C313" s="13" t="str">
        <f t="shared" ref="C313:D313" si="364">C312</f>
        <v>Protea repens</v>
      </c>
      <c r="D313" s="13" t="str">
        <f t="shared" si="364"/>
        <v>40C</v>
      </c>
      <c r="E313" s="14">
        <f>IF(ISBLANK(A308),"",E312+1)</f>
        <v>6</v>
      </c>
      <c r="F313" s="15">
        <f t="shared" si="361"/>
        <v>45478.49653</v>
      </c>
      <c r="G313" s="16">
        <v>5.377</v>
      </c>
    </row>
    <row r="314">
      <c r="A314" s="5" t="s">
        <v>10</v>
      </c>
      <c r="B314" s="6" t="str">
        <f t="array" ref="B314">IF(ISBLANK(A314),"",IF(A314="PROREP (L)",VLOOKUP(LEFT($A314,6),'Data Feed (40C)'!$A$1:$G$10,2,FALSE),IF(A314="PROREP (S)", INDEX('Data Feed (40C)'!B:B, MATCH(LEFT($A314,6), 'Data Feed (40C)'!$A$1:$A$10, 0) + 1), VLOOKUP($A314,'Data Feed (40C)'!$A$1:$G$10,2,FALSE))))</f>
        <v>JKS240702CANCON_40C_sample_1</v>
      </c>
      <c r="C314" s="6" t="str">
        <f t="array" ref="C314">IF(ISBLANK(A314),"",IF(A314="PROREP (L)",VLOOKUP(LEFT($A314,6),'Data Feed (40C)'!$A$1:$G$10,3,FALSE),IF(A314="PROREP (S)", INDEX('Data Feed (40C)'!C:C, MATCH(LEFT($A314,6), 'Data Feed (40C)'!$A$1:$A$10, 0) + 1, +1), VLOOKUP($A314,'Data Feed (40C)'!$A$1:$G$10,3,FALSE))))</f>
        <v>Cannomois congesta</v>
      </c>
      <c r="D314" s="6" t="str">
        <f t="array" ref="D314">IF(ISBLANK(A314),"",IF(A314="PROREP (L)",VLOOKUP(LEFT($A314,6),'Data Feed (40C)'!$A$1:$G$10,4,FALSE),IF(A314="PROREP (S)", INDEX('Data Feed (40C)'!D:D, MATCH(LEFT($A314,6), 'Data Feed (40C)'!$A$1:$A$10, 0) + 1, +1), VLOOKUP($A314,'Data Feed (40C)'!$A$1:$G$10,4,FALSE))))</f>
        <v>40C</v>
      </c>
      <c r="E314" s="6">
        <f t="array" ref="E314">IF(ISBLANK(A314),"",IF(A314="PROREP (L)",VLOOKUP(LEFT($A314,6),'Data Feed (40C)'!$A$1:$G$10,7,FALSE),IF(A314="PROREP (S)", INDEX('Data Feed (40C)'!G:G, MATCH(LEFT($A314,6), 'Data Feed (40C)'!$A$1:$A$10, 0) + 1, +1), VLOOKUP($A314,'Data Feed (40C)'!$A$1:$G$10,7,FALSE))))</f>
        <v>1</v>
      </c>
      <c r="F314" s="7">
        <v>45478.49791666667</v>
      </c>
      <c r="G314" s="8">
        <v>0.546</v>
      </c>
    </row>
    <row r="315">
      <c r="A315" s="9" t="str">
        <f t="shared" ref="A315:A319" si="366">A314</f>
        <v>CANCON</v>
      </c>
      <c r="B315" s="9" t="str">
        <f>IF(ISBLANK(A314),"",LEFT(B314,27)&amp;VALUE(RIGHT(B314,1)+1))</f>
        <v>JKS240702CANCON_40C_sample_2</v>
      </c>
      <c r="C315" s="6" t="str">
        <f t="shared" ref="C315:D315" si="365">C314</f>
        <v>Cannomois congesta</v>
      </c>
      <c r="D315" s="6" t="str">
        <f t="shared" si="365"/>
        <v>40C</v>
      </c>
      <c r="E315" s="10">
        <f>IF(ISBLANK(A314),"",E314+1)</f>
        <v>2</v>
      </c>
      <c r="F315" s="11">
        <f t="shared" ref="F315:F319" si="368">F314</f>
        <v>45478.49792</v>
      </c>
      <c r="G315" s="8">
        <v>1.315</v>
      </c>
    </row>
    <row r="316">
      <c r="A316" s="9" t="str">
        <f t="shared" si="366"/>
        <v>CANCON</v>
      </c>
      <c r="B316" s="9" t="str">
        <f>IF(ISBLANK(A314),"",LEFT(B315,27)&amp;VALUE(RIGHT(B315,1)+1))</f>
        <v>JKS240702CANCON_40C_sample_3</v>
      </c>
      <c r="C316" s="6" t="str">
        <f t="shared" ref="C316:D316" si="367">C315</f>
        <v>Cannomois congesta</v>
      </c>
      <c r="D316" s="6" t="str">
        <f t="shared" si="367"/>
        <v>40C</v>
      </c>
      <c r="E316" s="10">
        <f>IF(ISBLANK(A314),"",E315+1)</f>
        <v>3</v>
      </c>
      <c r="F316" s="11">
        <f t="shared" si="368"/>
        <v>45478.49792</v>
      </c>
      <c r="G316" s="8">
        <v>0.622</v>
      </c>
    </row>
    <row r="317">
      <c r="A317" s="9" t="str">
        <f t="shared" si="366"/>
        <v>CANCON</v>
      </c>
      <c r="B317" s="9" t="str">
        <f>IF(ISBLANK(A314),"",LEFT(B316,27)&amp;VALUE(RIGHT(B316,1)+1))</f>
        <v>JKS240702CANCON_40C_sample_4</v>
      </c>
      <c r="C317" s="6" t="str">
        <f t="shared" ref="C317:D317" si="369">C316</f>
        <v>Cannomois congesta</v>
      </c>
      <c r="D317" s="6" t="str">
        <f t="shared" si="369"/>
        <v>40C</v>
      </c>
      <c r="E317" s="10">
        <f>IF(ISBLANK(A314),"",E316+1)</f>
        <v>4</v>
      </c>
      <c r="F317" s="11">
        <f t="shared" si="368"/>
        <v>45478.49792</v>
      </c>
      <c r="G317" s="8">
        <v>0.917</v>
      </c>
    </row>
    <row r="318">
      <c r="A318" s="9" t="str">
        <f t="shared" si="366"/>
        <v>CANCON</v>
      </c>
      <c r="B318" s="9" t="str">
        <f>IF(ISBLANK(A314),"",LEFT(B317,27)&amp;VALUE(RIGHT(B317,1)+1))</f>
        <v>JKS240702CANCON_40C_sample_5</v>
      </c>
      <c r="C318" s="6" t="str">
        <f t="shared" ref="C318:D318" si="370">C317</f>
        <v>Cannomois congesta</v>
      </c>
      <c r="D318" s="6" t="str">
        <f t="shared" si="370"/>
        <v>40C</v>
      </c>
      <c r="E318" s="10">
        <f>IF(ISBLANK(A314),"",E317+1)</f>
        <v>5</v>
      </c>
      <c r="F318" s="11">
        <f t="shared" si="368"/>
        <v>45478.49792</v>
      </c>
      <c r="G318" s="8">
        <v>0.524</v>
      </c>
    </row>
    <row r="319">
      <c r="A319" s="12" t="str">
        <f t="shared" si="366"/>
        <v>CANCON</v>
      </c>
      <c r="B319" s="12" t="str">
        <f>IF(ISBLANK(A314),"",LEFT(B318,27)&amp;VALUE(RIGHT(B318,1)+1))</f>
        <v>JKS240702CANCON_40C_sample_6</v>
      </c>
      <c r="C319" s="13" t="str">
        <f t="shared" ref="C319:D319" si="371">C318</f>
        <v>Cannomois congesta</v>
      </c>
      <c r="D319" s="13" t="str">
        <f t="shared" si="371"/>
        <v>40C</v>
      </c>
      <c r="E319" s="14">
        <f>IF(ISBLANK(A314),"",E318+1)</f>
        <v>6</v>
      </c>
      <c r="F319" s="15">
        <f t="shared" si="368"/>
        <v>45478.49792</v>
      </c>
      <c r="G319" s="16">
        <v>1.044</v>
      </c>
    </row>
    <row r="320">
      <c r="A320" s="5" t="s">
        <v>7</v>
      </c>
      <c r="B320" s="6" t="str">
        <f t="array" ref="B320">IF(ISBLANK(A320),"",IF(A320="PROREP (L)",VLOOKUP(LEFT($A320,6),'Data Feed (40C)'!$A$1:$G$10,2,FALSE),IF(A320="PROREP (S)", INDEX('Data Feed (40C)'!B:B, MATCH(LEFT($A320,6), 'Data Feed (40C)'!$A$1:$A$10, 0) + 1), VLOOKUP($A320,'Data Feed (40C)'!$A$1:$G$10,2,FALSE))))</f>
        <v>JKS240702ERIMON_40C_sample_1</v>
      </c>
      <c r="C320" s="6" t="str">
        <f t="array" ref="C320">IF(ISBLANK(A320),"",IF(A320="PROREP (L)",VLOOKUP(LEFT($A320,6),'Data Feed (40C)'!$A$1:$G$10,3,FALSE),IF(A320="PROREP (S)", INDEX('Data Feed (40C)'!C:C, MATCH(LEFT($A320,6), 'Data Feed (40C)'!$A$1:$A$10, 0) + 1, +1), VLOOKUP($A320,'Data Feed (40C)'!$A$1:$G$10,3,FALSE))))</f>
        <v>Erica monsoniana</v>
      </c>
      <c r="D320" s="6" t="str">
        <f t="array" ref="D320">IF(ISBLANK(A320),"",IF(A320="PROREP (L)",VLOOKUP(LEFT($A320,6),'Data Feed (40C)'!$A$1:$G$10,4,FALSE),IF(A320="PROREP (S)", INDEX('Data Feed (40C)'!D:D, MATCH(LEFT($A320,6), 'Data Feed (40C)'!$A$1:$A$10, 0) + 1, +1), VLOOKUP($A320,'Data Feed (40C)'!$A$1:$G$10,4,FALSE))))</f>
        <v>40C</v>
      </c>
      <c r="E320" s="6">
        <f t="array" ref="E320">IF(ISBLANK(A320),"",IF(A320="PROREP (L)",VLOOKUP(LEFT($A320,6),'Data Feed (40C)'!$A$1:$G$10,7,FALSE),IF(A320="PROREP (S)", INDEX('Data Feed (40C)'!G:G, MATCH(LEFT($A320,6), 'Data Feed (40C)'!$A$1:$A$10, 0) + 1, +1), VLOOKUP($A320,'Data Feed (40C)'!$A$1:$G$10,7,FALSE))))</f>
        <v>1</v>
      </c>
      <c r="F320" s="7">
        <v>45478.597916666666</v>
      </c>
      <c r="G320" s="8">
        <v>0.731</v>
      </c>
    </row>
    <row r="321">
      <c r="A321" s="9" t="str">
        <f t="shared" ref="A321:A325" si="373">A320</f>
        <v>ERIMON</v>
      </c>
      <c r="B321" s="9" t="str">
        <f>IF(ISBLANK(A320),"",LEFT(B320,27)&amp;VALUE(RIGHT(B320,1)+1))</f>
        <v>JKS240702ERIMON_40C_sample_2</v>
      </c>
      <c r="C321" s="6" t="str">
        <f t="shared" ref="C321:D321" si="372">C320</f>
        <v>Erica monsoniana</v>
      </c>
      <c r="D321" s="6" t="str">
        <f t="shared" si="372"/>
        <v>40C</v>
      </c>
      <c r="E321" s="10">
        <f>IF(ISBLANK(A320),"",E320+1)</f>
        <v>2</v>
      </c>
      <c r="F321" s="11">
        <f t="shared" ref="F321:F325" si="375">F320</f>
        <v>45478.59792</v>
      </c>
      <c r="G321" s="8">
        <v>0.818</v>
      </c>
    </row>
    <row r="322">
      <c r="A322" s="9" t="str">
        <f t="shared" si="373"/>
        <v>ERIMON</v>
      </c>
      <c r="B322" s="9" t="str">
        <f>IF(ISBLANK(A320),"",LEFT(B321,27)&amp;VALUE(RIGHT(B321,1)+1))</f>
        <v>JKS240702ERIMON_40C_sample_3</v>
      </c>
      <c r="C322" s="6" t="str">
        <f t="shared" ref="C322:D322" si="374">C321</f>
        <v>Erica monsoniana</v>
      </c>
      <c r="D322" s="6" t="str">
        <f t="shared" si="374"/>
        <v>40C</v>
      </c>
      <c r="E322" s="10">
        <f>IF(ISBLANK(A320),"",E321+1)</f>
        <v>3</v>
      </c>
      <c r="F322" s="11">
        <f t="shared" si="375"/>
        <v>45478.59792</v>
      </c>
      <c r="G322" s="8">
        <v>0.756</v>
      </c>
    </row>
    <row r="323">
      <c r="A323" s="9" t="str">
        <f t="shared" si="373"/>
        <v>ERIMON</v>
      </c>
      <c r="B323" s="9" t="str">
        <f>IF(ISBLANK(A320),"",LEFT(B322,27)&amp;VALUE(RIGHT(B322,1)+1))</f>
        <v>JKS240702ERIMON_40C_sample_4</v>
      </c>
      <c r="C323" s="6" t="str">
        <f t="shared" ref="C323:D323" si="376">C322</f>
        <v>Erica monsoniana</v>
      </c>
      <c r="D323" s="6" t="str">
        <f t="shared" si="376"/>
        <v>40C</v>
      </c>
      <c r="E323" s="10">
        <f>IF(ISBLANK(A320),"",E322+1)</f>
        <v>4</v>
      </c>
      <c r="F323" s="11">
        <f t="shared" si="375"/>
        <v>45478.59792</v>
      </c>
      <c r="G323" s="8">
        <v>1.763</v>
      </c>
    </row>
    <row r="324">
      <c r="A324" s="9" t="str">
        <f t="shared" si="373"/>
        <v>ERIMON</v>
      </c>
      <c r="B324" s="9" t="str">
        <f>IF(ISBLANK(A320),"",LEFT(B323,27)&amp;VALUE(RIGHT(B323,1)+1))</f>
        <v>JKS240702ERIMON_40C_sample_5</v>
      </c>
      <c r="C324" s="6" t="str">
        <f t="shared" ref="C324:D324" si="377">C323</f>
        <v>Erica monsoniana</v>
      </c>
      <c r="D324" s="6" t="str">
        <f t="shared" si="377"/>
        <v>40C</v>
      </c>
      <c r="E324" s="10">
        <f>IF(ISBLANK(A320),"",E323+1)</f>
        <v>5</v>
      </c>
      <c r="F324" s="11">
        <f t="shared" si="375"/>
        <v>45478.59792</v>
      </c>
      <c r="G324" s="8">
        <v>0.64</v>
      </c>
    </row>
    <row r="325">
      <c r="A325" s="12" t="str">
        <f t="shared" si="373"/>
        <v>ERIMON</v>
      </c>
      <c r="B325" s="12" t="str">
        <f>IF(ISBLANK(A320),"",LEFT(B324,27)&amp;VALUE(RIGHT(B324,1)+1))</f>
        <v>JKS240702ERIMON_40C_sample_6</v>
      </c>
      <c r="C325" s="13" t="str">
        <f t="shared" ref="C325:D325" si="378">C324</f>
        <v>Erica monsoniana</v>
      </c>
      <c r="D325" s="13" t="str">
        <f t="shared" si="378"/>
        <v>40C</v>
      </c>
      <c r="E325" s="14">
        <f>IF(ISBLANK(A320),"",E324+1)</f>
        <v>6</v>
      </c>
      <c r="F325" s="15">
        <f t="shared" si="375"/>
        <v>45478.59792</v>
      </c>
      <c r="G325" s="16">
        <v>1.013</v>
      </c>
    </row>
    <row r="326">
      <c r="A326" s="5" t="s">
        <v>8</v>
      </c>
      <c r="B326" s="6" t="str">
        <f t="array" ref="B326">IF(ISBLANK(A326),"",IF(A326="PROREP (L)",VLOOKUP(LEFT($A326,6),'Data Feed (40C)'!$A$1:$G$10,2,FALSE),IF(A326="PROREP (S)", INDEX('Data Feed (40C)'!B:B, MATCH(LEFT($A326,6), 'Data Feed (40C)'!$A$1:$A$10, 0) + 1), VLOOKUP($A326,'Data Feed (40C)'!$A$1:$G$10,2,FALSE))))</f>
        <v>JKL240702PROREP_40C_sample_1</v>
      </c>
      <c r="C326" s="6" t="str">
        <f t="array" ref="C326">IF(ISBLANK(A326),"",IF(A326="PROREP (L)",VLOOKUP(LEFT($A326,6),'Data Feed (40C)'!$A$1:$G$10,3,FALSE),IF(A326="PROREP (S)", INDEX('Data Feed (40C)'!C:C, MATCH(LEFT($A326,6), 'Data Feed (40C)'!$A$1:$A$10, 0) + 1, +1), VLOOKUP($A326,'Data Feed (40C)'!$A$1:$G$10,3,FALSE))))</f>
        <v>Protea repens</v>
      </c>
      <c r="D326" s="6" t="str">
        <f t="array" ref="D326">IF(ISBLANK(A326),"",IF(A326="PROREP (L)",VLOOKUP(LEFT($A326,6),'Data Feed (40C)'!$A$1:$G$10,4,FALSE),IF(A326="PROREP (S)", INDEX('Data Feed (40C)'!D:D, MATCH(LEFT($A326,6), 'Data Feed (40C)'!$A$1:$A$10, 0) + 1, +1), VLOOKUP($A326,'Data Feed (40C)'!$A$1:$G$10,4,FALSE))))</f>
        <v>40C</v>
      </c>
      <c r="E326" s="6">
        <f t="array" ref="E326">IF(ISBLANK(A326),"",IF(A326="PROREP (L)",VLOOKUP(LEFT($A326,6),'Data Feed (40C)'!$A$1:$G$10,7,FALSE),IF(A326="PROREP (S)", INDEX('Data Feed (40C)'!G:G, MATCH(LEFT($A326,6), 'Data Feed (40C)'!$A$1:$A$10, 0) + 1, +1), VLOOKUP($A326,'Data Feed (40C)'!$A$1:$G$10,7,FALSE))))</f>
        <v>1</v>
      </c>
      <c r="F326" s="7">
        <v>45478.59930555556</v>
      </c>
      <c r="G326" s="8">
        <v>0.272</v>
      </c>
    </row>
    <row r="327">
      <c r="A327" s="9" t="str">
        <f t="shared" ref="A327:A331" si="380">A326</f>
        <v>PROREP (L)</v>
      </c>
      <c r="B327" s="9" t="str">
        <f>IF(ISBLANK(A326),"",LEFT(B326,27)&amp;VALUE(RIGHT(B326,1)+1))</f>
        <v>JKL240702PROREP_40C_sample_2</v>
      </c>
      <c r="C327" s="6" t="str">
        <f t="shared" ref="C327:D327" si="379">C326</f>
        <v>Protea repens</v>
      </c>
      <c r="D327" s="6" t="str">
        <f t="shared" si="379"/>
        <v>40C</v>
      </c>
      <c r="E327" s="10">
        <f>IF(ISBLANK(A326),"",E326+1)</f>
        <v>2</v>
      </c>
      <c r="F327" s="11">
        <f t="shared" ref="F327:F331" si="382">F326</f>
        <v>45478.59931</v>
      </c>
      <c r="G327" s="8">
        <v>0.254</v>
      </c>
    </row>
    <row r="328">
      <c r="A328" s="9" t="str">
        <f t="shared" si="380"/>
        <v>PROREP (L)</v>
      </c>
      <c r="B328" s="9" t="str">
        <f>IF(ISBLANK(A326),"",LEFT(B327,27)&amp;VALUE(RIGHT(B327,1)+1))</f>
        <v>JKL240702PROREP_40C_sample_3</v>
      </c>
      <c r="C328" s="6" t="str">
        <f t="shared" ref="C328:D328" si="381">C327</f>
        <v>Protea repens</v>
      </c>
      <c r="D328" s="6" t="str">
        <f t="shared" si="381"/>
        <v>40C</v>
      </c>
      <c r="E328" s="10">
        <f>IF(ISBLANK(A326),"",E327+1)</f>
        <v>3</v>
      </c>
      <c r="F328" s="11">
        <f t="shared" si="382"/>
        <v>45478.59931</v>
      </c>
      <c r="G328" s="8">
        <v>0.278</v>
      </c>
    </row>
    <row r="329">
      <c r="A329" s="9" t="str">
        <f t="shared" si="380"/>
        <v>PROREP (L)</v>
      </c>
      <c r="B329" s="9" t="str">
        <f>IF(ISBLANK(A326),"",LEFT(B328,27)&amp;VALUE(RIGHT(B328,1)+1))</f>
        <v>JKL240702PROREP_40C_sample_4</v>
      </c>
      <c r="C329" s="6" t="str">
        <f t="shared" ref="C329:D329" si="383">C328</f>
        <v>Protea repens</v>
      </c>
      <c r="D329" s="6" t="str">
        <f t="shared" si="383"/>
        <v>40C</v>
      </c>
      <c r="E329" s="10">
        <f>IF(ISBLANK(A326),"",E328+1)</f>
        <v>4</v>
      </c>
      <c r="F329" s="11">
        <f t="shared" si="382"/>
        <v>45478.59931</v>
      </c>
      <c r="G329" s="8">
        <v>0.138</v>
      </c>
    </row>
    <row r="330">
      <c r="A330" s="9" t="str">
        <f t="shared" si="380"/>
        <v>PROREP (L)</v>
      </c>
      <c r="B330" s="9" t="str">
        <f>IF(ISBLANK(A326),"",LEFT(B329,27)&amp;VALUE(RIGHT(B329,1)+1))</f>
        <v>JKL240702PROREP_40C_sample_5</v>
      </c>
      <c r="C330" s="6" t="str">
        <f t="shared" ref="C330:D330" si="384">C329</f>
        <v>Protea repens</v>
      </c>
      <c r="D330" s="6" t="str">
        <f t="shared" si="384"/>
        <v>40C</v>
      </c>
      <c r="E330" s="10">
        <f>IF(ISBLANK(A326),"",E329+1)</f>
        <v>5</v>
      </c>
      <c r="F330" s="11">
        <f t="shared" si="382"/>
        <v>45478.59931</v>
      </c>
      <c r="G330" s="8">
        <v>0.193</v>
      </c>
    </row>
    <row r="331">
      <c r="A331" s="12" t="str">
        <f t="shared" si="380"/>
        <v>PROREP (L)</v>
      </c>
      <c r="B331" s="12" t="str">
        <f>IF(ISBLANK(A326),"",LEFT(B330,27)&amp;VALUE(RIGHT(B330,1)+1))</f>
        <v>JKL240702PROREP_40C_sample_6</v>
      </c>
      <c r="C331" s="13" t="str">
        <f t="shared" ref="C331:D331" si="385">C330</f>
        <v>Protea repens</v>
      </c>
      <c r="D331" s="13" t="str">
        <f t="shared" si="385"/>
        <v>40C</v>
      </c>
      <c r="E331" s="14">
        <f>IF(ISBLANK(A326),"",E330+1)</f>
        <v>6</v>
      </c>
      <c r="F331" s="15">
        <f t="shared" si="382"/>
        <v>45478.59931</v>
      </c>
      <c r="G331" s="16">
        <v>0.235</v>
      </c>
    </row>
    <row r="332">
      <c r="A332" s="5" t="s">
        <v>9</v>
      </c>
      <c r="B332" s="6" t="str">
        <f t="array" ref="B332">IF(ISBLANK(A332),"",IF(A332="PROREP (L)",VLOOKUP(LEFT($A332,6),'Data Feed (40C)'!$A$1:$G$10,2,FALSE),IF(A332="PROREP (S)", INDEX('Data Feed (40C)'!B:B, MATCH(LEFT($A332,6), 'Data Feed (40C)'!$A$1:$A$10, 0) + 1), VLOOKUP($A332,'Data Feed (40C)'!$A$1:$G$10,2,FALSE))))</f>
        <v>JKS240702PROREP_40C_sample_1</v>
      </c>
      <c r="C332" s="6" t="str">
        <f t="array" ref="C332">IF(ISBLANK(A332),"",IF(A332="PROREP (L)",VLOOKUP(LEFT($A332,6),'Data Feed (40C)'!$A$1:$G$10,3,FALSE),IF(A332="PROREP (S)", INDEX('Data Feed (40C)'!C:C, MATCH(LEFT($A332,6), 'Data Feed (40C)'!$A$1:$A$10, 0) + 1, +1), VLOOKUP($A332,'Data Feed (40C)'!$A$1:$G$10,3,FALSE))))</f>
        <v>Protea repens</v>
      </c>
      <c r="D332" s="6" t="str">
        <f t="array" ref="D332">IF(ISBLANK(A332),"",IF(A332="PROREP (L)",VLOOKUP(LEFT($A332,6),'Data Feed (40C)'!$A$1:$G$10,4,FALSE),IF(A332="PROREP (S)", INDEX('Data Feed (40C)'!D:D, MATCH(LEFT($A332,6), 'Data Feed (40C)'!$A$1:$A$10, 0) + 1, +1), VLOOKUP($A332,'Data Feed (40C)'!$A$1:$G$10,4,FALSE))))</f>
        <v>40C</v>
      </c>
      <c r="E332" s="6">
        <f t="array" ref="E332">IF(ISBLANK(A332),"",IF(A332="PROREP (L)",VLOOKUP(LEFT($A332,6),'Data Feed (40C)'!$A$1:$G$10,7,FALSE),IF(A332="PROREP (S)", INDEX('Data Feed (40C)'!G:G, MATCH(LEFT($A332,6), 'Data Feed (40C)'!$A$1:$A$10, 0) + 1, +1), VLOOKUP($A332,'Data Feed (40C)'!$A$1:$G$10,7,FALSE))))</f>
        <v>1</v>
      </c>
      <c r="F332" s="7">
        <v>45478.600694444445</v>
      </c>
      <c r="G332" s="8">
        <v>3.724</v>
      </c>
    </row>
    <row r="333">
      <c r="A333" s="9" t="str">
        <f t="shared" ref="A333:A337" si="387">A332</f>
        <v>PROREP (S)</v>
      </c>
      <c r="B333" s="9" t="str">
        <f>IF(ISBLANK(A332),"",LEFT(B332,27)&amp;VALUE(RIGHT(B332,1)+1))</f>
        <v>JKS240702PROREP_40C_sample_2</v>
      </c>
      <c r="C333" s="6" t="str">
        <f t="shared" ref="C333:D333" si="386">C332</f>
        <v>Protea repens</v>
      </c>
      <c r="D333" s="6" t="str">
        <f t="shared" si="386"/>
        <v>40C</v>
      </c>
      <c r="E333" s="10">
        <f>IF(ISBLANK(A332),"",E332+1)</f>
        <v>2</v>
      </c>
      <c r="F333" s="11">
        <f t="shared" ref="F333:F337" si="389">F332</f>
        <v>45478.60069</v>
      </c>
      <c r="G333" s="8">
        <v>5.885</v>
      </c>
    </row>
    <row r="334">
      <c r="A334" s="9" t="str">
        <f t="shared" si="387"/>
        <v>PROREP (S)</v>
      </c>
      <c r="B334" s="9" t="str">
        <f>IF(ISBLANK(A332),"",LEFT(B333,27)&amp;VALUE(RIGHT(B333,1)+1))</f>
        <v>JKS240702PROREP_40C_sample_3</v>
      </c>
      <c r="C334" s="6" t="str">
        <f t="shared" ref="C334:D334" si="388">C333</f>
        <v>Protea repens</v>
      </c>
      <c r="D334" s="6" t="str">
        <f t="shared" si="388"/>
        <v>40C</v>
      </c>
      <c r="E334" s="10">
        <f>IF(ISBLANK(A332),"",E333+1)</f>
        <v>3</v>
      </c>
      <c r="F334" s="11">
        <f t="shared" si="389"/>
        <v>45478.60069</v>
      </c>
      <c r="G334" s="8">
        <v>2.361</v>
      </c>
    </row>
    <row r="335">
      <c r="A335" s="9" t="str">
        <f t="shared" si="387"/>
        <v>PROREP (S)</v>
      </c>
      <c r="B335" s="9" t="str">
        <f>IF(ISBLANK(A332),"",LEFT(B334,27)&amp;VALUE(RIGHT(B334,1)+1))</f>
        <v>JKS240702PROREP_40C_sample_4</v>
      </c>
      <c r="C335" s="6" t="str">
        <f t="shared" ref="C335:D335" si="390">C334</f>
        <v>Protea repens</v>
      </c>
      <c r="D335" s="6" t="str">
        <f t="shared" si="390"/>
        <v>40C</v>
      </c>
      <c r="E335" s="10">
        <f>IF(ISBLANK(A332),"",E334+1)</f>
        <v>4</v>
      </c>
      <c r="F335" s="11">
        <f t="shared" si="389"/>
        <v>45478.60069</v>
      </c>
      <c r="G335" s="8">
        <v>0.938</v>
      </c>
    </row>
    <row r="336">
      <c r="A336" s="9" t="str">
        <f t="shared" si="387"/>
        <v>PROREP (S)</v>
      </c>
      <c r="B336" s="9" t="str">
        <f>IF(ISBLANK(A332),"",LEFT(B335,27)&amp;VALUE(RIGHT(B335,1)+1))</f>
        <v>JKS240702PROREP_40C_sample_5</v>
      </c>
      <c r="C336" s="6" t="str">
        <f t="shared" ref="C336:D336" si="391">C335</f>
        <v>Protea repens</v>
      </c>
      <c r="D336" s="6" t="str">
        <f t="shared" si="391"/>
        <v>40C</v>
      </c>
      <c r="E336" s="10">
        <f>IF(ISBLANK(A332),"",E335+1)</f>
        <v>5</v>
      </c>
      <c r="F336" s="11">
        <f t="shared" si="389"/>
        <v>45478.60069</v>
      </c>
      <c r="G336" s="8">
        <v>3.664</v>
      </c>
    </row>
    <row r="337">
      <c r="A337" s="12" t="str">
        <f t="shared" si="387"/>
        <v>PROREP (S)</v>
      </c>
      <c r="B337" s="12" t="str">
        <f>IF(ISBLANK(A332),"",LEFT(B336,27)&amp;VALUE(RIGHT(B336,1)+1))</f>
        <v>JKS240702PROREP_40C_sample_6</v>
      </c>
      <c r="C337" s="13" t="str">
        <f t="shared" ref="C337:D337" si="392">C336</f>
        <v>Protea repens</v>
      </c>
      <c r="D337" s="13" t="str">
        <f t="shared" si="392"/>
        <v>40C</v>
      </c>
      <c r="E337" s="14">
        <f>IF(ISBLANK(A332),"",E336+1)</f>
        <v>6</v>
      </c>
      <c r="F337" s="15">
        <f t="shared" si="389"/>
        <v>45478.60069</v>
      </c>
      <c r="G337" s="16">
        <v>5.301</v>
      </c>
    </row>
    <row r="338">
      <c r="A338" s="5" t="s">
        <v>10</v>
      </c>
      <c r="B338" s="6" t="str">
        <f t="array" ref="B338">IF(ISBLANK(A338),"",IF(A338="PROREP (L)",VLOOKUP(LEFT($A338,6),'Data Feed (40C)'!$A$1:$G$10,2,FALSE),IF(A338="PROREP (S)", INDEX('Data Feed (40C)'!B:B, MATCH(LEFT($A338,6), 'Data Feed (40C)'!$A$1:$A$10, 0) + 1), VLOOKUP($A338,'Data Feed (40C)'!$A$1:$G$10,2,FALSE))))</f>
        <v>JKS240702CANCON_40C_sample_1</v>
      </c>
      <c r="C338" s="6" t="str">
        <f t="array" ref="C338">IF(ISBLANK(A338),"",IF(A338="PROREP (L)",VLOOKUP(LEFT($A338,6),'Data Feed (40C)'!$A$1:$G$10,3,FALSE),IF(A338="PROREP (S)", INDEX('Data Feed (40C)'!C:C, MATCH(LEFT($A338,6), 'Data Feed (40C)'!$A$1:$A$10, 0) + 1, +1), VLOOKUP($A338,'Data Feed (40C)'!$A$1:$G$10,3,FALSE))))</f>
        <v>Cannomois congesta</v>
      </c>
      <c r="D338" s="6" t="str">
        <f t="array" ref="D338">IF(ISBLANK(A338),"",IF(A338="PROREP (L)",VLOOKUP(LEFT($A338,6),'Data Feed (40C)'!$A$1:$G$10,4,FALSE),IF(A338="PROREP (S)", INDEX('Data Feed (40C)'!D:D, MATCH(LEFT($A338,6), 'Data Feed (40C)'!$A$1:$A$10, 0) + 1, +1), VLOOKUP($A338,'Data Feed (40C)'!$A$1:$G$10,4,FALSE))))</f>
        <v>40C</v>
      </c>
      <c r="E338" s="6">
        <f t="array" ref="E338">IF(ISBLANK(A338),"",IF(A338="PROREP (L)",VLOOKUP(LEFT($A338,6),'Data Feed (40C)'!$A$1:$G$10,7,FALSE),IF(A338="PROREP (S)", INDEX('Data Feed (40C)'!G:G, MATCH(LEFT($A338,6), 'Data Feed (40C)'!$A$1:$A$10, 0) + 1, +1), VLOOKUP($A338,'Data Feed (40C)'!$A$1:$G$10,7,FALSE))))</f>
        <v>1</v>
      </c>
      <c r="F338" s="7">
        <v>45478.60208333333</v>
      </c>
      <c r="G338" s="8">
        <v>0.519</v>
      </c>
    </row>
    <row r="339">
      <c r="A339" s="9" t="str">
        <f t="shared" ref="A339:A343" si="394">A338</f>
        <v>CANCON</v>
      </c>
      <c r="B339" s="9" t="str">
        <f>IF(ISBLANK(A338),"",LEFT(B338,27)&amp;VALUE(RIGHT(B338,1)+1))</f>
        <v>JKS240702CANCON_40C_sample_2</v>
      </c>
      <c r="C339" s="6" t="str">
        <f t="shared" ref="C339:D339" si="393">C338</f>
        <v>Cannomois congesta</v>
      </c>
      <c r="D339" s="6" t="str">
        <f t="shared" si="393"/>
        <v>40C</v>
      </c>
      <c r="E339" s="10">
        <f>IF(ISBLANK(A338),"",E338+1)</f>
        <v>2</v>
      </c>
      <c r="F339" s="11">
        <f t="shared" ref="F339:F343" si="396">F338</f>
        <v>45478.60208</v>
      </c>
      <c r="G339" s="8">
        <v>1.251</v>
      </c>
    </row>
    <row r="340">
      <c r="A340" s="9" t="str">
        <f t="shared" si="394"/>
        <v>CANCON</v>
      </c>
      <c r="B340" s="9" t="str">
        <f>IF(ISBLANK(A338),"",LEFT(B339,27)&amp;VALUE(RIGHT(B339,1)+1))</f>
        <v>JKS240702CANCON_40C_sample_3</v>
      </c>
      <c r="C340" s="6" t="str">
        <f t="shared" ref="C340:D340" si="395">C339</f>
        <v>Cannomois congesta</v>
      </c>
      <c r="D340" s="6" t="str">
        <f t="shared" si="395"/>
        <v>40C</v>
      </c>
      <c r="E340" s="10">
        <f>IF(ISBLANK(A338),"",E339+1)</f>
        <v>3</v>
      </c>
      <c r="F340" s="11">
        <f t="shared" si="396"/>
        <v>45478.60208</v>
      </c>
      <c r="G340" s="8">
        <v>0.602</v>
      </c>
    </row>
    <row r="341">
      <c r="A341" s="9" t="str">
        <f t="shared" si="394"/>
        <v>CANCON</v>
      </c>
      <c r="B341" s="9" t="str">
        <f>IF(ISBLANK(A338),"",LEFT(B340,27)&amp;VALUE(RIGHT(B340,1)+1))</f>
        <v>JKS240702CANCON_40C_sample_4</v>
      </c>
      <c r="C341" s="6" t="str">
        <f t="shared" ref="C341:D341" si="397">C340</f>
        <v>Cannomois congesta</v>
      </c>
      <c r="D341" s="6" t="str">
        <f t="shared" si="397"/>
        <v>40C</v>
      </c>
      <c r="E341" s="10">
        <f>IF(ISBLANK(A338),"",E340+1)</f>
        <v>4</v>
      </c>
      <c r="F341" s="11">
        <f t="shared" si="396"/>
        <v>45478.60208</v>
      </c>
      <c r="G341" s="8">
        <v>0.888</v>
      </c>
    </row>
    <row r="342">
      <c r="A342" s="9" t="str">
        <f t="shared" si="394"/>
        <v>CANCON</v>
      </c>
      <c r="B342" s="9" t="str">
        <f>IF(ISBLANK(A338),"",LEFT(B341,27)&amp;VALUE(RIGHT(B341,1)+1))</f>
        <v>JKS240702CANCON_40C_sample_5</v>
      </c>
      <c r="C342" s="6" t="str">
        <f t="shared" ref="C342:D342" si="398">C341</f>
        <v>Cannomois congesta</v>
      </c>
      <c r="D342" s="6" t="str">
        <f t="shared" si="398"/>
        <v>40C</v>
      </c>
      <c r="E342" s="10">
        <f>IF(ISBLANK(A338),"",E341+1)</f>
        <v>5</v>
      </c>
      <c r="F342" s="11">
        <f t="shared" si="396"/>
        <v>45478.60208</v>
      </c>
      <c r="G342" s="8">
        <v>0.508</v>
      </c>
    </row>
    <row r="343">
      <c r="A343" s="12" t="str">
        <f t="shared" si="394"/>
        <v>CANCON</v>
      </c>
      <c r="B343" s="12" t="str">
        <f>IF(ISBLANK(A338),"",LEFT(B342,27)&amp;VALUE(RIGHT(B342,1)+1))</f>
        <v>JKS240702CANCON_40C_sample_6</v>
      </c>
      <c r="C343" s="13" t="str">
        <f t="shared" ref="C343:D343" si="399">C342</f>
        <v>Cannomois congesta</v>
      </c>
      <c r="D343" s="13" t="str">
        <f t="shared" si="399"/>
        <v>40C</v>
      </c>
      <c r="E343" s="14">
        <f>IF(ISBLANK(A338),"",E342+1)</f>
        <v>6</v>
      </c>
      <c r="F343" s="15">
        <f t="shared" si="396"/>
        <v>45478.60208</v>
      </c>
      <c r="G343" s="16">
        <v>1.01</v>
      </c>
    </row>
    <row r="344">
      <c r="A344" s="5"/>
      <c r="B344" s="6" t="str">
        <f t="array" ref="B344">IF(ISBLANK(A344),"",IF(A344="PROREP (L)",VLOOKUP(LEFT($A344,6),'Data Feed (40C)'!$A$1:$G$10,2,FALSE),IF(A344="PROREP (S)", INDEX('Data Feed (40C)'!B:B, MATCH(LEFT($A344,6), 'Data Feed (40C)'!$A$1:$A$10, 0) + 1), VLOOKUP($A344,'Data Feed (40C)'!$A$1:$G$10,2,FALSE))))</f>
        <v/>
      </c>
      <c r="C344" s="6" t="str">
        <f t="array" ref="C344">IF(ISBLANK(A344),"",IF(A344="PROREP (L)",VLOOKUP(LEFT($A344,6),'Data Feed (40C)'!$A$1:$G$10,3,FALSE),IF(A344="PROREP (S)", INDEX('Data Feed (40C)'!C:C, MATCH(LEFT($A344,6), 'Data Feed (40C)'!$A$1:$A$10, 0) + 1, +1), VLOOKUP($A344,'Data Feed (40C)'!$A$1:$G$10,3,FALSE))))</f>
        <v/>
      </c>
      <c r="D344" s="6" t="str">
        <f t="array" ref="D344">IF(ISBLANK(A344),"",IF(A344="PROREP (L)",VLOOKUP(LEFT($A344,6),'Data Feed (40C)'!$A$1:$G$10,4,FALSE),IF(A344="PROREP (S)", INDEX('Data Feed (40C)'!D:D, MATCH(LEFT($A344,6), 'Data Feed (40C)'!$A$1:$A$10, 0) + 1, +1), VLOOKUP($A344,'Data Feed (40C)'!$A$1:$G$10,4,FALSE))))</f>
        <v/>
      </c>
      <c r="E344" s="6" t="str">
        <f t="array" ref="E344">IF(ISBLANK(A344),"",IF(A344="PROREP (L)",VLOOKUP(LEFT($A344,6),'Data Feed (40C)'!$A$1:$G$10,7,FALSE),IF(A344="PROREP (S)", INDEX('Data Feed (40C)'!G:G, MATCH(LEFT($A344,6), 'Data Feed (40C)'!$A$1:$A$10, 0) + 1, +1), VLOOKUP($A344,'Data Feed (40C)'!$A$1:$G$10,7,FALSE))))</f>
        <v/>
      </c>
      <c r="F344" s="7"/>
    </row>
    <row r="345">
      <c r="A345" s="9" t="str">
        <f t="shared" ref="A345:A349" si="401">A344</f>
        <v/>
      </c>
      <c r="B345" s="9" t="str">
        <f>IF(ISBLANK(A344),"",LEFT(B344,27)&amp;VALUE(RIGHT(B344,1)+1))</f>
        <v/>
      </c>
      <c r="C345" s="6" t="str">
        <f t="shared" ref="C345:D345" si="400">C344</f>
        <v/>
      </c>
      <c r="D345" s="6" t="str">
        <f t="shared" si="400"/>
        <v/>
      </c>
      <c r="E345" s="10" t="str">
        <f>IF(ISBLANK(A344),"",E344+1)</f>
        <v/>
      </c>
      <c r="F345" s="11" t="str">
        <f t="shared" ref="F345:F349" si="403">F344</f>
        <v/>
      </c>
    </row>
    <row r="346">
      <c r="A346" s="9" t="str">
        <f t="shared" si="401"/>
        <v/>
      </c>
      <c r="B346" s="9" t="str">
        <f>IF(ISBLANK(A344),"",LEFT(B345,27)&amp;VALUE(RIGHT(B345,1)+1))</f>
        <v/>
      </c>
      <c r="C346" s="6" t="str">
        <f t="shared" ref="C346:D346" si="402">C345</f>
        <v/>
      </c>
      <c r="D346" s="6" t="str">
        <f t="shared" si="402"/>
        <v/>
      </c>
      <c r="E346" s="10" t="str">
        <f>IF(ISBLANK(A344),"",E345+1)</f>
        <v/>
      </c>
      <c r="F346" s="11" t="str">
        <f t="shared" si="403"/>
        <v/>
      </c>
    </row>
    <row r="347">
      <c r="A347" s="9" t="str">
        <f t="shared" si="401"/>
        <v/>
      </c>
      <c r="B347" s="9" t="str">
        <f>IF(ISBLANK(A344),"",LEFT(B346,27)&amp;VALUE(RIGHT(B346,1)+1))</f>
        <v/>
      </c>
      <c r="C347" s="6" t="str">
        <f t="shared" ref="C347:D347" si="404">C346</f>
        <v/>
      </c>
      <c r="D347" s="6" t="str">
        <f t="shared" si="404"/>
        <v/>
      </c>
      <c r="E347" s="10" t="str">
        <f>IF(ISBLANK(A344),"",E346+1)</f>
        <v/>
      </c>
      <c r="F347" s="11" t="str">
        <f t="shared" si="403"/>
        <v/>
      </c>
    </row>
    <row r="348">
      <c r="A348" s="9" t="str">
        <f t="shared" si="401"/>
        <v/>
      </c>
      <c r="B348" s="9" t="str">
        <f>IF(ISBLANK(A344),"",LEFT(B347,27)&amp;VALUE(RIGHT(B347,1)+1))</f>
        <v/>
      </c>
      <c r="C348" s="6" t="str">
        <f t="shared" ref="C348:D348" si="405">C347</f>
        <v/>
      </c>
      <c r="D348" s="6" t="str">
        <f t="shared" si="405"/>
        <v/>
      </c>
      <c r="E348" s="10" t="str">
        <f>IF(ISBLANK(A344),"",E347+1)</f>
        <v/>
      </c>
      <c r="F348" s="11" t="str">
        <f t="shared" si="403"/>
        <v/>
      </c>
    </row>
    <row r="349">
      <c r="A349" s="12" t="str">
        <f t="shared" si="401"/>
        <v/>
      </c>
      <c r="B349" s="12" t="str">
        <f>IF(ISBLANK(A344),"",LEFT(B348,27)&amp;VALUE(RIGHT(B348,1)+1))</f>
        <v/>
      </c>
      <c r="C349" s="13" t="str">
        <f t="shared" ref="C349:D349" si="406">C348</f>
        <v/>
      </c>
      <c r="D349" s="13" t="str">
        <f t="shared" si="406"/>
        <v/>
      </c>
      <c r="E349" s="14" t="str">
        <f>IF(ISBLANK(A344),"",E348+1)</f>
        <v/>
      </c>
      <c r="F349" s="15" t="str">
        <f t="shared" si="403"/>
        <v/>
      </c>
    </row>
    <row r="350">
      <c r="A350" s="5"/>
      <c r="B350" s="6" t="str">
        <f t="array" ref="B350">IF(ISBLANK(A350),"",IF(A350="PROREP (L)",VLOOKUP(LEFT($A350,6),'Data Feed (40C)'!$A$1:$G$10,2,FALSE),IF(A350="PROREP (S)", INDEX('Data Feed (40C)'!B:B, MATCH(LEFT($A350,6), 'Data Feed (40C)'!$A$1:$A$10, 0) + 1), VLOOKUP($A350,'Data Feed (40C)'!$A$1:$G$10,2,FALSE))))</f>
        <v/>
      </c>
      <c r="C350" s="6" t="str">
        <f t="array" ref="C350">IF(ISBLANK(A350),"",IF(A350="PROREP (L)",VLOOKUP(LEFT($A350,6),'Data Feed (40C)'!$A$1:$G$10,3,FALSE),IF(A350="PROREP (S)", INDEX('Data Feed (40C)'!C:C, MATCH(LEFT($A350,6), 'Data Feed (40C)'!$A$1:$A$10, 0) + 1, +1), VLOOKUP($A350,'Data Feed (40C)'!$A$1:$G$10,3,FALSE))))</f>
        <v/>
      </c>
      <c r="D350" s="6" t="str">
        <f t="array" ref="D350">IF(ISBLANK(A350),"",IF(A350="PROREP (L)",VLOOKUP(LEFT($A350,6),'Data Feed (40C)'!$A$1:$G$10,4,FALSE),IF(A350="PROREP (S)", INDEX('Data Feed (40C)'!D:D, MATCH(LEFT($A350,6), 'Data Feed (40C)'!$A$1:$A$10, 0) + 1, +1), VLOOKUP($A350,'Data Feed (40C)'!$A$1:$G$10,4,FALSE))))</f>
        <v/>
      </c>
      <c r="E350" s="6" t="str">
        <f t="array" ref="E350">IF(ISBLANK(A350),"",IF(A350="PROREP (L)",VLOOKUP(LEFT($A350,6),'Data Feed (40C)'!$A$1:$G$10,7,FALSE),IF(A350="PROREP (S)", INDEX('Data Feed (40C)'!G:G, MATCH(LEFT($A350,6), 'Data Feed (40C)'!$A$1:$A$10, 0) + 1, +1), VLOOKUP($A350,'Data Feed (40C)'!$A$1:$G$10,7,FALSE))))</f>
        <v/>
      </c>
      <c r="F350" s="7"/>
    </row>
    <row r="351">
      <c r="A351" s="9" t="str">
        <f t="shared" ref="A351:A355" si="408">A350</f>
        <v/>
      </c>
      <c r="B351" s="9" t="str">
        <f>IF(ISBLANK(A350),"",LEFT(B350,27)&amp;VALUE(RIGHT(B350,1)+1))</f>
        <v/>
      </c>
      <c r="C351" s="6" t="str">
        <f t="shared" ref="C351:D351" si="407">C350</f>
        <v/>
      </c>
      <c r="D351" s="6" t="str">
        <f t="shared" si="407"/>
        <v/>
      </c>
      <c r="E351" s="10" t="str">
        <f>IF(ISBLANK(A350),"",E350+1)</f>
        <v/>
      </c>
      <c r="F351" s="11" t="str">
        <f t="shared" ref="F351:F355" si="410">F350</f>
        <v/>
      </c>
    </row>
    <row r="352">
      <c r="A352" s="9" t="str">
        <f t="shared" si="408"/>
        <v/>
      </c>
      <c r="B352" s="9" t="str">
        <f>IF(ISBLANK(A350),"",LEFT(B351,27)&amp;VALUE(RIGHT(B351,1)+1))</f>
        <v/>
      </c>
      <c r="C352" s="6" t="str">
        <f t="shared" ref="C352:D352" si="409">C351</f>
        <v/>
      </c>
      <c r="D352" s="6" t="str">
        <f t="shared" si="409"/>
        <v/>
      </c>
      <c r="E352" s="10" t="str">
        <f>IF(ISBLANK(A350),"",E351+1)</f>
        <v/>
      </c>
      <c r="F352" s="11" t="str">
        <f t="shared" si="410"/>
        <v/>
      </c>
    </row>
    <row r="353">
      <c r="A353" s="9" t="str">
        <f t="shared" si="408"/>
        <v/>
      </c>
      <c r="B353" s="9" t="str">
        <f>IF(ISBLANK(A350),"",LEFT(B352,27)&amp;VALUE(RIGHT(B352,1)+1))</f>
        <v/>
      </c>
      <c r="C353" s="6" t="str">
        <f t="shared" ref="C353:D353" si="411">C352</f>
        <v/>
      </c>
      <c r="D353" s="6" t="str">
        <f t="shared" si="411"/>
        <v/>
      </c>
      <c r="E353" s="10" t="str">
        <f>IF(ISBLANK(A350),"",E352+1)</f>
        <v/>
      </c>
      <c r="F353" s="11" t="str">
        <f t="shared" si="410"/>
        <v/>
      </c>
    </row>
    <row r="354">
      <c r="A354" s="9" t="str">
        <f t="shared" si="408"/>
        <v/>
      </c>
      <c r="B354" s="9" t="str">
        <f>IF(ISBLANK(A350),"",LEFT(B353,27)&amp;VALUE(RIGHT(B353,1)+1))</f>
        <v/>
      </c>
      <c r="C354" s="6" t="str">
        <f t="shared" ref="C354:D354" si="412">C353</f>
        <v/>
      </c>
      <c r="D354" s="6" t="str">
        <f t="shared" si="412"/>
        <v/>
      </c>
      <c r="E354" s="10" t="str">
        <f>IF(ISBLANK(A350),"",E353+1)</f>
        <v/>
      </c>
      <c r="F354" s="11" t="str">
        <f t="shared" si="410"/>
        <v/>
      </c>
    </row>
    <row r="355">
      <c r="A355" s="12" t="str">
        <f t="shared" si="408"/>
        <v/>
      </c>
      <c r="B355" s="12" t="str">
        <f>IF(ISBLANK(A350),"",LEFT(B354,27)&amp;VALUE(RIGHT(B354,1)+1))</f>
        <v/>
      </c>
      <c r="C355" s="13" t="str">
        <f t="shared" ref="C355:D355" si="413">C354</f>
        <v/>
      </c>
      <c r="D355" s="13" t="str">
        <f t="shared" si="413"/>
        <v/>
      </c>
      <c r="E355" s="14" t="str">
        <f>IF(ISBLANK(A350),"",E354+1)</f>
        <v/>
      </c>
      <c r="F355" s="15" t="str">
        <f t="shared" si="410"/>
        <v/>
      </c>
    </row>
    <row r="356">
      <c r="A356" s="5"/>
      <c r="B356" s="6" t="str">
        <f t="array" ref="B356">IF(ISBLANK(A356),"",IF(A356="PROREP (L)",VLOOKUP(LEFT($A356,6),'Data Feed (40C)'!$A$1:$G$10,2,FALSE),IF(A356="PROREP (S)", INDEX('Data Feed (40C)'!B:B, MATCH(LEFT($A356,6), 'Data Feed (40C)'!$A$1:$A$10, 0) + 1), VLOOKUP($A356,'Data Feed (40C)'!$A$1:$G$10,2,FALSE))))</f>
        <v/>
      </c>
      <c r="C356" s="6" t="str">
        <f t="array" ref="C356">IF(ISBLANK(A356),"",IF(A356="PROREP (L)",VLOOKUP(LEFT($A356,6),'Data Feed (40C)'!$A$1:$G$10,3,FALSE),IF(A356="PROREP (S)", INDEX('Data Feed (40C)'!C:C, MATCH(LEFT($A356,6), 'Data Feed (40C)'!$A$1:$A$10, 0) + 1, +1), VLOOKUP($A356,'Data Feed (40C)'!$A$1:$G$10,3,FALSE))))</f>
        <v/>
      </c>
      <c r="D356" s="6" t="str">
        <f t="array" ref="D356">IF(ISBLANK(A356),"",IF(A356="PROREP (L)",VLOOKUP(LEFT($A356,6),'Data Feed (40C)'!$A$1:$G$10,4,FALSE),IF(A356="PROREP (S)", INDEX('Data Feed (40C)'!D:D, MATCH(LEFT($A356,6), 'Data Feed (40C)'!$A$1:$A$10, 0) + 1, +1), VLOOKUP($A356,'Data Feed (40C)'!$A$1:$G$10,4,FALSE))))</f>
        <v/>
      </c>
      <c r="E356" s="6" t="str">
        <f t="array" ref="E356">IF(ISBLANK(A356),"",IF(A356="PROREP (L)",VLOOKUP(LEFT($A356,6),'Data Feed (40C)'!$A$1:$G$10,7,FALSE),IF(A356="PROREP (S)", INDEX('Data Feed (40C)'!G:G, MATCH(LEFT($A356,6), 'Data Feed (40C)'!$A$1:$A$10, 0) + 1, +1), VLOOKUP($A356,'Data Feed (40C)'!$A$1:$G$10,7,FALSE))))</f>
        <v/>
      </c>
      <c r="F356" s="7"/>
    </row>
    <row r="357">
      <c r="A357" s="9" t="str">
        <f t="shared" ref="A357:A361" si="415">A356</f>
        <v/>
      </c>
      <c r="B357" s="9" t="str">
        <f>IF(ISBLANK(A356),"",LEFT(B356,27)&amp;VALUE(RIGHT(B356,1)+1))</f>
        <v/>
      </c>
      <c r="C357" s="6" t="str">
        <f t="shared" ref="C357:D357" si="414">C356</f>
        <v/>
      </c>
      <c r="D357" s="6" t="str">
        <f t="shared" si="414"/>
        <v/>
      </c>
      <c r="E357" s="10" t="str">
        <f>IF(ISBLANK(A356),"",E356+1)</f>
        <v/>
      </c>
      <c r="F357" s="11" t="str">
        <f t="shared" ref="F357:F361" si="417">F356</f>
        <v/>
      </c>
    </row>
    <row r="358">
      <c r="A358" s="9" t="str">
        <f t="shared" si="415"/>
        <v/>
      </c>
      <c r="B358" s="9" t="str">
        <f>IF(ISBLANK(A356),"",LEFT(B357,27)&amp;VALUE(RIGHT(B357,1)+1))</f>
        <v/>
      </c>
      <c r="C358" s="6" t="str">
        <f t="shared" ref="C358:D358" si="416">C357</f>
        <v/>
      </c>
      <c r="D358" s="6" t="str">
        <f t="shared" si="416"/>
        <v/>
      </c>
      <c r="E358" s="10" t="str">
        <f>IF(ISBLANK(A356),"",E357+1)</f>
        <v/>
      </c>
      <c r="F358" s="11" t="str">
        <f t="shared" si="417"/>
        <v/>
      </c>
    </row>
    <row r="359">
      <c r="A359" s="9" t="str">
        <f t="shared" si="415"/>
        <v/>
      </c>
      <c r="B359" s="9" t="str">
        <f>IF(ISBLANK(A356),"",LEFT(B358,27)&amp;VALUE(RIGHT(B358,1)+1))</f>
        <v/>
      </c>
      <c r="C359" s="6" t="str">
        <f t="shared" ref="C359:D359" si="418">C358</f>
        <v/>
      </c>
      <c r="D359" s="6" t="str">
        <f t="shared" si="418"/>
        <v/>
      </c>
      <c r="E359" s="10" t="str">
        <f>IF(ISBLANK(A356),"",E358+1)</f>
        <v/>
      </c>
      <c r="F359" s="11" t="str">
        <f t="shared" si="417"/>
        <v/>
      </c>
    </row>
    <row r="360">
      <c r="A360" s="9" t="str">
        <f t="shared" si="415"/>
        <v/>
      </c>
      <c r="B360" s="9" t="str">
        <f>IF(ISBLANK(A356),"",LEFT(B359,27)&amp;VALUE(RIGHT(B359,1)+1))</f>
        <v/>
      </c>
      <c r="C360" s="6" t="str">
        <f t="shared" ref="C360:D360" si="419">C359</f>
        <v/>
      </c>
      <c r="D360" s="6" t="str">
        <f t="shared" si="419"/>
        <v/>
      </c>
      <c r="E360" s="10" t="str">
        <f>IF(ISBLANK(A356),"",E359+1)</f>
        <v/>
      </c>
      <c r="F360" s="11" t="str">
        <f t="shared" si="417"/>
        <v/>
      </c>
    </row>
    <row r="361">
      <c r="A361" s="12" t="str">
        <f t="shared" si="415"/>
        <v/>
      </c>
      <c r="B361" s="12" t="str">
        <f>IF(ISBLANK(A356),"",LEFT(B360,27)&amp;VALUE(RIGHT(B360,1)+1))</f>
        <v/>
      </c>
      <c r="C361" s="13" t="str">
        <f t="shared" ref="C361:D361" si="420">C360</f>
        <v/>
      </c>
      <c r="D361" s="13" t="str">
        <f t="shared" si="420"/>
        <v/>
      </c>
      <c r="E361" s="14" t="str">
        <f>IF(ISBLANK(A356),"",E360+1)</f>
        <v/>
      </c>
      <c r="F361" s="15" t="str">
        <f t="shared" si="417"/>
        <v/>
      </c>
    </row>
    <row r="362">
      <c r="A362" s="5"/>
      <c r="B362" s="6" t="str">
        <f t="array" ref="B362">IF(ISBLANK(A362),"",IF(A362="PROREP (L)",VLOOKUP(LEFT($A362,6),'Data Feed (40C)'!$A$1:$G$10,2,FALSE),IF(A362="PROREP (S)", INDEX('Data Feed (40C)'!B:B, MATCH(LEFT($A362,6), 'Data Feed (40C)'!$A$1:$A$10, 0) + 1), VLOOKUP($A362,'Data Feed (40C)'!$A$1:$G$10,2,FALSE))))</f>
        <v/>
      </c>
      <c r="C362" s="6" t="str">
        <f t="array" ref="C362">IF(ISBLANK(A362),"",IF(A362="PROREP (L)",VLOOKUP(LEFT($A362,6),'Data Feed (40C)'!$A$1:$G$10,3,FALSE),IF(A362="PROREP (S)", INDEX('Data Feed (40C)'!C:C, MATCH(LEFT($A362,6), 'Data Feed (40C)'!$A$1:$A$10, 0) + 1, +1), VLOOKUP($A362,'Data Feed (40C)'!$A$1:$G$10,3,FALSE))))</f>
        <v/>
      </c>
      <c r="D362" s="6" t="str">
        <f t="array" ref="D362">IF(ISBLANK(A362),"",IF(A362="PROREP (L)",VLOOKUP(LEFT($A362,6),'Data Feed (40C)'!$A$1:$G$10,4,FALSE),IF(A362="PROREP (S)", INDEX('Data Feed (40C)'!D:D, MATCH(LEFT($A362,6), 'Data Feed (40C)'!$A$1:$A$10, 0) + 1, +1), VLOOKUP($A362,'Data Feed (40C)'!$A$1:$G$10,4,FALSE))))</f>
        <v/>
      </c>
      <c r="E362" s="6" t="str">
        <f t="array" ref="E362">IF(ISBLANK(A362),"",IF(A362="PROREP (L)",VLOOKUP(LEFT($A362,6),'Data Feed (40C)'!$A$1:$G$10,7,FALSE),IF(A362="PROREP (S)", INDEX('Data Feed (40C)'!G:G, MATCH(LEFT($A362,6), 'Data Feed (40C)'!$A$1:$A$10, 0) + 1, +1), VLOOKUP($A362,'Data Feed (40C)'!$A$1:$G$10,7,FALSE))))</f>
        <v/>
      </c>
      <c r="F362" s="7"/>
      <c r="G362" s="8"/>
    </row>
    <row r="363">
      <c r="A363" s="9" t="str">
        <f t="shared" ref="A363:A367" si="422">A362</f>
        <v/>
      </c>
      <c r="B363" s="9" t="str">
        <f>IF(ISBLANK(A362),"",LEFT(B362,27)&amp;VALUE(RIGHT(B362,1)+1))</f>
        <v/>
      </c>
      <c r="C363" s="6" t="str">
        <f t="shared" ref="C363:D363" si="421">C362</f>
        <v/>
      </c>
      <c r="D363" s="6" t="str">
        <f t="shared" si="421"/>
        <v/>
      </c>
      <c r="E363" s="10" t="str">
        <f>IF(ISBLANK(A362),"",E362+1)</f>
        <v/>
      </c>
      <c r="F363" s="11" t="str">
        <f t="shared" ref="F363:F367" si="424">F362</f>
        <v/>
      </c>
      <c r="G363" s="8"/>
    </row>
    <row r="364">
      <c r="A364" s="9" t="str">
        <f t="shared" si="422"/>
        <v/>
      </c>
      <c r="B364" s="9" t="str">
        <f>IF(ISBLANK(A362),"",LEFT(B363,27)&amp;VALUE(RIGHT(B363,1)+1))</f>
        <v/>
      </c>
      <c r="C364" s="6" t="str">
        <f t="shared" ref="C364:D364" si="423">C363</f>
        <v/>
      </c>
      <c r="D364" s="6" t="str">
        <f t="shared" si="423"/>
        <v/>
      </c>
      <c r="E364" s="10" t="str">
        <f>IF(ISBLANK(A362),"",E363+1)</f>
        <v/>
      </c>
      <c r="F364" s="11" t="str">
        <f t="shared" si="424"/>
        <v/>
      </c>
      <c r="G364" s="8"/>
    </row>
    <row r="365">
      <c r="A365" s="9" t="str">
        <f t="shared" si="422"/>
        <v/>
      </c>
      <c r="B365" s="9" t="str">
        <f>IF(ISBLANK(A362),"",LEFT(B364,27)&amp;VALUE(RIGHT(B364,1)+1))</f>
        <v/>
      </c>
      <c r="C365" s="6" t="str">
        <f t="shared" ref="C365:D365" si="425">C364</f>
        <v/>
      </c>
      <c r="D365" s="6" t="str">
        <f t="shared" si="425"/>
        <v/>
      </c>
      <c r="E365" s="10" t="str">
        <f>IF(ISBLANK(A362),"",E364+1)</f>
        <v/>
      </c>
      <c r="F365" s="11" t="str">
        <f t="shared" si="424"/>
        <v/>
      </c>
      <c r="G365" s="8"/>
    </row>
    <row r="366">
      <c r="A366" s="9" t="str">
        <f t="shared" si="422"/>
        <v/>
      </c>
      <c r="B366" s="9" t="str">
        <f>IF(ISBLANK(A362),"",LEFT(B365,27)&amp;VALUE(RIGHT(B365,1)+1))</f>
        <v/>
      </c>
      <c r="C366" s="6" t="str">
        <f t="shared" ref="C366:D366" si="426">C365</f>
        <v/>
      </c>
      <c r="D366" s="6" t="str">
        <f t="shared" si="426"/>
        <v/>
      </c>
      <c r="E366" s="10" t="str">
        <f>IF(ISBLANK(A362),"",E365+1)</f>
        <v/>
      </c>
      <c r="F366" s="11" t="str">
        <f t="shared" si="424"/>
        <v/>
      </c>
      <c r="G366" s="8"/>
    </row>
    <row r="367">
      <c r="A367" s="12" t="str">
        <f t="shared" si="422"/>
        <v/>
      </c>
      <c r="B367" s="12" t="str">
        <f>IF(ISBLANK(A362),"",LEFT(B366,27)&amp;VALUE(RIGHT(B366,1)+1))</f>
        <v/>
      </c>
      <c r="C367" s="13" t="str">
        <f t="shared" ref="C367:D367" si="427">C366</f>
        <v/>
      </c>
      <c r="D367" s="13" t="str">
        <f t="shared" si="427"/>
        <v/>
      </c>
      <c r="E367" s="14" t="str">
        <f>IF(ISBLANK(A362),"",E366+1)</f>
        <v/>
      </c>
      <c r="F367" s="15" t="str">
        <f t="shared" si="424"/>
        <v/>
      </c>
      <c r="G367" s="16"/>
    </row>
    <row r="368">
      <c r="A368" s="5"/>
      <c r="B368" s="6" t="str">
        <f t="array" ref="B368">IF(ISBLANK(A368),"",IF(A368="PROREP (L)",VLOOKUP(LEFT($A368,6),'Data Feed (40C)'!$A$1:$G$10,2,FALSE),IF(A368="PROREP (S)", INDEX('Data Feed (40C)'!B:B, MATCH(LEFT($A368,6), 'Data Feed (40C)'!$A$1:$A$10, 0) + 1), VLOOKUP($A368,'Data Feed (40C)'!$A$1:$G$10,2,FALSE))))</f>
        <v/>
      </c>
      <c r="C368" s="6" t="str">
        <f t="array" ref="C368">IF(ISBLANK(A368),"",IF(A368="PROREP (L)",VLOOKUP(LEFT($A368,6),'Data Feed (40C)'!$A$1:$G$10,3,FALSE),IF(A368="PROREP (S)", INDEX('Data Feed (40C)'!C:C, MATCH(LEFT($A368,6), 'Data Feed (40C)'!$A$1:$A$10, 0) + 1, +1), VLOOKUP($A368,'Data Feed (40C)'!$A$1:$G$10,3,FALSE))))</f>
        <v/>
      </c>
      <c r="D368" s="6" t="str">
        <f t="array" ref="D368">IF(ISBLANK(A368),"",IF(A368="PROREP (L)",VLOOKUP(LEFT($A368,6),'Data Feed (40C)'!$A$1:$G$10,4,FALSE),IF(A368="PROREP (S)", INDEX('Data Feed (40C)'!D:D, MATCH(LEFT($A368,6), 'Data Feed (40C)'!$A$1:$A$10, 0) + 1, +1), VLOOKUP($A368,'Data Feed (40C)'!$A$1:$G$10,4,FALSE))))</f>
        <v/>
      </c>
      <c r="E368" s="6" t="str">
        <f t="array" ref="E368">IF(ISBLANK(A368),"",IF(A368="PROREP (L)",VLOOKUP(LEFT($A368,6),'Data Feed (40C)'!$A$1:$G$10,7,FALSE),IF(A368="PROREP (S)", INDEX('Data Feed (40C)'!G:G, MATCH(LEFT($A368,6), 'Data Feed (40C)'!$A$1:$A$10, 0) + 1, +1), VLOOKUP($A368,'Data Feed (40C)'!$A$1:$G$10,7,FALSE))))</f>
        <v/>
      </c>
      <c r="F368" s="7"/>
      <c r="G368" s="8"/>
    </row>
    <row r="369">
      <c r="A369" s="9" t="str">
        <f t="shared" ref="A369:A373" si="429">A368</f>
        <v/>
      </c>
      <c r="B369" s="9" t="str">
        <f>IF(ISBLANK(A368),"",LEFT(B368,27)&amp;VALUE(RIGHT(B368,1)+1))</f>
        <v/>
      </c>
      <c r="C369" s="6" t="str">
        <f t="shared" ref="C369:D369" si="428">C368</f>
        <v/>
      </c>
      <c r="D369" s="6" t="str">
        <f t="shared" si="428"/>
        <v/>
      </c>
      <c r="E369" s="10" t="str">
        <f>IF(ISBLANK(A368),"",E368+1)</f>
        <v/>
      </c>
      <c r="F369" s="11" t="str">
        <f t="shared" ref="F369:F373" si="431">F368</f>
        <v/>
      </c>
      <c r="G369" s="8"/>
    </row>
    <row r="370">
      <c r="A370" s="9" t="str">
        <f t="shared" si="429"/>
        <v/>
      </c>
      <c r="B370" s="9" t="str">
        <f>IF(ISBLANK(A368),"",LEFT(B369,27)&amp;VALUE(RIGHT(B369,1)+1))</f>
        <v/>
      </c>
      <c r="C370" s="6" t="str">
        <f t="shared" ref="C370:D370" si="430">C369</f>
        <v/>
      </c>
      <c r="D370" s="6" t="str">
        <f t="shared" si="430"/>
        <v/>
      </c>
      <c r="E370" s="10" t="str">
        <f>IF(ISBLANK(A368),"",E369+1)</f>
        <v/>
      </c>
      <c r="F370" s="11" t="str">
        <f t="shared" si="431"/>
        <v/>
      </c>
      <c r="G370" s="8"/>
    </row>
    <row r="371">
      <c r="A371" s="9" t="str">
        <f t="shared" si="429"/>
        <v/>
      </c>
      <c r="B371" s="9" t="str">
        <f>IF(ISBLANK(A368),"",LEFT(B370,27)&amp;VALUE(RIGHT(B370,1)+1))</f>
        <v/>
      </c>
      <c r="C371" s="6" t="str">
        <f t="shared" ref="C371:D371" si="432">C370</f>
        <v/>
      </c>
      <c r="D371" s="6" t="str">
        <f t="shared" si="432"/>
        <v/>
      </c>
      <c r="E371" s="10" t="str">
        <f>IF(ISBLANK(A368),"",E370+1)</f>
        <v/>
      </c>
      <c r="F371" s="11" t="str">
        <f t="shared" si="431"/>
        <v/>
      </c>
      <c r="G371" s="8"/>
    </row>
    <row r="372">
      <c r="A372" s="9" t="str">
        <f t="shared" si="429"/>
        <v/>
      </c>
      <c r="B372" s="9" t="str">
        <f>IF(ISBLANK(A368),"",LEFT(B371,27)&amp;VALUE(RIGHT(B371,1)+1))</f>
        <v/>
      </c>
      <c r="C372" s="6" t="str">
        <f t="shared" ref="C372:D372" si="433">C371</f>
        <v/>
      </c>
      <c r="D372" s="6" t="str">
        <f t="shared" si="433"/>
        <v/>
      </c>
      <c r="E372" s="10" t="str">
        <f>IF(ISBLANK(A368),"",E371+1)</f>
        <v/>
      </c>
      <c r="F372" s="11" t="str">
        <f t="shared" si="431"/>
        <v/>
      </c>
      <c r="G372" s="8"/>
    </row>
    <row r="373">
      <c r="A373" s="12" t="str">
        <f t="shared" si="429"/>
        <v/>
      </c>
      <c r="B373" s="12" t="str">
        <f>IF(ISBLANK(A368),"",LEFT(B372,27)&amp;VALUE(RIGHT(B372,1)+1))</f>
        <v/>
      </c>
      <c r="C373" s="13" t="str">
        <f t="shared" ref="C373:D373" si="434">C372</f>
        <v/>
      </c>
      <c r="D373" s="13" t="str">
        <f t="shared" si="434"/>
        <v/>
      </c>
      <c r="E373" s="14" t="str">
        <f>IF(ISBLANK(A368),"",E372+1)</f>
        <v/>
      </c>
      <c r="F373" s="15" t="str">
        <f t="shared" si="431"/>
        <v/>
      </c>
      <c r="G373" s="16"/>
    </row>
    <row r="374">
      <c r="A374" s="5"/>
      <c r="B374" s="6" t="str">
        <f t="array" ref="B374">IF(ISBLANK(A374),"",IF(A374="PROREP (L)",VLOOKUP(LEFT($A374,6),'Data Feed (40C)'!$A$1:$G$10,2,FALSE),IF(A374="PROREP (S)", INDEX('Data Feed (40C)'!B:B, MATCH(LEFT($A374,6), 'Data Feed (40C)'!$A$1:$A$10, 0) + 1), VLOOKUP($A374,'Data Feed (40C)'!$A$1:$G$10,2,FALSE))))</f>
        <v/>
      </c>
      <c r="C374" s="6" t="str">
        <f t="array" ref="C374">IF(ISBLANK(A374),"",IF(A374="PROREP (L)",VLOOKUP(LEFT($A374,6),'Data Feed (40C)'!$A$1:$G$10,3,FALSE),IF(A374="PROREP (S)", INDEX('Data Feed (40C)'!C:C, MATCH(LEFT($A374,6), 'Data Feed (40C)'!$A$1:$A$10, 0) + 1, +1), VLOOKUP($A374,'Data Feed (40C)'!$A$1:$G$10,3,FALSE))))</f>
        <v/>
      </c>
      <c r="D374" s="6" t="str">
        <f t="array" ref="D374">IF(ISBLANK(A374),"",IF(A374="PROREP (L)",VLOOKUP(LEFT($A374,6),'Data Feed (40C)'!$A$1:$G$10,4,FALSE),IF(A374="PROREP (S)", INDEX('Data Feed (40C)'!D:D, MATCH(LEFT($A374,6), 'Data Feed (40C)'!$A$1:$A$10, 0) + 1, +1), VLOOKUP($A374,'Data Feed (40C)'!$A$1:$G$10,4,FALSE))))</f>
        <v/>
      </c>
      <c r="E374" s="6" t="str">
        <f t="array" ref="E374">IF(ISBLANK(A374),"",IF(A374="PROREP (L)",VLOOKUP(LEFT($A374,6),'Data Feed (40C)'!$A$1:$G$10,7,FALSE),IF(A374="PROREP (S)", INDEX('Data Feed (40C)'!G:G, MATCH(LEFT($A374,6), 'Data Feed (40C)'!$A$1:$A$10, 0) + 1, +1), VLOOKUP($A374,'Data Feed (40C)'!$A$1:$G$10,7,FALSE))))</f>
        <v/>
      </c>
      <c r="F374" s="7"/>
      <c r="G374" s="8"/>
    </row>
    <row r="375">
      <c r="A375" s="9" t="str">
        <f t="shared" ref="A375:A379" si="436">A374</f>
        <v/>
      </c>
      <c r="B375" s="9" t="str">
        <f>IF(ISBLANK(A374),"",LEFT(B374,27)&amp;VALUE(RIGHT(B374,1)+1))</f>
        <v/>
      </c>
      <c r="C375" s="6" t="str">
        <f t="shared" ref="C375:D375" si="435">C374</f>
        <v/>
      </c>
      <c r="D375" s="6" t="str">
        <f t="shared" si="435"/>
        <v/>
      </c>
      <c r="E375" s="10" t="str">
        <f>IF(ISBLANK(A374),"",E374+1)</f>
        <v/>
      </c>
      <c r="F375" s="11" t="str">
        <f t="shared" ref="F375:F379" si="438">F374</f>
        <v/>
      </c>
      <c r="G375" s="8"/>
    </row>
    <row r="376">
      <c r="A376" s="9" t="str">
        <f t="shared" si="436"/>
        <v/>
      </c>
      <c r="B376" s="9" t="str">
        <f>IF(ISBLANK(A374),"",LEFT(B375,27)&amp;VALUE(RIGHT(B375,1)+1))</f>
        <v/>
      </c>
      <c r="C376" s="6" t="str">
        <f t="shared" ref="C376:D376" si="437">C375</f>
        <v/>
      </c>
      <c r="D376" s="6" t="str">
        <f t="shared" si="437"/>
        <v/>
      </c>
      <c r="E376" s="10" t="str">
        <f>IF(ISBLANK(A374),"",E375+1)</f>
        <v/>
      </c>
      <c r="F376" s="11" t="str">
        <f t="shared" si="438"/>
        <v/>
      </c>
      <c r="G376" s="8"/>
    </row>
    <row r="377">
      <c r="A377" s="9" t="str">
        <f t="shared" si="436"/>
        <v/>
      </c>
      <c r="B377" s="9" t="str">
        <f>IF(ISBLANK(A374),"",LEFT(B376,27)&amp;VALUE(RIGHT(B376,1)+1))</f>
        <v/>
      </c>
      <c r="C377" s="6" t="str">
        <f t="shared" ref="C377:D377" si="439">C376</f>
        <v/>
      </c>
      <c r="D377" s="6" t="str">
        <f t="shared" si="439"/>
        <v/>
      </c>
      <c r="E377" s="10" t="str">
        <f>IF(ISBLANK(A374),"",E376+1)</f>
        <v/>
      </c>
      <c r="F377" s="11" t="str">
        <f t="shared" si="438"/>
        <v/>
      </c>
      <c r="G377" s="8"/>
    </row>
    <row r="378">
      <c r="A378" s="9" t="str">
        <f t="shared" si="436"/>
        <v/>
      </c>
      <c r="B378" s="9" t="str">
        <f>IF(ISBLANK(A374),"",LEFT(B377,27)&amp;VALUE(RIGHT(B377,1)+1))</f>
        <v/>
      </c>
      <c r="C378" s="6" t="str">
        <f t="shared" ref="C378:D378" si="440">C377</f>
        <v/>
      </c>
      <c r="D378" s="6" t="str">
        <f t="shared" si="440"/>
        <v/>
      </c>
      <c r="E378" s="10" t="str">
        <f>IF(ISBLANK(A374),"",E377+1)</f>
        <v/>
      </c>
      <c r="F378" s="11" t="str">
        <f t="shared" si="438"/>
        <v/>
      </c>
      <c r="G378" s="8"/>
    </row>
    <row r="379">
      <c r="A379" s="12" t="str">
        <f t="shared" si="436"/>
        <v/>
      </c>
      <c r="B379" s="12" t="str">
        <f>IF(ISBLANK(A374),"",LEFT(B378,27)&amp;VALUE(RIGHT(B378,1)+1))</f>
        <v/>
      </c>
      <c r="C379" s="13" t="str">
        <f t="shared" ref="C379:D379" si="441">C378</f>
        <v/>
      </c>
      <c r="D379" s="13" t="str">
        <f t="shared" si="441"/>
        <v/>
      </c>
      <c r="E379" s="14" t="str">
        <f>IF(ISBLANK(A374),"",E378+1)</f>
        <v/>
      </c>
      <c r="F379" s="15" t="str">
        <f t="shared" si="438"/>
        <v/>
      </c>
      <c r="G379" s="16"/>
    </row>
    <row r="380">
      <c r="A380" s="5"/>
      <c r="B380" s="6" t="str">
        <f t="array" ref="B380">IF(ISBLANK(A380),"",IF(A380="PROREP (L)",VLOOKUP(LEFT($A380,6),'Data Feed (40C)'!$A$1:$G$10,2,FALSE),IF(A380="PROREP (S)", INDEX('Data Feed (40C)'!B:B, MATCH(LEFT($A380,6), 'Data Feed (40C)'!$A$1:$A$10, 0) + 1), VLOOKUP($A380,'Data Feed (40C)'!$A$1:$G$10,2,FALSE))))</f>
        <v/>
      </c>
      <c r="C380" s="6" t="str">
        <f t="array" ref="C380">IF(ISBLANK(A380),"",IF(A380="PROREP (L)",VLOOKUP(LEFT($A380,6),'Data Feed (40C)'!$A$1:$G$10,3,FALSE),IF(A380="PROREP (S)", INDEX('Data Feed (40C)'!C:C, MATCH(LEFT($A380,6), 'Data Feed (40C)'!$A$1:$A$10, 0) + 1, +1), VLOOKUP($A380,'Data Feed (40C)'!$A$1:$G$10,3,FALSE))))</f>
        <v/>
      </c>
      <c r="D380" s="6" t="str">
        <f t="array" ref="D380">IF(ISBLANK(A380),"",IF(A380="PROREP (L)",VLOOKUP(LEFT($A380,6),'Data Feed (40C)'!$A$1:$G$10,4,FALSE),IF(A380="PROREP (S)", INDEX('Data Feed (40C)'!D:D, MATCH(LEFT($A380,6), 'Data Feed (40C)'!$A$1:$A$10, 0) + 1, +1), VLOOKUP($A380,'Data Feed (40C)'!$A$1:$G$10,4,FALSE))))</f>
        <v/>
      </c>
      <c r="E380" s="6" t="str">
        <f t="array" ref="E380">IF(ISBLANK(A380),"",IF(A380="PROREP (L)",VLOOKUP(LEFT($A380,6),'Data Feed (40C)'!$A$1:$G$10,7,FALSE),IF(A380="PROREP (S)", INDEX('Data Feed (40C)'!G:G, MATCH(LEFT($A380,6), 'Data Feed (40C)'!$A$1:$A$10, 0) + 1, +1), VLOOKUP($A380,'Data Feed (40C)'!$A$1:$G$10,7,FALSE))))</f>
        <v/>
      </c>
      <c r="F380" s="7"/>
      <c r="G380" s="8"/>
    </row>
    <row r="381">
      <c r="A381" s="9" t="str">
        <f t="shared" ref="A381:A385" si="443">A380</f>
        <v/>
      </c>
      <c r="B381" s="9" t="str">
        <f>IF(ISBLANK(A380),"",LEFT(B380,27)&amp;VALUE(RIGHT(B380,1)+1))</f>
        <v/>
      </c>
      <c r="C381" s="6" t="str">
        <f t="shared" ref="C381:D381" si="442">C380</f>
        <v/>
      </c>
      <c r="D381" s="6" t="str">
        <f t="shared" si="442"/>
        <v/>
      </c>
      <c r="E381" s="10" t="str">
        <f>IF(ISBLANK(A380),"",E380+1)</f>
        <v/>
      </c>
      <c r="F381" s="11" t="str">
        <f t="shared" ref="F381:F385" si="445">F380</f>
        <v/>
      </c>
      <c r="G381" s="8"/>
    </row>
    <row r="382">
      <c r="A382" s="9" t="str">
        <f t="shared" si="443"/>
        <v/>
      </c>
      <c r="B382" s="9" t="str">
        <f>IF(ISBLANK(A380),"",LEFT(B381,27)&amp;VALUE(RIGHT(B381,1)+1))</f>
        <v/>
      </c>
      <c r="C382" s="6" t="str">
        <f t="shared" ref="C382:D382" si="444">C381</f>
        <v/>
      </c>
      <c r="D382" s="6" t="str">
        <f t="shared" si="444"/>
        <v/>
      </c>
      <c r="E382" s="10" t="str">
        <f>IF(ISBLANK(A380),"",E381+1)</f>
        <v/>
      </c>
      <c r="F382" s="11" t="str">
        <f t="shared" si="445"/>
        <v/>
      </c>
      <c r="G382" s="8"/>
    </row>
    <row r="383">
      <c r="A383" s="9" t="str">
        <f t="shared" si="443"/>
        <v/>
      </c>
      <c r="B383" s="9" t="str">
        <f>IF(ISBLANK(A380),"",LEFT(B382,27)&amp;VALUE(RIGHT(B382,1)+1))</f>
        <v/>
      </c>
      <c r="C383" s="6" t="str">
        <f t="shared" ref="C383:D383" si="446">C382</f>
        <v/>
      </c>
      <c r="D383" s="6" t="str">
        <f t="shared" si="446"/>
        <v/>
      </c>
      <c r="E383" s="10" t="str">
        <f>IF(ISBLANK(A380),"",E382+1)</f>
        <v/>
      </c>
      <c r="F383" s="11" t="str">
        <f t="shared" si="445"/>
        <v/>
      </c>
      <c r="G383" s="8"/>
    </row>
    <row r="384">
      <c r="A384" s="9" t="str">
        <f t="shared" si="443"/>
        <v/>
      </c>
      <c r="B384" s="9" t="str">
        <f>IF(ISBLANK(A380),"",LEFT(B383,27)&amp;VALUE(RIGHT(B383,1)+1))</f>
        <v/>
      </c>
      <c r="C384" s="6" t="str">
        <f t="shared" ref="C384:D384" si="447">C383</f>
        <v/>
      </c>
      <c r="D384" s="6" t="str">
        <f t="shared" si="447"/>
        <v/>
      </c>
      <c r="E384" s="10" t="str">
        <f>IF(ISBLANK(A380),"",E383+1)</f>
        <v/>
      </c>
      <c r="F384" s="11" t="str">
        <f t="shared" si="445"/>
        <v/>
      </c>
      <c r="G384" s="8"/>
    </row>
    <row r="385">
      <c r="A385" s="12" t="str">
        <f t="shared" si="443"/>
        <v/>
      </c>
      <c r="B385" s="12" t="str">
        <f>IF(ISBLANK(A380),"",LEFT(B384,27)&amp;VALUE(RIGHT(B384,1)+1))</f>
        <v/>
      </c>
      <c r="C385" s="13" t="str">
        <f t="shared" ref="C385:D385" si="448">C384</f>
        <v/>
      </c>
      <c r="D385" s="13" t="str">
        <f t="shared" si="448"/>
        <v/>
      </c>
      <c r="E385" s="14" t="str">
        <f>IF(ISBLANK(A380),"",E384+1)</f>
        <v/>
      </c>
      <c r="F385" s="15" t="str">
        <f t="shared" si="445"/>
        <v/>
      </c>
      <c r="G385" s="16"/>
    </row>
    <row r="386">
      <c r="A386" s="5"/>
      <c r="B386" s="6" t="str">
        <f t="array" ref="B386">IF(ISBLANK(A386),"",IF(A386="PROREP (L)",VLOOKUP(LEFT($A386,6),'Data Feed (40C)'!$A$1:$G$10,2,FALSE),IF(A386="PROREP (S)", INDEX('Data Feed (40C)'!B:B, MATCH(LEFT($A386,6), 'Data Feed (40C)'!$A$1:$A$10, 0) + 1), VLOOKUP($A386,'Data Feed (40C)'!$A$1:$G$10,2,FALSE))))</f>
        <v/>
      </c>
      <c r="C386" s="6" t="str">
        <f t="array" ref="C386">IF(ISBLANK(A386),"",IF(A386="PROREP (L)",VLOOKUP(LEFT($A386,6),'Data Feed (40C)'!$A$1:$G$10,3,FALSE),IF(A386="PROREP (S)", INDEX('Data Feed (40C)'!C:C, MATCH(LEFT($A386,6), 'Data Feed (40C)'!$A$1:$A$10, 0) + 1, +1), VLOOKUP($A386,'Data Feed (40C)'!$A$1:$G$10,3,FALSE))))</f>
        <v/>
      </c>
      <c r="D386" s="6" t="str">
        <f t="array" ref="D386">IF(ISBLANK(A386),"",IF(A386="PROREP (L)",VLOOKUP(LEFT($A386,6),'Data Feed (40C)'!$A$1:$G$10,4,FALSE),IF(A386="PROREP (S)", INDEX('Data Feed (40C)'!D:D, MATCH(LEFT($A386,6), 'Data Feed (40C)'!$A$1:$A$10, 0) + 1, +1), VLOOKUP($A386,'Data Feed (40C)'!$A$1:$G$10,4,FALSE))))</f>
        <v/>
      </c>
      <c r="E386" s="6" t="str">
        <f t="array" ref="E386">IF(ISBLANK(A386),"",IF(A386="PROREP (L)",VLOOKUP(LEFT($A386,6),'Data Feed (40C)'!$A$1:$G$10,7,FALSE),IF(A386="PROREP (S)", INDEX('Data Feed (40C)'!G:G, MATCH(LEFT($A386,6), 'Data Feed (40C)'!$A$1:$A$10, 0) + 1, +1), VLOOKUP($A386,'Data Feed (40C)'!$A$1:$G$10,7,FALSE))))</f>
        <v/>
      </c>
      <c r="F386" s="7"/>
      <c r="G386" s="8"/>
    </row>
    <row r="387">
      <c r="A387" s="9" t="str">
        <f t="shared" ref="A387:A391" si="450">A386</f>
        <v/>
      </c>
      <c r="B387" s="9" t="str">
        <f>IF(ISBLANK(A386),"",LEFT(B386,27)&amp;VALUE(RIGHT(B386,1)+1))</f>
        <v/>
      </c>
      <c r="C387" s="6" t="str">
        <f t="shared" ref="C387:D387" si="449">C386</f>
        <v/>
      </c>
      <c r="D387" s="6" t="str">
        <f t="shared" si="449"/>
        <v/>
      </c>
      <c r="E387" s="10" t="str">
        <f>IF(ISBLANK(A386),"",E386+1)</f>
        <v/>
      </c>
      <c r="F387" s="11" t="str">
        <f t="shared" ref="F387:F391" si="452">F386</f>
        <v/>
      </c>
      <c r="G387" s="8"/>
    </row>
    <row r="388">
      <c r="A388" s="9" t="str">
        <f t="shared" si="450"/>
        <v/>
      </c>
      <c r="B388" s="9" t="str">
        <f>IF(ISBLANK(A386),"",LEFT(B387,27)&amp;VALUE(RIGHT(B387,1)+1))</f>
        <v/>
      </c>
      <c r="C388" s="6" t="str">
        <f t="shared" ref="C388:D388" si="451">C387</f>
        <v/>
      </c>
      <c r="D388" s="6" t="str">
        <f t="shared" si="451"/>
        <v/>
      </c>
      <c r="E388" s="10" t="str">
        <f>IF(ISBLANK(A386),"",E387+1)</f>
        <v/>
      </c>
      <c r="F388" s="11" t="str">
        <f t="shared" si="452"/>
        <v/>
      </c>
      <c r="G388" s="8"/>
    </row>
    <row r="389">
      <c r="A389" s="9" t="str">
        <f t="shared" si="450"/>
        <v/>
      </c>
      <c r="B389" s="9" t="str">
        <f>IF(ISBLANK(A386),"",LEFT(B388,27)&amp;VALUE(RIGHT(B388,1)+1))</f>
        <v/>
      </c>
      <c r="C389" s="6" t="str">
        <f t="shared" ref="C389:D389" si="453">C388</f>
        <v/>
      </c>
      <c r="D389" s="6" t="str">
        <f t="shared" si="453"/>
        <v/>
      </c>
      <c r="E389" s="10" t="str">
        <f>IF(ISBLANK(A386),"",E388+1)</f>
        <v/>
      </c>
      <c r="F389" s="11" t="str">
        <f t="shared" si="452"/>
        <v/>
      </c>
      <c r="G389" s="8"/>
    </row>
    <row r="390">
      <c r="A390" s="9" t="str">
        <f t="shared" si="450"/>
        <v/>
      </c>
      <c r="B390" s="9" t="str">
        <f>IF(ISBLANK(A386),"",LEFT(B389,27)&amp;VALUE(RIGHT(B389,1)+1))</f>
        <v/>
      </c>
      <c r="C390" s="6" t="str">
        <f t="shared" ref="C390:D390" si="454">C389</f>
        <v/>
      </c>
      <c r="D390" s="6" t="str">
        <f t="shared" si="454"/>
        <v/>
      </c>
      <c r="E390" s="10" t="str">
        <f>IF(ISBLANK(A386),"",E389+1)</f>
        <v/>
      </c>
      <c r="F390" s="11" t="str">
        <f t="shared" si="452"/>
        <v/>
      </c>
      <c r="G390" s="8"/>
    </row>
    <row r="391">
      <c r="A391" s="12" t="str">
        <f t="shared" si="450"/>
        <v/>
      </c>
      <c r="B391" s="12" t="str">
        <f>IF(ISBLANK(A386),"",LEFT(B390,27)&amp;VALUE(RIGHT(B390,1)+1))</f>
        <v/>
      </c>
      <c r="C391" s="13" t="str">
        <f t="shared" ref="C391:D391" si="455">C390</f>
        <v/>
      </c>
      <c r="D391" s="13" t="str">
        <f t="shared" si="455"/>
        <v/>
      </c>
      <c r="E391" s="14" t="str">
        <f>IF(ISBLANK(A386),"",E390+1)</f>
        <v/>
      </c>
      <c r="F391" s="15" t="str">
        <f t="shared" si="452"/>
        <v/>
      </c>
      <c r="G391" s="16"/>
    </row>
    <row r="392">
      <c r="A392" s="5"/>
      <c r="B392" s="6" t="str">
        <f t="array" ref="B392">IF(ISBLANK(A392),"",IF(A392="PROREP (L)",VLOOKUP(LEFT($A392,6),'Data Feed (40C)'!$A$1:$G$10,2,FALSE),IF(A392="PROREP (S)", INDEX('Data Feed (40C)'!B:B, MATCH(LEFT($A392,6), 'Data Feed (40C)'!$A$1:$A$10, 0) + 1), VLOOKUP($A392,'Data Feed (40C)'!$A$1:$G$10,2,FALSE))))</f>
        <v/>
      </c>
      <c r="C392" s="6" t="str">
        <f t="array" ref="C392">IF(ISBLANK(A392),"",IF(A392="PROREP (L)",VLOOKUP(LEFT($A392,6),'Data Feed (40C)'!$A$1:$G$10,3,FALSE),IF(A392="PROREP (S)", INDEX('Data Feed (40C)'!C:C, MATCH(LEFT($A392,6), 'Data Feed (40C)'!$A$1:$A$10, 0) + 1, +1), VLOOKUP($A392,'Data Feed (40C)'!$A$1:$G$10,3,FALSE))))</f>
        <v/>
      </c>
      <c r="D392" s="6" t="str">
        <f t="array" ref="D392">IF(ISBLANK(A392),"",IF(A392="PROREP (L)",VLOOKUP(LEFT($A392,6),'Data Feed (40C)'!$A$1:$G$10,4,FALSE),IF(A392="PROREP (S)", INDEX('Data Feed (40C)'!D:D, MATCH(LEFT($A392,6), 'Data Feed (40C)'!$A$1:$A$10, 0) + 1, +1), VLOOKUP($A392,'Data Feed (40C)'!$A$1:$G$10,4,FALSE))))</f>
        <v/>
      </c>
      <c r="E392" s="6" t="str">
        <f t="array" ref="E392">IF(ISBLANK(A392),"",IF(A392="PROREP (L)",VLOOKUP(LEFT($A392,6),'Data Feed (40C)'!$A$1:$G$10,7,FALSE),IF(A392="PROREP (S)", INDEX('Data Feed (40C)'!G:G, MATCH(LEFT($A392,6), 'Data Feed (40C)'!$A$1:$A$10, 0) + 1, +1), VLOOKUP($A392,'Data Feed (40C)'!$A$1:$G$10,7,FALSE))))</f>
        <v/>
      </c>
      <c r="F392" s="7"/>
      <c r="G392" s="8"/>
    </row>
    <row r="393">
      <c r="A393" s="9" t="str">
        <f t="shared" ref="A393:A397" si="457">A392</f>
        <v/>
      </c>
      <c r="B393" s="9" t="str">
        <f>IF(ISBLANK(A392),"",LEFT(B392,27)&amp;VALUE(RIGHT(B392,1)+1))</f>
        <v/>
      </c>
      <c r="C393" s="6" t="str">
        <f t="shared" ref="C393:D393" si="456">C392</f>
        <v/>
      </c>
      <c r="D393" s="6" t="str">
        <f t="shared" si="456"/>
        <v/>
      </c>
      <c r="E393" s="10" t="str">
        <f>IF(ISBLANK(A392),"",E392+1)</f>
        <v/>
      </c>
      <c r="F393" s="11" t="str">
        <f t="shared" ref="F393:F397" si="459">F392</f>
        <v/>
      </c>
      <c r="G393" s="8"/>
    </row>
    <row r="394">
      <c r="A394" s="9" t="str">
        <f t="shared" si="457"/>
        <v/>
      </c>
      <c r="B394" s="9" t="str">
        <f>IF(ISBLANK(A392),"",LEFT(B393,27)&amp;VALUE(RIGHT(B393,1)+1))</f>
        <v/>
      </c>
      <c r="C394" s="6" t="str">
        <f t="shared" ref="C394:D394" si="458">C393</f>
        <v/>
      </c>
      <c r="D394" s="6" t="str">
        <f t="shared" si="458"/>
        <v/>
      </c>
      <c r="E394" s="10" t="str">
        <f>IF(ISBLANK(A392),"",E393+1)</f>
        <v/>
      </c>
      <c r="F394" s="11" t="str">
        <f t="shared" si="459"/>
        <v/>
      </c>
      <c r="G394" s="8"/>
    </row>
    <row r="395">
      <c r="A395" s="9" t="str">
        <f t="shared" si="457"/>
        <v/>
      </c>
      <c r="B395" s="9" t="str">
        <f>IF(ISBLANK(A392),"",LEFT(B394,27)&amp;VALUE(RIGHT(B394,1)+1))</f>
        <v/>
      </c>
      <c r="C395" s="6" t="str">
        <f t="shared" ref="C395:D395" si="460">C394</f>
        <v/>
      </c>
      <c r="D395" s="6" t="str">
        <f t="shared" si="460"/>
        <v/>
      </c>
      <c r="E395" s="10" t="str">
        <f>IF(ISBLANK(A392),"",E394+1)</f>
        <v/>
      </c>
      <c r="F395" s="11" t="str">
        <f t="shared" si="459"/>
        <v/>
      </c>
      <c r="G395" s="8"/>
    </row>
    <row r="396">
      <c r="A396" s="9" t="str">
        <f t="shared" si="457"/>
        <v/>
      </c>
      <c r="B396" s="9" t="str">
        <f>IF(ISBLANK(A392),"",LEFT(B395,27)&amp;VALUE(RIGHT(B395,1)+1))</f>
        <v/>
      </c>
      <c r="C396" s="6" t="str">
        <f t="shared" ref="C396:D396" si="461">C395</f>
        <v/>
      </c>
      <c r="D396" s="6" t="str">
        <f t="shared" si="461"/>
        <v/>
      </c>
      <c r="E396" s="10" t="str">
        <f>IF(ISBLANK(A392),"",E395+1)</f>
        <v/>
      </c>
      <c r="F396" s="11" t="str">
        <f t="shared" si="459"/>
        <v/>
      </c>
      <c r="G396" s="8"/>
    </row>
    <row r="397">
      <c r="A397" s="12" t="str">
        <f t="shared" si="457"/>
        <v/>
      </c>
      <c r="B397" s="12" t="str">
        <f>IF(ISBLANK(A392),"",LEFT(B396,27)&amp;VALUE(RIGHT(B396,1)+1))</f>
        <v/>
      </c>
      <c r="C397" s="13" t="str">
        <f t="shared" ref="C397:D397" si="462">C396</f>
        <v/>
      </c>
      <c r="D397" s="13" t="str">
        <f t="shared" si="462"/>
        <v/>
      </c>
      <c r="E397" s="14" t="str">
        <f>IF(ISBLANK(A392),"",E396+1)</f>
        <v/>
      </c>
      <c r="F397" s="15" t="str">
        <f t="shared" si="459"/>
        <v/>
      </c>
      <c r="G397" s="16"/>
    </row>
    <row r="398">
      <c r="A398" s="5"/>
      <c r="B398" s="6" t="str">
        <f t="array" ref="B398">IF(ISBLANK(A398),"",IF(A398="PROREP (L)",VLOOKUP(LEFT($A398,6),'Data Feed (40C)'!$A$1:$G$10,2,FALSE),IF(A398="PROREP (S)", INDEX('Data Feed (40C)'!B:B, MATCH(LEFT($A398,6), 'Data Feed (40C)'!$A$1:$A$10, 0) + 1), VLOOKUP($A398,'Data Feed (40C)'!$A$1:$G$10,2,FALSE))))</f>
        <v/>
      </c>
      <c r="C398" s="6" t="str">
        <f t="array" ref="C398">IF(ISBLANK(A398),"",IF(A398="PROREP (L)",VLOOKUP(LEFT($A398,6),'Data Feed (40C)'!$A$1:$G$10,3,FALSE),IF(A398="PROREP (S)", INDEX('Data Feed (40C)'!C:C, MATCH(LEFT($A398,6), 'Data Feed (40C)'!$A$1:$A$10, 0) + 1, +1), VLOOKUP($A398,'Data Feed (40C)'!$A$1:$G$10,3,FALSE))))</f>
        <v/>
      </c>
      <c r="D398" s="6" t="str">
        <f t="array" ref="D398">IF(ISBLANK(A398),"",IF(A398="PROREP (L)",VLOOKUP(LEFT($A398,6),'Data Feed (40C)'!$A$1:$G$10,4,FALSE),IF(A398="PROREP (S)", INDEX('Data Feed (40C)'!D:D, MATCH(LEFT($A398,6), 'Data Feed (40C)'!$A$1:$A$10, 0) + 1, +1), VLOOKUP($A398,'Data Feed (40C)'!$A$1:$G$10,4,FALSE))))</f>
        <v/>
      </c>
      <c r="E398" s="6" t="str">
        <f t="array" ref="E398">IF(ISBLANK(A398),"",IF(A398="PROREP (L)",VLOOKUP(LEFT($A398,6),'Data Feed (40C)'!$A$1:$G$10,7,FALSE),IF(A398="PROREP (S)", INDEX('Data Feed (40C)'!G:G, MATCH(LEFT($A398,6), 'Data Feed (40C)'!$A$1:$A$10, 0) + 1, +1), VLOOKUP($A398,'Data Feed (40C)'!$A$1:$G$10,7,FALSE))))</f>
        <v/>
      </c>
      <c r="F398" s="7"/>
      <c r="G398" s="8"/>
    </row>
    <row r="399">
      <c r="A399" s="9" t="str">
        <f t="shared" ref="A399:A403" si="464">A398</f>
        <v/>
      </c>
      <c r="B399" s="9" t="str">
        <f>IF(ISBLANK(A398),"",LEFT(B398,27)&amp;VALUE(RIGHT(B398,1)+1))</f>
        <v/>
      </c>
      <c r="C399" s="6" t="str">
        <f t="shared" ref="C399:D399" si="463">C398</f>
        <v/>
      </c>
      <c r="D399" s="6" t="str">
        <f t="shared" si="463"/>
        <v/>
      </c>
      <c r="E399" s="10" t="str">
        <f>IF(ISBLANK(A398),"",E398+1)</f>
        <v/>
      </c>
      <c r="F399" s="11" t="str">
        <f t="shared" ref="F399:F403" si="466">F398</f>
        <v/>
      </c>
      <c r="G399" s="8"/>
    </row>
    <row r="400">
      <c r="A400" s="9" t="str">
        <f t="shared" si="464"/>
        <v/>
      </c>
      <c r="B400" s="9" t="str">
        <f>IF(ISBLANK(A398),"",LEFT(B399,27)&amp;VALUE(RIGHT(B399,1)+1))</f>
        <v/>
      </c>
      <c r="C400" s="6" t="str">
        <f t="shared" ref="C400:D400" si="465">C399</f>
        <v/>
      </c>
      <c r="D400" s="6" t="str">
        <f t="shared" si="465"/>
        <v/>
      </c>
      <c r="E400" s="10" t="str">
        <f>IF(ISBLANK(A398),"",E399+1)</f>
        <v/>
      </c>
      <c r="F400" s="11" t="str">
        <f t="shared" si="466"/>
        <v/>
      </c>
      <c r="G400" s="8"/>
    </row>
    <row r="401">
      <c r="A401" s="9" t="str">
        <f t="shared" si="464"/>
        <v/>
      </c>
      <c r="B401" s="9" t="str">
        <f>IF(ISBLANK(A398),"",LEFT(B400,27)&amp;VALUE(RIGHT(B400,1)+1))</f>
        <v/>
      </c>
      <c r="C401" s="6" t="str">
        <f t="shared" ref="C401:D401" si="467">C400</f>
        <v/>
      </c>
      <c r="D401" s="6" t="str">
        <f t="shared" si="467"/>
        <v/>
      </c>
      <c r="E401" s="10" t="str">
        <f>IF(ISBLANK(A398),"",E400+1)</f>
        <v/>
      </c>
      <c r="F401" s="11" t="str">
        <f t="shared" si="466"/>
        <v/>
      </c>
      <c r="G401" s="8"/>
    </row>
    <row r="402">
      <c r="A402" s="9" t="str">
        <f t="shared" si="464"/>
        <v/>
      </c>
      <c r="B402" s="9" t="str">
        <f>IF(ISBLANK(A398),"",LEFT(B401,27)&amp;VALUE(RIGHT(B401,1)+1))</f>
        <v/>
      </c>
      <c r="C402" s="6" t="str">
        <f t="shared" ref="C402:D402" si="468">C401</f>
        <v/>
      </c>
      <c r="D402" s="6" t="str">
        <f t="shared" si="468"/>
        <v/>
      </c>
      <c r="E402" s="10" t="str">
        <f>IF(ISBLANK(A398),"",E401+1)</f>
        <v/>
      </c>
      <c r="F402" s="11" t="str">
        <f t="shared" si="466"/>
        <v/>
      </c>
      <c r="G402" s="8"/>
    </row>
    <row r="403">
      <c r="A403" s="12" t="str">
        <f t="shared" si="464"/>
        <v/>
      </c>
      <c r="B403" s="12" t="str">
        <f>IF(ISBLANK(A398),"",LEFT(B402,27)&amp;VALUE(RIGHT(B402,1)+1))</f>
        <v/>
      </c>
      <c r="C403" s="13" t="str">
        <f t="shared" ref="C403:D403" si="469">C402</f>
        <v/>
      </c>
      <c r="D403" s="13" t="str">
        <f t="shared" si="469"/>
        <v/>
      </c>
      <c r="E403" s="14" t="str">
        <f>IF(ISBLANK(A398),"",E402+1)</f>
        <v/>
      </c>
      <c r="F403" s="15" t="str">
        <f t="shared" si="466"/>
        <v/>
      </c>
      <c r="G403" s="16"/>
    </row>
    <row r="404">
      <c r="A404" s="5"/>
      <c r="B404" s="6" t="str">
        <f t="array" ref="B404">IF(ISBLANK(A404),"",IF(A404="PROREP (L)",VLOOKUP(LEFT($A404,6),'Data Feed (40C)'!$A$1:$G$10,2,FALSE),IF(A404="PROREP (S)", INDEX('Data Feed (40C)'!B:B, MATCH(LEFT($A404,6), 'Data Feed (40C)'!$A$1:$A$10, 0) + 1), VLOOKUP($A404,'Data Feed (40C)'!$A$1:$G$10,2,FALSE))))</f>
        <v/>
      </c>
      <c r="C404" s="6" t="str">
        <f t="array" ref="C404">IF(ISBLANK(A404),"",IF(A404="PROREP (L)",VLOOKUP(LEFT($A404,6),'Data Feed (40C)'!$A$1:$G$10,3,FALSE),IF(A404="PROREP (S)", INDEX('Data Feed (40C)'!C:C, MATCH(LEFT($A404,6), 'Data Feed (40C)'!$A$1:$A$10, 0) + 1, +1), VLOOKUP($A404,'Data Feed (40C)'!$A$1:$G$10,3,FALSE))))</f>
        <v/>
      </c>
      <c r="D404" s="6" t="str">
        <f t="array" ref="D404">IF(ISBLANK(A404),"",IF(A404="PROREP (L)",VLOOKUP(LEFT($A404,6),'Data Feed (40C)'!$A$1:$G$10,4,FALSE),IF(A404="PROREP (S)", INDEX('Data Feed (40C)'!D:D, MATCH(LEFT($A404,6), 'Data Feed (40C)'!$A$1:$A$10, 0) + 1, +1), VLOOKUP($A404,'Data Feed (40C)'!$A$1:$G$10,4,FALSE))))</f>
        <v/>
      </c>
      <c r="E404" s="6" t="str">
        <f t="array" ref="E404">IF(ISBLANK(A404),"",IF(A404="PROREP (L)",VLOOKUP(LEFT($A404,6),'Data Feed (40C)'!$A$1:$G$10,7,FALSE),IF(A404="PROREP (S)", INDEX('Data Feed (40C)'!G:G, MATCH(LEFT($A404,6), 'Data Feed (40C)'!$A$1:$A$10, 0) + 1, +1), VLOOKUP($A404,'Data Feed (40C)'!$A$1:$G$10,7,FALSE))))</f>
        <v/>
      </c>
      <c r="F404" s="7"/>
      <c r="G404" s="8"/>
    </row>
    <row r="405">
      <c r="A405" s="9" t="str">
        <f t="shared" ref="A405:A409" si="471">A404</f>
        <v/>
      </c>
      <c r="B405" s="9" t="str">
        <f>IF(ISBLANK(A404),"",LEFT(B404,27)&amp;VALUE(RIGHT(B404,1)+1))</f>
        <v/>
      </c>
      <c r="C405" s="6" t="str">
        <f t="shared" ref="C405:D405" si="470">C404</f>
        <v/>
      </c>
      <c r="D405" s="6" t="str">
        <f t="shared" si="470"/>
        <v/>
      </c>
      <c r="E405" s="10" t="str">
        <f>IF(ISBLANK(A404),"",E404+1)</f>
        <v/>
      </c>
      <c r="F405" s="11" t="str">
        <f t="shared" ref="F405:F409" si="473">F404</f>
        <v/>
      </c>
      <c r="G405" s="8"/>
    </row>
    <row r="406">
      <c r="A406" s="9" t="str">
        <f t="shared" si="471"/>
        <v/>
      </c>
      <c r="B406" s="9" t="str">
        <f>IF(ISBLANK(A404),"",LEFT(B405,27)&amp;VALUE(RIGHT(B405,1)+1))</f>
        <v/>
      </c>
      <c r="C406" s="6" t="str">
        <f t="shared" ref="C406:D406" si="472">C405</f>
        <v/>
      </c>
      <c r="D406" s="6" t="str">
        <f t="shared" si="472"/>
        <v/>
      </c>
      <c r="E406" s="10" t="str">
        <f>IF(ISBLANK(A404),"",E405+1)</f>
        <v/>
      </c>
      <c r="F406" s="11" t="str">
        <f t="shared" si="473"/>
        <v/>
      </c>
      <c r="G406" s="8"/>
    </row>
    <row r="407">
      <c r="A407" s="9" t="str">
        <f t="shared" si="471"/>
        <v/>
      </c>
      <c r="B407" s="9" t="str">
        <f>IF(ISBLANK(A404),"",LEFT(B406,27)&amp;VALUE(RIGHT(B406,1)+1))</f>
        <v/>
      </c>
      <c r="C407" s="6" t="str">
        <f t="shared" ref="C407:D407" si="474">C406</f>
        <v/>
      </c>
      <c r="D407" s="6" t="str">
        <f t="shared" si="474"/>
        <v/>
      </c>
      <c r="E407" s="10" t="str">
        <f>IF(ISBLANK(A404),"",E406+1)</f>
        <v/>
      </c>
      <c r="F407" s="11" t="str">
        <f t="shared" si="473"/>
        <v/>
      </c>
      <c r="G407" s="8"/>
    </row>
    <row r="408">
      <c r="A408" s="9" t="str">
        <f t="shared" si="471"/>
        <v/>
      </c>
      <c r="B408" s="9" t="str">
        <f>IF(ISBLANK(A404),"",LEFT(B407,27)&amp;VALUE(RIGHT(B407,1)+1))</f>
        <v/>
      </c>
      <c r="C408" s="6" t="str">
        <f t="shared" ref="C408:D408" si="475">C407</f>
        <v/>
      </c>
      <c r="D408" s="6" t="str">
        <f t="shared" si="475"/>
        <v/>
      </c>
      <c r="E408" s="10" t="str">
        <f>IF(ISBLANK(A404),"",E407+1)</f>
        <v/>
      </c>
      <c r="F408" s="11" t="str">
        <f t="shared" si="473"/>
        <v/>
      </c>
      <c r="G408" s="8"/>
    </row>
    <row r="409">
      <c r="A409" s="12" t="str">
        <f t="shared" si="471"/>
        <v/>
      </c>
      <c r="B409" s="12" t="str">
        <f>IF(ISBLANK(A404),"",LEFT(B408,27)&amp;VALUE(RIGHT(B408,1)+1))</f>
        <v/>
      </c>
      <c r="C409" s="13" t="str">
        <f t="shared" ref="C409:D409" si="476">C408</f>
        <v/>
      </c>
      <c r="D409" s="13" t="str">
        <f t="shared" si="476"/>
        <v/>
      </c>
      <c r="E409" s="14" t="str">
        <f>IF(ISBLANK(A404),"",E408+1)</f>
        <v/>
      </c>
      <c r="F409" s="15" t="str">
        <f t="shared" si="473"/>
        <v/>
      </c>
      <c r="G409" s="16"/>
    </row>
    <row r="410">
      <c r="A410" s="5"/>
      <c r="B410" s="6" t="str">
        <f t="array" ref="B410">IF(ISBLANK(A410),"",IF(A410="PROREP (L)",VLOOKUP(LEFT($A410,6),'Data Feed (40C)'!$A$1:$G$10,2,FALSE),IF(A410="PROREP (S)", INDEX('Data Feed (40C)'!B:B, MATCH(LEFT($A410,6), 'Data Feed (40C)'!$A$1:$A$10, 0) + 1), VLOOKUP($A410,'Data Feed (40C)'!$A$1:$G$10,2,FALSE))))</f>
        <v/>
      </c>
      <c r="C410" s="6" t="str">
        <f t="array" ref="C410">IF(ISBLANK(A410),"",IF(A410="PROREP (L)",VLOOKUP(LEFT($A410,6),'Data Feed (40C)'!$A$1:$G$10,3,FALSE),IF(A410="PROREP (S)", INDEX('Data Feed (40C)'!C:C, MATCH(LEFT($A410,6), 'Data Feed (40C)'!$A$1:$A$10, 0) + 1, +1), VLOOKUP($A410,'Data Feed (40C)'!$A$1:$G$10,3,FALSE))))</f>
        <v/>
      </c>
      <c r="D410" s="6" t="str">
        <f t="array" ref="D410">IF(ISBLANK(A410),"",IF(A410="PROREP (L)",VLOOKUP(LEFT($A410,6),'Data Feed (40C)'!$A$1:$G$10,4,FALSE),IF(A410="PROREP (S)", INDEX('Data Feed (40C)'!D:D, MATCH(LEFT($A410,6), 'Data Feed (40C)'!$A$1:$A$10, 0) + 1, +1), VLOOKUP($A410,'Data Feed (40C)'!$A$1:$G$10,4,FALSE))))</f>
        <v/>
      </c>
      <c r="E410" s="6" t="str">
        <f t="array" ref="E410">IF(ISBLANK(A410),"",IF(A410="PROREP (L)",VLOOKUP(LEFT($A410,6),'Data Feed (40C)'!$A$1:$G$10,7,FALSE),IF(A410="PROREP (S)", INDEX('Data Feed (40C)'!G:G, MATCH(LEFT($A410,6), 'Data Feed (40C)'!$A$1:$A$10, 0) + 1, +1), VLOOKUP($A410,'Data Feed (40C)'!$A$1:$G$10,7,FALSE))))</f>
        <v/>
      </c>
      <c r="F410" s="7"/>
      <c r="G410" s="8"/>
    </row>
    <row r="411">
      <c r="A411" s="9" t="str">
        <f t="shared" ref="A411:A415" si="478">A410</f>
        <v/>
      </c>
      <c r="B411" s="9" t="str">
        <f>IF(ISBLANK(A410),"",LEFT(B410,27)&amp;VALUE(RIGHT(B410,1)+1))</f>
        <v/>
      </c>
      <c r="C411" s="6" t="str">
        <f t="shared" ref="C411:D411" si="477">C410</f>
        <v/>
      </c>
      <c r="D411" s="6" t="str">
        <f t="shared" si="477"/>
        <v/>
      </c>
      <c r="E411" s="10" t="str">
        <f>IF(ISBLANK(A410),"",E410+1)</f>
        <v/>
      </c>
      <c r="F411" s="11" t="str">
        <f t="shared" ref="F411:F415" si="480">F410</f>
        <v/>
      </c>
      <c r="G411" s="8"/>
    </row>
    <row r="412">
      <c r="A412" s="9" t="str">
        <f t="shared" si="478"/>
        <v/>
      </c>
      <c r="B412" s="9" t="str">
        <f>IF(ISBLANK(A410),"",LEFT(B411,27)&amp;VALUE(RIGHT(B411,1)+1))</f>
        <v/>
      </c>
      <c r="C412" s="6" t="str">
        <f t="shared" ref="C412:D412" si="479">C411</f>
        <v/>
      </c>
      <c r="D412" s="6" t="str">
        <f t="shared" si="479"/>
        <v/>
      </c>
      <c r="E412" s="10" t="str">
        <f>IF(ISBLANK(A410),"",E411+1)</f>
        <v/>
      </c>
      <c r="F412" s="11" t="str">
        <f t="shared" si="480"/>
        <v/>
      </c>
      <c r="G412" s="8"/>
    </row>
    <row r="413">
      <c r="A413" s="9" t="str">
        <f t="shared" si="478"/>
        <v/>
      </c>
      <c r="B413" s="9" t="str">
        <f>IF(ISBLANK(A410),"",LEFT(B412,27)&amp;VALUE(RIGHT(B412,1)+1))</f>
        <v/>
      </c>
      <c r="C413" s="6" t="str">
        <f t="shared" ref="C413:D413" si="481">C412</f>
        <v/>
      </c>
      <c r="D413" s="6" t="str">
        <f t="shared" si="481"/>
        <v/>
      </c>
      <c r="E413" s="10" t="str">
        <f>IF(ISBLANK(A410),"",E412+1)</f>
        <v/>
      </c>
      <c r="F413" s="11" t="str">
        <f t="shared" si="480"/>
        <v/>
      </c>
      <c r="G413" s="8"/>
    </row>
    <row r="414">
      <c r="A414" s="9" t="str">
        <f t="shared" si="478"/>
        <v/>
      </c>
      <c r="B414" s="9" t="str">
        <f>IF(ISBLANK(A410),"",LEFT(B413,27)&amp;VALUE(RIGHT(B413,1)+1))</f>
        <v/>
      </c>
      <c r="C414" s="6" t="str">
        <f t="shared" ref="C414:D414" si="482">C413</f>
        <v/>
      </c>
      <c r="D414" s="6" t="str">
        <f t="shared" si="482"/>
        <v/>
      </c>
      <c r="E414" s="10" t="str">
        <f>IF(ISBLANK(A410),"",E413+1)</f>
        <v/>
      </c>
      <c r="F414" s="11" t="str">
        <f t="shared" si="480"/>
        <v/>
      </c>
      <c r="G414" s="8"/>
    </row>
    <row r="415">
      <c r="A415" s="12" t="str">
        <f t="shared" si="478"/>
        <v/>
      </c>
      <c r="B415" s="12" t="str">
        <f>IF(ISBLANK(A410),"",LEFT(B414,27)&amp;VALUE(RIGHT(B414,1)+1))</f>
        <v/>
      </c>
      <c r="C415" s="13" t="str">
        <f t="shared" ref="C415:D415" si="483">C414</f>
        <v/>
      </c>
      <c r="D415" s="13" t="str">
        <f t="shared" si="483"/>
        <v/>
      </c>
      <c r="E415" s="14" t="str">
        <f>IF(ISBLANK(A410),"",E414+1)</f>
        <v/>
      </c>
      <c r="F415" s="15" t="str">
        <f t="shared" si="480"/>
        <v/>
      </c>
      <c r="G415" s="16"/>
    </row>
    <row r="416">
      <c r="A416" s="5"/>
      <c r="B416" s="6" t="str">
        <f t="array" ref="B416">IF(ISBLANK(A416),"",IF(A416="PROREP (L)",VLOOKUP(LEFT($A416,6),'Data Feed (40C)'!$A$1:$G$10,2,FALSE),IF(A416="PROREP (S)", INDEX('Data Feed (40C)'!B:B, MATCH(LEFT($A416,6), 'Data Feed (40C)'!$A$1:$A$10, 0) + 1), VLOOKUP($A416,'Data Feed (40C)'!$A$1:$G$10,2,FALSE))))</f>
        <v/>
      </c>
      <c r="C416" s="6" t="str">
        <f t="array" ref="C416">IF(ISBLANK(A416),"",IF(A416="PROREP (L)",VLOOKUP(LEFT($A416,6),'Data Feed (40C)'!$A$1:$G$10,3,FALSE),IF(A416="PROREP (S)", INDEX('Data Feed (40C)'!C:C, MATCH(LEFT($A416,6), 'Data Feed (40C)'!$A$1:$A$10, 0) + 1, +1), VLOOKUP($A416,'Data Feed (40C)'!$A$1:$G$10,3,FALSE))))</f>
        <v/>
      </c>
      <c r="D416" s="6" t="str">
        <f t="array" ref="D416">IF(ISBLANK(A416),"",IF(A416="PROREP (L)",VLOOKUP(LEFT($A416,6),'Data Feed (40C)'!$A$1:$G$10,4,FALSE),IF(A416="PROREP (S)", INDEX('Data Feed (40C)'!D:D, MATCH(LEFT($A416,6), 'Data Feed (40C)'!$A$1:$A$10, 0) + 1, +1), VLOOKUP($A416,'Data Feed (40C)'!$A$1:$G$10,4,FALSE))))</f>
        <v/>
      </c>
      <c r="E416" s="6" t="str">
        <f t="array" ref="E416">IF(ISBLANK(A416),"",IF(A416="PROREP (L)",VLOOKUP(LEFT($A416,6),'Data Feed (40C)'!$A$1:$G$10,7,FALSE),IF(A416="PROREP (S)", INDEX('Data Feed (40C)'!G:G, MATCH(LEFT($A416,6), 'Data Feed (40C)'!$A$1:$A$10, 0) + 1, +1), VLOOKUP($A416,'Data Feed (40C)'!$A$1:$G$10,7,FALSE))))</f>
        <v/>
      </c>
      <c r="F416" s="7"/>
      <c r="G416" s="8"/>
    </row>
    <row r="417">
      <c r="A417" s="9" t="str">
        <f t="shared" ref="A417:A421" si="485">A416</f>
        <v/>
      </c>
      <c r="B417" s="9" t="str">
        <f>IF(ISBLANK(A416),"",LEFT(B416,27)&amp;VALUE(RIGHT(B416,1)+1))</f>
        <v/>
      </c>
      <c r="C417" s="6" t="str">
        <f t="shared" ref="C417:D417" si="484">C416</f>
        <v/>
      </c>
      <c r="D417" s="6" t="str">
        <f t="shared" si="484"/>
        <v/>
      </c>
      <c r="E417" s="10" t="str">
        <f>IF(ISBLANK(A416),"",E416+1)</f>
        <v/>
      </c>
      <c r="F417" s="11" t="str">
        <f t="shared" ref="F417:F421" si="487">F416</f>
        <v/>
      </c>
      <c r="G417" s="8"/>
    </row>
    <row r="418">
      <c r="A418" s="9" t="str">
        <f t="shared" si="485"/>
        <v/>
      </c>
      <c r="B418" s="9" t="str">
        <f>IF(ISBLANK(A416),"",LEFT(B417,27)&amp;VALUE(RIGHT(B417,1)+1))</f>
        <v/>
      </c>
      <c r="C418" s="6" t="str">
        <f t="shared" ref="C418:D418" si="486">C417</f>
        <v/>
      </c>
      <c r="D418" s="6" t="str">
        <f t="shared" si="486"/>
        <v/>
      </c>
      <c r="E418" s="10" t="str">
        <f>IF(ISBLANK(A416),"",E417+1)</f>
        <v/>
      </c>
      <c r="F418" s="11" t="str">
        <f t="shared" si="487"/>
        <v/>
      </c>
      <c r="G418" s="8"/>
    </row>
    <row r="419">
      <c r="A419" s="9" t="str">
        <f t="shared" si="485"/>
        <v/>
      </c>
      <c r="B419" s="9" t="str">
        <f>IF(ISBLANK(A416),"",LEFT(B418,27)&amp;VALUE(RIGHT(B418,1)+1))</f>
        <v/>
      </c>
      <c r="C419" s="6" t="str">
        <f t="shared" ref="C419:D419" si="488">C418</f>
        <v/>
      </c>
      <c r="D419" s="6" t="str">
        <f t="shared" si="488"/>
        <v/>
      </c>
      <c r="E419" s="10" t="str">
        <f>IF(ISBLANK(A416),"",E418+1)</f>
        <v/>
      </c>
      <c r="F419" s="11" t="str">
        <f t="shared" si="487"/>
        <v/>
      </c>
      <c r="G419" s="8"/>
    </row>
    <row r="420">
      <c r="A420" s="9" t="str">
        <f t="shared" si="485"/>
        <v/>
      </c>
      <c r="B420" s="9" t="str">
        <f>IF(ISBLANK(A416),"",LEFT(B419,27)&amp;VALUE(RIGHT(B419,1)+1))</f>
        <v/>
      </c>
      <c r="C420" s="6" t="str">
        <f t="shared" ref="C420:D420" si="489">C419</f>
        <v/>
      </c>
      <c r="D420" s="6" t="str">
        <f t="shared" si="489"/>
        <v/>
      </c>
      <c r="E420" s="10" t="str">
        <f>IF(ISBLANK(A416),"",E419+1)</f>
        <v/>
      </c>
      <c r="F420" s="11" t="str">
        <f t="shared" si="487"/>
        <v/>
      </c>
      <c r="G420" s="8"/>
    </row>
    <row r="421">
      <c r="A421" s="12" t="str">
        <f t="shared" si="485"/>
        <v/>
      </c>
      <c r="B421" s="12" t="str">
        <f>IF(ISBLANK(A416),"",LEFT(B420,27)&amp;VALUE(RIGHT(B420,1)+1))</f>
        <v/>
      </c>
      <c r="C421" s="13" t="str">
        <f t="shared" ref="C421:D421" si="490">C420</f>
        <v/>
      </c>
      <c r="D421" s="13" t="str">
        <f t="shared" si="490"/>
        <v/>
      </c>
      <c r="E421" s="14" t="str">
        <f>IF(ISBLANK(A416),"",E420+1)</f>
        <v/>
      </c>
      <c r="F421" s="15" t="str">
        <f t="shared" si="487"/>
        <v/>
      </c>
      <c r="G421" s="16"/>
    </row>
    <row r="422">
      <c r="A422" s="5"/>
      <c r="B422" s="6" t="str">
        <f t="array" ref="B422">IF(ISBLANK(A422),"",IF(A422="PROREP (L)",VLOOKUP(LEFT($A422,6),'Data Feed (40C)'!$A$1:$G$10,2,FALSE),IF(A422="PROREP (S)", INDEX('Data Feed (40C)'!B:B, MATCH(LEFT($A422,6), 'Data Feed (40C)'!$A$1:$A$10, 0) + 1), VLOOKUP($A422,'Data Feed (40C)'!$A$1:$G$10,2,FALSE))))</f>
        <v/>
      </c>
      <c r="C422" s="6" t="str">
        <f t="array" ref="C422">IF(ISBLANK(A422),"",IF(A422="PROREP (L)",VLOOKUP(LEFT($A422,6),'Data Feed (40C)'!$A$1:$G$10,3,FALSE),IF(A422="PROREP (S)", INDEX('Data Feed (40C)'!C:C, MATCH(LEFT($A422,6), 'Data Feed (40C)'!$A$1:$A$10, 0) + 1, +1), VLOOKUP($A422,'Data Feed (40C)'!$A$1:$G$10,3,FALSE))))</f>
        <v/>
      </c>
      <c r="D422" s="6" t="str">
        <f t="array" ref="D422">IF(ISBLANK(A422),"",IF(A422="PROREP (L)",VLOOKUP(LEFT($A422,6),'Data Feed (40C)'!$A$1:$G$10,4,FALSE),IF(A422="PROREP (S)", INDEX('Data Feed (40C)'!D:D, MATCH(LEFT($A422,6), 'Data Feed (40C)'!$A$1:$A$10, 0) + 1, +1), VLOOKUP($A422,'Data Feed (40C)'!$A$1:$G$10,4,FALSE))))</f>
        <v/>
      </c>
      <c r="E422" s="6" t="str">
        <f t="array" ref="E422">IF(ISBLANK(A422),"",IF(A422="PROREP (L)",VLOOKUP(LEFT($A422,6),'Data Feed (40C)'!$A$1:$G$10,7,FALSE),IF(A422="PROREP (S)", INDEX('Data Feed (40C)'!G:G, MATCH(LEFT($A422,6), 'Data Feed (40C)'!$A$1:$A$10, 0) + 1, +1), VLOOKUP($A422,'Data Feed (40C)'!$A$1:$G$10,7,FALSE))))</f>
        <v/>
      </c>
      <c r="F422" s="7"/>
      <c r="G422" s="8"/>
    </row>
    <row r="423">
      <c r="A423" s="9" t="str">
        <f t="shared" ref="A423:A427" si="492">A422</f>
        <v/>
      </c>
      <c r="B423" s="9" t="str">
        <f>IF(ISBLANK(A422),"",LEFT(B422,27)&amp;VALUE(RIGHT(B422,1)+1))</f>
        <v/>
      </c>
      <c r="C423" s="6" t="str">
        <f t="shared" ref="C423:D423" si="491">C422</f>
        <v/>
      </c>
      <c r="D423" s="6" t="str">
        <f t="shared" si="491"/>
        <v/>
      </c>
      <c r="E423" s="10" t="str">
        <f>IF(ISBLANK(A422),"",E422+1)</f>
        <v/>
      </c>
      <c r="F423" s="11" t="str">
        <f t="shared" ref="F423:F427" si="494">F422</f>
        <v/>
      </c>
      <c r="G423" s="8"/>
    </row>
    <row r="424">
      <c r="A424" s="9" t="str">
        <f t="shared" si="492"/>
        <v/>
      </c>
      <c r="B424" s="9" t="str">
        <f>IF(ISBLANK(A422),"",LEFT(B423,27)&amp;VALUE(RIGHT(B423,1)+1))</f>
        <v/>
      </c>
      <c r="C424" s="6" t="str">
        <f t="shared" ref="C424:D424" si="493">C423</f>
        <v/>
      </c>
      <c r="D424" s="6" t="str">
        <f t="shared" si="493"/>
        <v/>
      </c>
      <c r="E424" s="10" t="str">
        <f>IF(ISBLANK(A422),"",E423+1)</f>
        <v/>
      </c>
      <c r="F424" s="11" t="str">
        <f t="shared" si="494"/>
        <v/>
      </c>
      <c r="G424" s="8"/>
    </row>
    <row r="425">
      <c r="A425" s="9" t="str">
        <f t="shared" si="492"/>
        <v/>
      </c>
      <c r="B425" s="9" t="str">
        <f>IF(ISBLANK(A422),"",LEFT(B424,27)&amp;VALUE(RIGHT(B424,1)+1))</f>
        <v/>
      </c>
      <c r="C425" s="6" t="str">
        <f t="shared" ref="C425:D425" si="495">C424</f>
        <v/>
      </c>
      <c r="D425" s="6" t="str">
        <f t="shared" si="495"/>
        <v/>
      </c>
      <c r="E425" s="10" t="str">
        <f>IF(ISBLANK(A422),"",E424+1)</f>
        <v/>
      </c>
      <c r="F425" s="11" t="str">
        <f t="shared" si="494"/>
        <v/>
      </c>
      <c r="G425" s="8"/>
    </row>
    <row r="426">
      <c r="A426" s="9" t="str">
        <f t="shared" si="492"/>
        <v/>
      </c>
      <c r="B426" s="9" t="str">
        <f>IF(ISBLANK(A422),"",LEFT(B425,27)&amp;VALUE(RIGHT(B425,1)+1))</f>
        <v/>
      </c>
      <c r="C426" s="6" t="str">
        <f t="shared" ref="C426:D426" si="496">C425</f>
        <v/>
      </c>
      <c r="D426" s="6" t="str">
        <f t="shared" si="496"/>
        <v/>
      </c>
      <c r="E426" s="10" t="str">
        <f>IF(ISBLANK(A422),"",E425+1)</f>
        <v/>
      </c>
      <c r="F426" s="11" t="str">
        <f t="shared" si="494"/>
        <v/>
      </c>
      <c r="G426" s="8"/>
    </row>
    <row r="427">
      <c r="A427" s="12" t="str">
        <f t="shared" si="492"/>
        <v/>
      </c>
      <c r="B427" s="12" t="str">
        <f>IF(ISBLANK(A422),"",LEFT(B426,27)&amp;VALUE(RIGHT(B426,1)+1))</f>
        <v/>
      </c>
      <c r="C427" s="13" t="str">
        <f t="shared" ref="C427:D427" si="497">C426</f>
        <v/>
      </c>
      <c r="D427" s="13" t="str">
        <f t="shared" si="497"/>
        <v/>
      </c>
      <c r="E427" s="14" t="str">
        <f>IF(ISBLANK(A422),"",E426+1)</f>
        <v/>
      </c>
      <c r="F427" s="15" t="str">
        <f t="shared" si="494"/>
        <v/>
      </c>
      <c r="G427" s="16"/>
    </row>
    <row r="428">
      <c r="A428" s="5"/>
      <c r="B428" s="6" t="str">
        <f t="array" ref="B428">IF(ISBLANK(A428),"",IF(A428="PROREP (L)",VLOOKUP(LEFT($A428,6),'Data Feed (40C)'!$A$1:$G$10,2,FALSE),IF(A428="PROREP (S)", INDEX('Data Feed (40C)'!B:B, MATCH(LEFT($A428,6), 'Data Feed (40C)'!$A$1:$A$10, 0) + 1), VLOOKUP($A428,'Data Feed (40C)'!$A$1:$G$10,2,FALSE))))</f>
        <v/>
      </c>
      <c r="C428" s="6" t="str">
        <f t="array" ref="C428">IF(ISBLANK(A428),"",IF(A428="PROREP (L)",VLOOKUP(LEFT($A428,6),'Data Feed (40C)'!$A$1:$G$10,3,FALSE),IF(A428="PROREP (S)", INDEX('Data Feed (40C)'!C:C, MATCH(LEFT($A428,6), 'Data Feed (40C)'!$A$1:$A$10, 0) + 1, +1), VLOOKUP($A428,'Data Feed (40C)'!$A$1:$G$10,3,FALSE))))</f>
        <v/>
      </c>
      <c r="D428" s="6" t="str">
        <f t="array" ref="D428">IF(ISBLANK(A428),"",IF(A428="PROREP (L)",VLOOKUP(LEFT($A428,6),'Data Feed (40C)'!$A$1:$G$10,4,FALSE),IF(A428="PROREP (S)", INDEX('Data Feed (40C)'!D:D, MATCH(LEFT($A428,6), 'Data Feed (40C)'!$A$1:$A$10, 0) + 1, +1), VLOOKUP($A428,'Data Feed (40C)'!$A$1:$G$10,4,FALSE))))</f>
        <v/>
      </c>
      <c r="E428" s="6" t="str">
        <f t="array" ref="E428">IF(ISBLANK(A428),"",IF(A428="PROREP (L)",VLOOKUP(LEFT($A428,6),'Data Feed (40C)'!$A$1:$G$10,7,FALSE),IF(A428="PROREP (S)", INDEX('Data Feed (40C)'!G:G, MATCH(LEFT($A428,6), 'Data Feed (40C)'!$A$1:$A$10, 0) + 1, +1), VLOOKUP($A428,'Data Feed (40C)'!$A$1:$G$10,7,FALSE))))</f>
        <v/>
      </c>
      <c r="F428" s="7"/>
      <c r="G428" s="8"/>
    </row>
    <row r="429">
      <c r="A429" s="9" t="str">
        <f t="shared" ref="A429:A433" si="499">A428</f>
        <v/>
      </c>
      <c r="B429" s="9" t="str">
        <f>IF(ISBLANK(A428),"",LEFT(B428,27)&amp;VALUE(RIGHT(B428,1)+1))</f>
        <v/>
      </c>
      <c r="C429" s="6" t="str">
        <f t="shared" ref="C429:D429" si="498">C428</f>
        <v/>
      </c>
      <c r="D429" s="6" t="str">
        <f t="shared" si="498"/>
        <v/>
      </c>
      <c r="E429" s="10" t="str">
        <f>IF(ISBLANK(A428),"",E428+1)</f>
        <v/>
      </c>
      <c r="F429" s="11" t="str">
        <f t="shared" ref="F429:F433" si="501">F428</f>
        <v/>
      </c>
      <c r="G429" s="8"/>
    </row>
    <row r="430">
      <c r="A430" s="9" t="str">
        <f t="shared" si="499"/>
        <v/>
      </c>
      <c r="B430" s="9" t="str">
        <f>IF(ISBLANK(A428),"",LEFT(B429,27)&amp;VALUE(RIGHT(B429,1)+1))</f>
        <v/>
      </c>
      <c r="C430" s="6" t="str">
        <f t="shared" ref="C430:D430" si="500">C429</f>
        <v/>
      </c>
      <c r="D430" s="6" t="str">
        <f t="shared" si="500"/>
        <v/>
      </c>
      <c r="E430" s="10" t="str">
        <f>IF(ISBLANK(A428),"",E429+1)</f>
        <v/>
      </c>
      <c r="F430" s="11" t="str">
        <f t="shared" si="501"/>
        <v/>
      </c>
      <c r="G430" s="8"/>
    </row>
    <row r="431">
      <c r="A431" s="9" t="str">
        <f t="shared" si="499"/>
        <v/>
      </c>
      <c r="B431" s="9" t="str">
        <f>IF(ISBLANK(A428),"",LEFT(B430,27)&amp;VALUE(RIGHT(B430,1)+1))</f>
        <v/>
      </c>
      <c r="C431" s="6" t="str">
        <f t="shared" ref="C431:D431" si="502">C430</f>
        <v/>
      </c>
      <c r="D431" s="6" t="str">
        <f t="shared" si="502"/>
        <v/>
      </c>
      <c r="E431" s="10" t="str">
        <f>IF(ISBLANK(A428),"",E430+1)</f>
        <v/>
      </c>
      <c r="F431" s="11" t="str">
        <f t="shared" si="501"/>
        <v/>
      </c>
      <c r="G431" s="8"/>
    </row>
    <row r="432">
      <c r="A432" s="9" t="str">
        <f t="shared" si="499"/>
        <v/>
      </c>
      <c r="B432" s="9" t="str">
        <f>IF(ISBLANK(A428),"",LEFT(B431,27)&amp;VALUE(RIGHT(B431,1)+1))</f>
        <v/>
      </c>
      <c r="C432" s="6" t="str">
        <f t="shared" ref="C432:D432" si="503">C431</f>
        <v/>
      </c>
      <c r="D432" s="6" t="str">
        <f t="shared" si="503"/>
        <v/>
      </c>
      <c r="E432" s="10" t="str">
        <f>IF(ISBLANK(A428),"",E431+1)</f>
        <v/>
      </c>
      <c r="F432" s="11" t="str">
        <f t="shared" si="501"/>
        <v/>
      </c>
      <c r="G432" s="8"/>
    </row>
    <row r="433">
      <c r="A433" s="12" t="str">
        <f t="shared" si="499"/>
        <v/>
      </c>
      <c r="B433" s="12" t="str">
        <f>IF(ISBLANK(A428),"",LEFT(B432,27)&amp;VALUE(RIGHT(B432,1)+1))</f>
        <v/>
      </c>
      <c r="C433" s="13" t="str">
        <f t="shared" ref="C433:D433" si="504">C432</f>
        <v/>
      </c>
      <c r="D433" s="13" t="str">
        <f t="shared" si="504"/>
        <v/>
      </c>
      <c r="E433" s="14" t="str">
        <f>IF(ISBLANK(A428),"",E432+1)</f>
        <v/>
      </c>
      <c r="F433" s="15" t="str">
        <f t="shared" si="501"/>
        <v/>
      </c>
      <c r="G433" s="16"/>
    </row>
    <row r="434">
      <c r="A434" s="5"/>
      <c r="B434" s="6" t="str">
        <f t="array" ref="B434">IF(ISBLANK(A434),"",IF(A434="PROREP (L)",VLOOKUP(LEFT($A434,6),'Data Feed (40C)'!$A$1:$G$10,2,FALSE),IF(A434="PROREP (S)", INDEX('Data Feed (40C)'!B:B, MATCH(LEFT($A434,6), 'Data Feed (40C)'!$A$1:$A$10, 0) + 1), VLOOKUP($A434,'Data Feed (40C)'!$A$1:$G$10,2,FALSE))))</f>
        <v/>
      </c>
      <c r="C434" s="6" t="str">
        <f t="array" ref="C434">IF(ISBLANK(A434),"",IF(A434="PROREP (L)",VLOOKUP(LEFT($A434,6),'Data Feed (40C)'!$A$1:$G$10,3,FALSE),IF(A434="PROREP (S)", INDEX('Data Feed (40C)'!C:C, MATCH(LEFT($A434,6), 'Data Feed (40C)'!$A$1:$A$10, 0) + 1, +1), VLOOKUP($A434,'Data Feed (40C)'!$A$1:$G$10,3,FALSE))))</f>
        <v/>
      </c>
      <c r="D434" s="6" t="str">
        <f t="array" ref="D434">IF(ISBLANK(A434),"",IF(A434="PROREP (L)",VLOOKUP(LEFT($A434,6),'Data Feed (40C)'!$A$1:$G$10,4,FALSE),IF(A434="PROREP (S)", INDEX('Data Feed (40C)'!D:D, MATCH(LEFT($A434,6), 'Data Feed (40C)'!$A$1:$A$10, 0) + 1, +1), VLOOKUP($A434,'Data Feed (40C)'!$A$1:$G$10,4,FALSE))))</f>
        <v/>
      </c>
      <c r="E434" s="6" t="str">
        <f t="array" ref="E434">IF(ISBLANK(A434),"",IF(A434="PROREP (L)",VLOOKUP(LEFT($A434,6),'Data Feed (40C)'!$A$1:$G$10,7,FALSE),IF(A434="PROREP (S)", INDEX('Data Feed (40C)'!G:G, MATCH(LEFT($A434,6), 'Data Feed (40C)'!$A$1:$A$10, 0) + 1, +1), VLOOKUP($A434,'Data Feed (40C)'!$A$1:$G$10,7,FALSE))))</f>
        <v/>
      </c>
      <c r="F434" s="7"/>
      <c r="G434" s="8"/>
    </row>
    <row r="435">
      <c r="A435" s="9" t="str">
        <f t="shared" ref="A435:A439" si="506">A434</f>
        <v/>
      </c>
      <c r="B435" s="9" t="str">
        <f>IF(ISBLANK(A434),"",LEFT(B434,27)&amp;VALUE(RIGHT(B434,1)+1))</f>
        <v/>
      </c>
      <c r="C435" s="6" t="str">
        <f t="shared" ref="C435:D435" si="505">C434</f>
        <v/>
      </c>
      <c r="D435" s="6" t="str">
        <f t="shared" si="505"/>
        <v/>
      </c>
      <c r="E435" s="10" t="str">
        <f>IF(ISBLANK(A434),"",E434+1)</f>
        <v/>
      </c>
      <c r="F435" s="11" t="str">
        <f t="shared" ref="F435:F439" si="508">F434</f>
        <v/>
      </c>
      <c r="G435" s="8"/>
    </row>
    <row r="436">
      <c r="A436" s="9" t="str">
        <f t="shared" si="506"/>
        <v/>
      </c>
      <c r="B436" s="9" t="str">
        <f>IF(ISBLANK(A434),"",LEFT(B435,27)&amp;VALUE(RIGHT(B435,1)+1))</f>
        <v/>
      </c>
      <c r="C436" s="6" t="str">
        <f t="shared" ref="C436:D436" si="507">C435</f>
        <v/>
      </c>
      <c r="D436" s="6" t="str">
        <f t="shared" si="507"/>
        <v/>
      </c>
      <c r="E436" s="10" t="str">
        <f>IF(ISBLANK(A434),"",E435+1)</f>
        <v/>
      </c>
      <c r="F436" s="11" t="str">
        <f t="shared" si="508"/>
        <v/>
      </c>
      <c r="G436" s="8"/>
    </row>
    <row r="437">
      <c r="A437" s="9" t="str">
        <f t="shared" si="506"/>
        <v/>
      </c>
      <c r="B437" s="9" t="str">
        <f>IF(ISBLANK(A434),"",LEFT(B436,27)&amp;VALUE(RIGHT(B436,1)+1))</f>
        <v/>
      </c>
      <c r="C437" s="6" t="str">
        <f t="shared" ref="C437:D437" si="509">C436</f>
        <v/>
      </c>
      <c r="D437" s="6" t="str">
        <f t="shared" si="509"/>
        <v/>
      </c>
      <c r="E437" s="10" t="str">
        <f>IF(ISBLANK(A434),"",E436+1)</f>
        <v/>
      </c>
      <c r="F437" s="11" t="str">
        <f t="shared" si="508"/>
        <v/>
      </c>
      <c r="G437" s="8"/>
    </row>
    <row r="438">
      <c r="A438" s="9" t="str">
        <f t="shared" si="506"/>
        <v/>
      </c>
      <c r="B438" s="9" t="str">
        <f>IF(ISBLANK(A434),"",LEFT(B437,27)&amp;VALUE(RIGHT(B437,1)+1))</f>
        <v/>
      </c>
      <c r="C438" s="6" t="str">
        <f t="shared" ref="C438:D438" si="510">C437</f>
        <v/>
      </c>
      <c r="D438" s="6" t="str">
        <f t="shared" si="510"/>
        <v/>
      </c>
      <c r="E438" s="10" t="str">
        <f>IF(ISBLANK(A434),"",E437+1)</f>
        <v/>
      </c>
      <c r="F438" s="11" t="str">
        <f t="shared" si="508"/>
        <v/>
      </c>
      <c r="G438" s="8"/>
    </row>
    <row r="439">
      <c r="A439" s="12" t="str">
        <f t="shared" si="506"/>
        <v/>
      </c>
      <c r="B439" s="12" t="str">
        <f>IF(ISBLANK(A434),"",LEFT(B438,27)&amp;VALUE(RIGHT(B438,1)+1))</f>
        <v/>
      </c>
      <c r="C439" s="13" t="str">
        <f t="shared" ref="C439:D439" si="511">C438</f>
        <v/>
      </c>
      <c r="D439" s="13" t="str">
        <f t="shared" si="511"/>
        <v/>
      </c>
      <c r="E439" s="14" t="str">
        <f>IF(ISBLANK(A434),"",E438+1)</f>
        <v/>
      </c>
      <c r="F439" s="15" t="str">
        <f t="shared" si="508"/>
        <v/>
      </c>
      <c r="G439" s="16"/>
    </row>
    <row r="440">
      <c r="A440" s="5"/>
      <c r="B440" s="6" t="str">
        <f t="array" ref="B440">IF(ISBLANK(A440),"",IF(A440="PROREP (L)",VLOOKUP(LEFT($A440,6),'Data Feed (40C)'!$A$1:$G$10,2,FALSE),IF(A440="PROREP (S)", INDEX('Data Feed (40C)'!B:B, MATCH(LEFT($A440,6), 'Data Feed (40C)'!$A$1:$A$10, 0) + 1), VLOOKUP($A440,'Data Feed (40C)'!$A$1:$G$10,2,FALSE))))</f>
        <v/>
      </c>
      <c r="C440" s="6" t="str">
        <f t="array" ref="C440">IF(ISBLANK(A440),"",IF(A440="PROREP (L)",VLOOKUP(LEFT($A440,6),'Data Feed (40C)'!$A$1:$G$10,3,FALSE),IF(A440="PROREP (S)", INDEX('Data Feed (40C)'!C:C, MATCH(LEFT($A440,6), 'Data Feed (40C)'!$A$1:$A$10, 0) + 1, +1), VLOOKUP($A440,'Data Feed (40C)'!$A$1:$G$10,3,FALSE))))</f>
        <v/>
      </c>
      <c r="D440" s="6" t="str">
        <f t="array" ref="D440">IF(ISBLANK(A440),"",IF(A440="PROREP (L)",VLOOKUP(LEFT($A440,6),'Data Feed (40C)'!$A$1:$G$10,4,FALSE),IF(A440="PROREP (S)", INDEX('Data Feed (40C)'!D:D, MATCH(LEFT($A440,6), 'Data Feed (40C)'!$A$1:$A$10, 0) + 1, +1), VLOOKUP($A440,'Data Feed (40C)'!$A$1:$G$10,4,FALSE))))</f>
        <v/>
      </c>
      <c r="E440" s="6" t="str">
        <f t="array" ref="E440">IF(ISBLANK(A440),"",IF(A440="PROREP (L)",VLOOKUP(LEFT($A440,6),'Data Feed (40C)'!$A$1:$G$10,7,FALSE),IF(A440="PROREP (S)", INDEX('Data Feed (40C)'!G:G, MATCH(LEFT($A440,6), 'Data Feed (40C)'!$A$1:$A$10, 0) + 1, +1), VLOOKUP($A440,'Data Feed (40C)'!$A$1:$G$10,7,FALSE))))</f>
        <v/>
      </c>
      <c r="F440" s="7"/>
      <c r="G440" s="8"/>
    </row>
    <row r="441">
      <c r="A441" s="9" t="str">
        <f t="shared" ref="A441:A445" si="513">A440</f>
        <v/>
      </c>
      <c r="B441" s="9" t="str">
        <f>IF(ISBLANK(A440),"",LEFT(B440,27)&amp;VALUE(RIGHT(B440,1)+1))</f>
        <v/>
      </c>
      <c r="C441" s="6" t="str">
        <f t="shared" ref="C441:D441" si="512">C440</f>
        <v/>
      </c>
      <c r="D441" s="6" t="str">
        <f t="shared" si="512"/>
        <v/>
      </c>
      <c r="E441" s="10" t="str">
        <f>IF(ISBLANK(A440),"",E440+1)</f>
        <v/>
      </c>
      <c r="F441" s="11" t="str">
        <f t="shared" ref="F441:F445" si="515">F440</f>
        <v/>
      </c>
      <c r="G441" s="8"/>
    </row>
    <row r="442">
      <c r="A442" s="9" t="str">
        <f t="shared" si="513"/>
        <v/>
      </c>
      <c r="B442" s="9" t="str">
        <f>IF(ISBLANK(A440),"",LEFT(B441,27)&amp;VALUE(RIGHT(B441,1)+1))</f>
        <v/>
      </c>
      <c r="C442" s="6" t="str">
        <f t="shared" ref="C442:D442" si="514">C441</f>
        <v/>
      </c>
      <c r="D442" s="6" t="str">
        <f t="shared" si="514"/>
        <v/>
      </c>
      <c r="E442" s="10" t="str">
        <f>IF(ISBLANK(A440),"",E441+1)</f>
        <v/>
      </c>
      <c r="F442" s="11" t="str">
        <f t="shared" si="515"/>
        <v/>
      </c>
      <c r="G442" s="8"/>
    </row>
    <row r="443">
      <c r="A443" s="9" t="str">
        <f t="shared" si="513"/>
        <v/>
      </c>
      <c r="B443" s="9" t="str">
        <f>IF(ISBLANK(A440),"",LEFT(B442,27)&amp;VALUE(RIGHT(B442,1)+1))</f>
        <v/>
      </c>
      <c r="C443" s="6" t="str">
        <f t="shared" ref="C443:D443" si="516">C442</f>
        <v/>
      </c>
      <c r="D443" s="6" t="str">
        <f t="shared" si="516"/>
        <v/>
      </c>
      <c r="E443" s="10" t="str">
        <f>IF(ISBLANK(A440),"",E442+1)</f>
        <v/>
      </c>
      <c r="F443" s="11" t="str">
        <f t="shared" si="515"/>
        <v/>
      </c>
      <c r="G443" s="8"/>
    </row>
    <row r="444">
      <c r="A444" s="9" t="str">
        <f t="shared" si="513"/>
        <v/>
      </c>
      <c r="B444" s="9" t="str">
        <f>IF(ISBLANK(A440),"",LEFT(B443,27)&amp;VALUE(RIGHT(B443,1)+1))</f>
        <v/>
      </c>
      <c r="C444" s="6" t="str">
        <f t="shared" ref="C444:D444" si="517">C443</f>
        <v/>
      </c>
      <c r="D444" s="6" t="str">
        <f t="shared" si="517"/>
        <v/>
      </c>
      <c r="E444" s="10" t="str">
        <f>IF(ISBLANK(A440),"",E443+1)</f>
        <v/>
      </c>
      <c r="F444" s="11" t="str">
        <f t="shared" si="515"/>
        <v/>
      </c>
      <c r="G444" s="8"/>
    </row>
    <row r="445">
      <c r="A445" s="12" t="str">
        <f t="shared" si="513"/>
        <v/>
      </c>
      <c r="B445" s="12" t="str">
        <f>IF(ISBLANK(A440),"",LEFT(B444,27)&amp;VALUE(RIGHT(B444,1)+1))</f>
        <v/>
      </c>
      <c r="C445" s="13" t="str">
        <f t="shared" ref="C445:D445" si="518">C444</f>
        <v/>
      </c>
      <c r="D445" s="13" t="str">
        <f t="shared" si="518"/>
        <v/>
      </c>
      <c r="E445" s="14" t="str">
        <f>IF(ISBLANK(A440),"",E444+1)</f>
        <v/>
      </c>
      <c r="F445" s="15" t="str">
        <f t="shared" si="515"/>
        <v/>
      </c>
      <c r="G445" s="16"/>
    </row>
    <row r="446">
      <c r="A446" s="5"/>
      <c r="B446" s="6" t="str">
        <f t="array" ref="B446">IF(ISBLANK(A446),"",IF(A446="PROREP (L)",VLOOKUP(LEFT($A446,6),'Data Feed (40C)'!$A$1:$G$10,2,FALSE),IF(A446="PROREP (S)", INDEX('Data Feed (40C)'!B:B, MATCH(LEFT($A446,6), 'Data Feed (40C)'!$A$1:$A$10, 0) + 1), VLOOKUP($A446,'Data Feed (40C)'!$A$1:$G$10,2,FALSE))))</f>
        <v/>
      </c>
      <c r="C446" s="6" t="str">
        <f t="array" ref="C446">IF(ISBLANK(A446),"",IF(A446="PROREP (L)",VLOOKUP(LEFT($A446,6),'Data Feed (40C)'!$A$1:$G$10,3,FALSE),IF(A446="PROREP (S)", INDEX('Data Feed (40C)'!C:C, MATCH(LEFT($A446,6), 'Data Feed (40C)'!$A$1:$A$10, 0) + 1, +1), VLOOKUP($A446,'Data Feed (40C)'!$A$1:$G$10,3,FALSE))))</f>
        <v/>
      </c>
      <c r="D446" s="6" t="str">
        <f t="array" ref="D446">IF(ISBLANK(A446),"",IF(A446="PROREP (L)",VLOOKUP(LEFT($A446,6),'Data Feed (40C)'!$A$1:$G$10,4,FALSE),IF(A446="PROREP (S)", INDEX('Data Feed (40C)'!D:D, MATCH(LEFT($A446,6), 'Data Feed (40C)'!$A$1:$A$10, 0) + 1, +1), VLOOKUP($A446,'Data Feed (40C)'!$A$1:$G$10,4,FALSE))))</f>
        <v/>
      </c>
      <c r="E446" s="6" t="str">
        <f t="array" ref="E446">IF(ISBLANK(A446),"",IF(A446="PROREP (L)",VLOOKUP(LEFT($A446,6),'Data Feed (40C)'!$A$1:$G$10,7,FALSE),IF(A446="PROREP (S)", INDEX('Data Feed (40C)'!G:G, MATCH(LEFT($A446,6), 'Data Feed (40C)'!$A$1:$A$10, 0) + 1, +1), VLOOKUP($A446,'Data Feed (40C)'!$A$1:$G$10,7,FALSE))))</f>
        <v/>
      </c>
      <c r="F446" s="7"/>
      <c r="G446" s="8"/>
    </row>
    <row r="447">
      <c r="A447" s="9" t="str">
        <f t="shared" ref="A447:A451" si="520">A446</f>
        <v/>
      </c>
      <c r="B447" s="9" t="str">
        <f>IF(ISBLANK(A446),"",LEFT(B446,27)&amp;VALUE(RIGHT(B446,1)+1))</f>
        <v/>
      </c>
      <c r="C447" s="6" t="str">
        <f t="shared" ref="C447:D447" si="519">C446</f>
        <v/>
      </c>
      <c r="D447" s="6" t="str">
        <f t="shared" si="519"/>
        <v/>
      </c>
      <c r="E447" s="10" t="str">
        <f>IF(ISBLANK(A446),"",E446+1)</f>
        <v/>
      </c>
      <c r="F447" s="11" t="str">
        <f t="shared" ref="F447:F451" si="522">F446</f>
        <v/>
      </c>
      <c r="G447" s="8"/>
    </row>
    <row r="448">
      <c r="A448" s="9" t="str">
        <f t="shared" si="520"/>
        <v/>
      </c>
      <c r="B448" s="9" t="str">
        <f>IF(ISBLANK(A446),"",LEFT(B447,27)&amp;VALUE(RIGHT(B447,1)+1))</f>
        <v/>
      </c>
      <c r="C448" s="6" t="str">
        <f t="shared" ref="C448:D448" si="521">C447</f>
        <v/>
      </c>
      <c r="D448" s="6" t="str">
        <f t="shared" si="521"/>
        <v/>
      </c>
      <c r="E448" s="10" t="str">
        <f>IF(ISBLANK(A446),"",E447+1)</f>
        <v/>
      </c>
      <c r="F448" s="11" t="str">
        <f t="shared" si="522"/>
        <v/>
      </c>
      <c r="G448" s="8"/>
    </row>
    <row r="449">
      <c r="A449" s="9" t="str">
        <f t="shared" si="520"/>
        <v/>
      </c>
      <c r="B449" s="9" t="str">
        <f>IF(ISBLANK(A446),"",LEFT(B448,27)&amp;VALUE(RIGHT(B448,1)+1))</f>
        <v/>
      </c>
      <c r="C449" s="6" t="str">
        <f t="shared" ref="C449:D449" si="523">C448</f>
        <v/>
      </c>
      <c r="D449" s="6" t="str">
        <f t="shared" si="523"/>
        <v/>
      </c>
      <c r="E449" s="10" t="str">
        <f>IF(ISBLANK(A446),"",E448+1)</f>
        <v/>
      </c>
      <c r="F449" s="11" t="str">
        <f t="shared" si="522"/>
        <v/>
      </c>
      <c r="G449" s="8"/>
    </row>
    <row r="450">
      <c r="A450" s="9" t="str">
        <f t="shared" si="520"/>
        <v/>
      </c>
      <c r="B450" s="9" t="str">
        <f>IF(ISBLANK(A446),"",LEFT(B449,27)&amp;VALUE(RIGHT(B449,1)+1))</f>
        <v/>
      </c>
      <c r="C450" s="6" t="str">
        <f t="shared" ref="C450:D450" si="524">C449</f>
        <v/>
      </c>
      <c r="D450" s="6" t="str">
        <f t="shared" si="524"/>
        <v/>
      </c>
      <c r="E450" s="10" t="str">
        <f>IF(ISBLANK(A446),"",E449+1)</f>
        <v/>
      </c>
      <c r="F450" s="11" t="str">
        <f t="shared" si="522"/>
        <v/>
      </c>
      <c r="G450" s="8"/>
    </row>
    <row r="451">
      <c r="A451" s="12" t="str">
        <f t="shared" si="520"/>
        <v/>
      </c>
      <c r="B451" s="12" t="str">
        <f>IF(ISBLANK(A446),"",LEFT(B450,27)&amp;VALUE(RIGHT(B450,1)+1))</f>
        <v/>
      </c>
      <c r="C451" s="13" t="str">
        <f t="shared" ref="C451:D451" si="525">C450</f>
        <v/>
      </c>
      <c r="D451" s="13" t="str">
        <f t="shared" si="525"/>
        <v/>
      </c>
      <c r="E451" s="14" t="str">
        <f>IF(ISBLANK(A446),"",E450+1)</f>
        <v/>
      </c>
      <c r="F451" s="15" t="str">
        <f t="shared" si="522"/>
        <v/>
      </c>
      <c r="G451" s="16"/>
    </row>
    <row r="452">
      <c r="A452" s="5"/>
      <c r="B452" s="6" t="str">
        <f t="array" ref="B452">IF(ISBLANK(A452),"",IF(A452="PROREP (L)",VLOOKUP(LEFT($A452,6),'Data Feed (40C)'!$A$1:$G$10,2,FALSE),IF(A452="PROREP (S)", INDEX('Data Feed (40C)'!B:B, MATCH(LEFT($A452,6), 'Data Feed (40C)'!$A$1:$A$10, 0) + 1), VLOOKUP($A452,'Data Feed (40C)'!$A$1:$G$10,2,FALSE))))</f>
        <v/>
      </c>
      <c r="C452" s="6" t="str">
        <f t="array" ref="C452">IF(ISBLANK(A452),"",IF(A452="PROREP (L)",VLOOKUP(LEFT($A452,6),'Data Feed (40C)'!$A$1:$G$10,3,FALSE),IF(A452="PROREP (S)", INDEX('Data Feed (40C)'!C:C, MATCH(LEFT($A452,6), 'Data Feed (40C)'!$A$1:$A$10, 0) + 1, +1), VLOOKUP($A452,'Data Feed (40C)'!$A$1:$G$10,3,FALSE))))</f>
        <v/>
      </c>
      <c r="D452" s="6" t="str">
        <f t="array" ref="D452">IF(ISBLANK(A452),"",IF(A452="PROREP (L)",VLOOKUP(LEFT($A452,6),'Data Feed (40C)'!$A$1:$G$10,4,FALSE),IF(A452="PROREP (S)", INDEX('Data Feed (40C)'!D:D, MATCH(LEFT($A452,6), 'Data Feed (40C)'!$A$1:$A$10, 0) + 1, +1), VLOOKUP($A452,'Data Feed (40C)'!$A$1:$G$10,4,FALSE))))</f>
        <v/>
      </c>
      <c r="E452" s="6" t="str">
        <f t="array" ref="E452">IF(ISBLANK(A452),"",IF(A452="PROREP (L)",VLOOKUP(LEFT($A452,6),'Data Feed (40C)'!$A$1:$G$10,7,FALSE),IF(A452="PROREP (S)", INDEX('Data Feed (40C)'!G:G, MATCH(LEFT($A452,6), 'Data Feed (40C)'!$A$1:$A$10, 0) + 1, +1), VLOOKUP($A452,'Data Feed (40C)'!$A$1:$G$10,7,FALSE))))</f>
        <v/>
      </c>
      <c r="F452" s="7"/>
      <c r="G452" s="8"/>
    </row>
    <row r="453">
      <c r="A453" s="9" t="str">
        <f t="shared" ref="A453:A457" si="527">A452</f>
        <v/>
      </c>
      <c r="B453" s="9" t="str">
        <f>IF(ISBLANK(A452),"",LEFT(B452,27)&amp;VALUE(RIGHT(B452,1)+1))</f>
        <v/>
      </c>
      <c r="C453" s="6" t="str">
        <f t="shared" ref="C453:D453" si="526">C452</f>
        <v/>
      </c>
      <c r="D453" s="6" t="str">
        <f t="shared" si="526"/>
        <v/>
      </c>
      <c r="E453" s="10" t="str">
        <f>IF(ISBLANK(A452),"",E452+1)</f>
        <v/>
      </c>
      <c r="F453" s="11" t="str">
        <f t="shared" ref="F453:F457" si="529">F452</f>
        <v/>
      </c>
      <c r="G453" s="8"/>
    </row>
    <row r="454">
      <c r="A454" s="9" t="str">
        <f t="shared" si="527"/>
        <v/>
      </c>
      <c r="B454" s="9" t="str">
        <f>IF(ISBLANK(A452),"",LEFT(B453,27)&amp;VALUE(RIGHT(B453,1)+1))</f>
        <v/>
      </c>
      <c r="C454" s="6" t="str">
        <f t="shared" ref="C454:D454" si="528">C453</f>
        <v/>
      </c>
      <c r="D454" s="6" t="str">
        <f t="shared" si="528"/>
        <v/>
      </c>
      <c r="E454" s="10" t="str">
        <f>IF(ISBLANK(A452),"",E453+1)</f>
        <v/>
      </c>
      <c r="F454" s="11" t="str">
        <f t="shared" si="529"/>
        <v/>
      </c>
      <c r="G454" s="8"/>
    </row>
    <row r="455">
      <c r="A455" s="9" t="str">
        <f t="shared" si="527"/>
        <v/>
      </c>
      <c r="B455" s="9" t="str">
        <f>IF(ISBLANK(A452),"",LEFT(B454,27)&amp;VALUE(RIGHT(B454,1)+1))</f>
        <v/>
      </c>
      <c r="C455" s="6" t="str">
        <f t="shared" ref="C455:D455" si="530">C454</f>
        <v/>
      </c>
      <c r="D455" s="6" t="str">
        <f t="shared" si="530"/>
        <v/>
      </c>
      <c r="E455" s="10" t="str">
        <f>IF(ISBLANK(A452),"",E454+1)</f>
        <v/>
      </c>
      <c r="F455" s="11" t="str">
        <f t="shared" si="529"/>
        <v/>
      </c>
      <c r="G455" s="8"/>
    </row>
    <row r="456">
      <c r="A456" s="9" t="str">
        <f t="shared" si="527"/>
        <v/>
      </c>
      <c r="B456" s="9" t="str">
        <f>IF(ISBLANK(A452),"",LEFT(B455,27)&amp;VALUE(RIGHT(B455,1)+1))</f>
        <v/>
      </c>
      <c r="C456" s="6" t="str">
        <f t="shared" ref="C456:D456" si="531">C455</f>
        <v/>
      </c>
      <c r="D456" s="6" t="str">
        <f t="shared" si="531"/>
        <v/>
      </c>
      <c r="E456" s="10" t="str">
        <f>IF(ISBLANK(A452),"",E455+1)</f>
        <v/>
      </c>
      <c r="F456" s="11" t="str">
        <f t="shared" si="529"/>
        <v/>
      </c>
      <c r="G456" s="8"/>
    </row>
    <row r="457">
      <c r="A457" s="12" t="str">
        <f t="shared" si="527"/>
        <v/>
      </c>
      <c r="B457" s="12" t="str">
        <f>IF(ISBLANK(A452),"",LEFT(B456,27)&amp;VALUE(RIGHT(B456,1)+1))</f>
        <v/>
      </c>
      <c r="C457" s="13" t="str">
        <f t="shared" ref="C457:D457" si="532">C456</f>
        <v/>
      </c>
      <c r="D457" s="13" t="str">
        <f t="shared" si="532"/>
        <v/>
      </c>
      <c r="E457" s="14" t="str">
        <f>IF(ISBLANK(A452),"",E456+1)</f>
        <v/>
      </c>
      <c r="F457" s="15" t="str">
        <f t="shared" si="529"/>
        <v/>
      </c>
      <c r="G457" s="16"/>
    </row>
    <row r="458">
      <c r="A458" s="5"/>
      <c r="B458" s="6" t="str">
        <f t="array" ref="B458">IF(ISBLANK(A458),"",IF(A458="PROREP (L)",VLOOKUP(LEFT($A458,6),'Data Feed (40C)'!$A$1:$G$10,2,FALSE),IF(A458="PROREP (S)", INDEX('Data Feed (40C)'!B:B, MATCH(LEFT($A458,6), 'Data Feed (40C)'!$A$1:$A$10, 0) + 1), VLOOKUP($A458,'Data Feed (40C)'!$A$1:$G$10,2,FALSE))))</f>
        <v/>
      </c>
      <c r="C458" s="6" t="str">
        <f t="array" ref="C458">IF(ISBLANK(A458),"",IF(A458="PROREP (L)",VLOOKUP(LEFT($A458,6),'Data Feed (40C)'!$A$1:$G$10,3,FALSE),IF(A458="PROREP (S)", INDEX('Data Feed (40C)'!C:C, MATCH(LEFT($A458,6), 'Data Feed (40C)'!$A$1:$A$10, 0) + 1, +1), VLOOKUP($A458,'Data Feed (40C)'!$A$1:$G$10,3,FALSE))))</f>
        <v/>
      </c>
      <c r="D458" s="6" t="str">
        <f t="array" ref="D458">IF(ISBLANK(A458),"",IF(A458="PROREP (L)",VLOOKUP(LEFT($A458,6),'Data Feed (40C)'!$A$1:$G$10,4,FALSE),IF(A458="PROREP (S)", INDEX('Data Feed (40C)'!D:D, MATCH(LEFT($A458,6), 'Data Feed (40C)'!$A$1:$A$10, 0) + 1, +1), VLOOKUP($A458,'Data Feed (40C)'!$A$1:$G$10,4,FALSE))))</f>
        <v/>
      </c>
      <c r="E458" s="6" t="str">
        <f t="array" ref="E458">IF(ISBLANK(A458),"",IF(A458="PROREP (L)",VLOOKUP(LEFT($A458,6),'Data Feed (40C)'!$A$1:$G$10,7,FALSE),IF(A458="PROREP (S)", INDEX('Data Feed (40C)'!G:G, MATCH(LEFT($A458,6), 'Data Feed (40C)'!$A$1:$A$10, 0) + 1, +1), VLOOKUP($A458,'Data Feed (40C)'!$A$1:$G$10,7,FALSE))))</f>
        <v/>
      </c>
      <c r="F458" s="7"/>
      <c r="G458" s="8"/>
    </row>
    <row r="459">
      <c r="A459" s="9" t="str">
        <f t="shared" ref="A459:A463" si="534">A458</f>
        <v/>
      </c>
      <c r="B459" s="9" t="str">
        <f>IF(ISBLANK(A458),"",LEFT(B458,27)&amp;VALUE(RIGHT(B458,1)+1))</f>
        <v/>
      </c>
      <c r="C459" s="6" t="str">
        <f t="shared" ref="C459:D459" si="533">C458</f>
        <v/>
      </c>
      <c r="D459" s="6" t="str">
        <f t="shared" si="533"/>
        <v/>
      </c>
      <c r="E459" s="10" t="str">
        <f>IF(ISBLANK(A458),"",E458+1)</f>
        <v/>
      </c>
      <c r="F459" s="11" t="str">
        <f t="shared" ref="F459:F463" si="536">F458</f>
        <v/>
      </c>
      <c r="G459" s="8"/>
    </row>
    <row r="460">
      <c r="A460" s="9" t="str">
        <f t="shared" si="534"/>
        <v/>
      </c>
      <c r="B460" s="9" t="str">
        <f>IF(ISBLANK(A458),"",LEFT(B459,27)&amp;VALUE(RIGHT(B459,1)+1))</f>
        <v/>
      </c>
      <c r="C460" s="6" t="str">
        <f t="shared" ref="C460:D460" si="535">C459</f>
        <v/>
      </c>
      <c r="D460" s="6" t="str">
        <f t="shared" si="535"/>
        <v/>
      </c>
      <c r="E460" s="10" t="str">
        <f>IF(ISBLANK(A458),"",E459+1)</f>
        <v/>
      </c>
      <c r="F460" s="11" t="str">
        <f t="shared" si="536"/>
        <v/>
      </c>
      <c r="G460" s="8"/>
    </row>
    <row r="461">
      <c r="A461" s="9" t="str">
        <f t="shared" si="534"/>
        <v/>
      </c>
      <c r="B461" s="9" t="str">
        <f>IF(ISBLANK(A458),"",LEFT(B460,27)&amp;VALUE(RIGHT(B460,1)+1))</f>
        <v/>
      </c>
      <c r="C461" s="6" t="str">
        <f t="shared" ref="C461:D461" si="537">C460</f>
        <v/>
      </c>
      <c r="D461" s="6" t="str">
        <f t="shared" si="537"/>
        <v/>
      </c>
      <c r="E461" s="10" t="str">
        <f>IF(ISBLANK(A458),"",E460+1)</f>
        <v/>
      </c>
      <c r="F461" s="11" t="str">
        <f t="shared" si="536"/>
        <v/>
      </c>
      <c r="G461" s="8"/>
    </row>
    <row r="462">
      <c r="A462" s="9" t="str">
        <f t="shared" si="534"/>
        <v/>
      </c>
      <c r="B462" s="9" t="str">
        <f>IF(ISBLANK(A458),"",LEFT(B461,27)&amp;VALUE(RIGHT(B461,1)+1))</f>
        <v/>
      </c>
      <c r="C462" s="6" t="str">
        <f t="shared" ref="C462:D462" si="538">C461</f>
        <v/>
      </c>
      <c r="D462" s="6" t="str">
        <f t="shared" si="538"/>
        <v/>
      </c>
      <c r="E462" s="10" t="str">
        <f>IF(ISBLANK(A458),"",E461+1)</f>
        <v/>
      </c>
      <c r="F462" s="11" t="str">
        <f t="shared" si="536"/>
        <v/>
      </c>
      <c r="G462" s="8"/>
    </row>
    <row r="463">
      <c r="A463" s="12" t="str">
        <f t="shared" si="534"/>
        <v/>
      </c>
      <c r="B463" s="12" t="str">
        <f>IF(ISBLANK(A458),"",LEFT(B462,27)&amp;VALUE(RIGHT(B462,1)+1))</f>
        <v/>
      </c>
      <c r="C463" s="13" t="str">
        <f t="shared" ref="C463:D463" si="539">C462</f>
        <v/>
      </c>
      <c r="D463" s="13" t="str">
        <f t="shared" si="539"/>
        <v/>
      </c>
      <c r="E463" s="14" t="str">
        <f>IF(ISBLANK(A458),"",E462+1)</f>
        <v/>
      </c>
      <c r="F463" s="15" t="str">
        <f t="shared" si="536"/>
        <v/>
      </c>
      <c r="G463" s="16"/>
    </row>
    <row r="464">
      <c r="A464" s="5"/>
      <c r="B464" s="6" t="str">
        <f t="array" ref="B464">IF(ISBLANK(A464),"",IF(A464="PROREP (L)",VLOOKUP(LEFT($A464,6),'Data Feed (40C)'!$A$1:$G$10,2,FALSE),IF(A464="PROREP (S)", INDEX('Data Feed (40C)'!B:B, MATCH(LEFT($A464,6), 'Data Feed (40C)'!$A$1:$A$10, 0) + 1), VLOOKUP($A464,'Data Feed (40C)'!$A$1:$G$10,2,FALSE))))</f>
        <v/>
      </c>
      <c r="C464" s="6" t="str">
        <f t="array" ref="C464">IF(ISBLANK(A464),"",IF(A464="PROREP (L)",VLOOKUP(LEFT($A464,6),'Data Feed (40C)'!$A$1:$G$10,3,FALSE),IF(A464="PROREP (S)", INDEX('Data Feed (40C)'!C:C, MATCH(LEFT($A464,6), 'Data Feed (40C)'!$A$1:$A$10, 0) + 1, +1), VLOOKUP($A464,'Data Feed (40C)'!$A$1:$G$10,3,FALSE))))</f>
        <v/>
      </c>
      <c r="D464" s="6" t="str">
        <f t="array" ref="D464">IF(ISBLANK(A464),"",IF(A464="PROREP (L)",VLOOKUP(LEFT($A464,6),'Data Feed (40C)'!$A$1:$G$10,4,FALSE),IF(A464="PROREP (S)", INDEX('Data Feed (40C)'!D:D, MATCH(LEFT($A464,6), 'Data Feed (40C)'!$A$1:$A$10, 0) + 1, +1), VLOOKUP($A464,'Data Feed (40C)'!$A$1:$G$10,4,FALSE))))</f>
        <v/>
      </c>
      <c r="E464" s="6" t="str">
        <f t="array" ref="E464">IF(ISBLANK(A464),"",IF(A464="PROREP (L)",VLOOKUP(LEFT($A464,6),'Data Feed (40C)'!$A$1:$G$10,7,FALSE),IF(A464="PROREP (S)", INDEX('Data Feed (40C)'!G:G, MATCH(LEFT($A464,6), 'Data Feed (40C)'!$A$1:$A$10, 0) + 1, +1), VLOOKUP($A464,'Data Feed (40C)'!$A$1:$G$10,7,FALSE))))</f>
        <v/>
      </c>
      <c r="F464" s="7"/>
      <c r="G464" s="8"/>
    </row>
    <row r="465">
      <c r="A465" s="9" t="str">
        <f t="shared" ref="A465:A469" si="541">A464</f>
        <v/>
      </c>
      <c r="B465" s="9" t="str">
        <f>IF(ISBLANK(A464),"",LEFT(B464,27)&amp;VALUE(RIGHT(B464,1)+1))</f>
        <v/>
      </c>
      <c r="C465" s="6" t="str">
        <f t="shared" ref="C465:D465" si="540">C464</f>
        <v/>
      </c>
      <c r="D465" s="6" t="str">
        <f t="shared" si="540"/>
        <v/>
      </c>
      <c r="E465" s="10" t="str">
        <f>IF(ISBLANK(A464),"",E464+1)</f>
        <v/>
      </c>
      <c r="F465" s="11" t="str">
        <f t="shared" ref="F465:F469" si="543">F464</f>
        <v/>
      </c>
      <c r="G465" s="8"/>
    </row>
    <row r="466">
      <c r="A466" s="9" t="str">
        <f t="shared" si="541"/>
        <v/>
      </c>
      <c r="B466" s="9" t="str">
        <f>IF(ISBLANK(A464),"",LEFT(B465,27)&amp;VALUE(RIGHT(B465,1)+1))</f>
        <v/>
      </c>
      <c r="C466" s="6" t="str">
        <f t="shared" ref="C466:D466" si="542">C465</f>
        <v/>
      </c>
      <c r="D466" s="6" t="str">
        <f t="shared" si="542"/>
        <v/>
      </c>
      <c r="E466" s="10" t="str">
        <f>IF(ISBLANK(A464),"",E465+1)</f>
        <v/>
      </c>
      <c r="F466" s="11" t="str">
        <f t="shared" si="543"/>
        <v/>
      </c>
      <c r="G466" s="8"/>
    </row>
    <row r="467">
      <c r="A467" s="9" t="str">
        <f t="shared" si="541"/>
        <v/>
      </c>
      <c r="B467" s="9" t="str">
        <f>IF(ISBLANK(A464),"",LEFT(B466,27)&amp;VALUE(RIGHT(B466,1)+1))</f>
        <v/>
      </c>
      <c r="C467" s="6" t="str">
        <f t="shared" ref="C467:D467" si="544">C466</f>
        <v/>
      </c>
      <c r="D467" s="6" t="str">
        <f t="shared" si="544"/>
        <v/>
      </c>
      <c r="E467" s="10" t="str">
        <f>IF(ISBLANK(A464),"",E466+1)</f>
        <v/>
      </c>
      <c r="F467" s="11" t="str">
        <f t="shared" si="543"/>
        <v/>
      </c>
      <c r="G467" s="8"/>
    </row>
    <row r="468">
      <c r="A468" s="9" t="str">
        <f t="shared" si="541"/>
        <v/>
      </c>
      <c r="B468" s="9" t="str">
        <f>IF(ISBLANK(A464),"",LEFT(B467,27)&amp;VALUE(RIGHT(B467,1)+1))</f>
        <v/>
      </c>
      <c r="C468" s="6" t="str">
        <f t="shared" ref="C468:D468" si="545">C467</f>
        <v/>
      </c>
      <c r="D468" s="6" t="str">
        <f t="shared" si="545"/>
        <v/>
      </c>
      <c r="E468" s="10" t="str">
        <f>IF(ISBLANK(A464),"",E467+1)</f>
        <v/>
      </c>
      <c r="F468" s="11" t="str">
        <f t="shared" si="543"/>
        <v/>
      </c>
      <c r="G468" s="8"/>
    </row>
    <row r="469">
      <c r="A469" s="12" t="str">
        <f t="shared" si="541"/>
        <v/>
      </c>
      <c r="B469" s="12" t="str">
        <f>IF(ISBLANK(A464),"",LEFT(B468,27)&amp;VALUE(RIGHT(B468,1)+1))</f>
        <v/>
      </c>
      <c r="C469" s="13" t="str">
        <f t="shared" ref="C469:D469" si="546">C468</f>
        <v/>
      </c>
      <c r="D469" s="13" t="str">
        <f t="shared" si="546"/>
        <v/>
      </c>
      <c r="E469" s="14" t="str">
        <f>IF(ISBLANK(A464),"",E468+1)</f>
        <v/>
      </c>
      <c r="F469" s="15" t="str">
        <f t="shared" si="543"/>
        <v/>
      </c>
      <c r="G469" s="16"/>
    </row>
    <row r="470">
      <c r="A470" s="5"/>
      <c r="B470" s="6" t="str">
        <f t="array" ref="B470">IF(ISBLANK(A470),"",IF(A470="PROREP (L)",VLOOKUP(LEFT($A470,6),'Data Feed (40C)'!$A$1:$G$10,2,FALSE),IF(A470="PROREP (S)", INDEX('Data Feed (40C)'!B:B, MATCH(LEFT($A470,6), 'Data Feed (40C)'!$A$1:$A$10, 0) + 1), VLOOKUP($A470,'Data Feed (40C)'!$A$1:$G$10,2,FALSE))))</f>
        <v/>
      </c>
      <c r="C470" s="6" t="str">
        <f t="array" ref="C470">IF(ISBLANK(A470),"",IF(A470="PROREP (L)",VLOOKUP(LEFT($A470,6),'Data Feed (40C)'!$A$1:$G$10,3,FALSE),IF(A470="PROREP (S)", INDEX('Data Feed (40C)'!C:C, MATCH(LEFT($A470,6), 'Data Feed (40C)'!$A$1:$A$10, 0) + 1, +1), VLOOKUP($A470,'Data Feed (40C)'!$A$1:$G$10,3,FALSE))))</f>
        <v/>
      </c>
      <c r="D470" s="6" t="str">
        <f t="array" ref="D470">IF(ISBLANK(A470),"",IF(A470="PROREP (L)",VLOOKUP(LEFT($A470,6),'Data Feed (40C)'!$A$1:$G$10,4,FALSE),IF(A470="PROREP (S)", INDEX('Data Feed (40C)'!D:D, MATCH(LEFT($A470,6), 'Data Feed (40C)'!$A$1:$A$10, 0) + 1, +1), VLOOKUP($A470,'Data Feed (40C)'!$A$1:$G$10,4,FALSE))))</f>
        <v/>
      </c>
      <c r="E470" s="6" t="str">
        <f t="array" ref="E470">IF(ISBLANK(A470),"",IF(A470="PROREP (L)",VLOOKUP(LEFT($A470,6),'Data Feed (40C)'!$A$1:$G$10,7,FALSE),IF(A470="PROREP (S)", INDEX('Data Feed (40C)'!G:G, MATCH(LEFT($A470,6), 'Data Feed (40C)'!$A$1:$A$10, 0) + 1, +1), VLOOKUP($A470,'Data Feed (40C)'!$A$1:$G$10,7,FALSE))))</f>
        <v/>
      </c>
      <c r="F470" s="7"/>
      <c r="G470" s="8"/>
    </row>
    <row r="471">
      <c r="A471" s="9" t="str">
        <f t="shared" ref="A471:A475" si="548">A470</f>
        <v/>
      </c>
      <c r="B471" s="9" t="str">
        <f>IF(ISBLANK(A470),"",LEFT(B470,27)&amp;VALUE(RIGHT(B470,1)+1))</f>
        <v/>
      </c>
      <c r="C471" s="6" t="str">
        <f t="shared" ref="C471:D471" si="547">C470</f>
        <v/>
      </c>
      <c r="D471" s="6" t="str">
        <f t="shared" si="547"/>
        <v/>
      </c>
      <c r="E471" s="10" t="str">
        <f>IF(ISBLANK(A470),"",E470+1)</f>
        <v/>
      </c>
      <c r="F471" s="11" t="str">
        <f t="shared" ref="F471:F475" si="550">F470</f>
        <v/>
      </c>
      <c r="G471" s="8"/>
    </row>
    <row r="472">
      <c r="A472" s="9" t="str">
        <f t="shared" si="548"/>
        <v/>
      </c>
      <c r="B472" s="9" t="str">
        <f>IF(ISBLANK(A470),"",LEFT(B471,27)&amp;VALUE(RIGHT(B471,1)+1))</f>
        <v/>
      </c>
      <c r="C472" s="6" t="str">
        <f t="shared" ref="C472:D472" si="549">C471</f>
        <v/>
      </c>
      <c r="D472" s="6" t="str">
        <f t="shared" si="549"/>
        <v/>
      </c>
      <c r="E472" s="10" t="str">
        <f>IF(ISBLANK(A470),"",E471+1)</f>
        <v/>
      </c>
      <c r="F472" s="11" t="str">
        <f t="shared" si="550"/>
        <v/>
      </c>
      <c r="G472" s="8"/>
    </row>
    <row r="473">
      <c r="A473" s="9" t="str">
        <f t="shared" si="548"/>
        <v/>
      </c>
      <c r="B473" s="9" t="str">
        <f>IF(ISBLANK(A470),"",LEFT(B472,27)&amp;VALUE(RIGHT(B472,1)+1))</f>
        <v/>
      </c>
      <c r="C473" s="6" t="str">
        <f t="shared" ref="C473:D473" si="551">C472</f>
        <v/>
      </c>
      <c r="D473" s="6" t="str">
        <f t="shared" si="551"/>
        <v/>
      </c>
      <c r="E473" s="10" t="str">
        <f>IF(ISBLANK(A470),"",E472+1)</f>
        <v/>
      </c>
      <c r="F473" s="11" t="str">
        <f t="shared" si="550"/>
        <v/>
      </c>
      <c r="G473" s="8"/>
    </row>
    <row r="474">
      <c r="A474" s="9" t="str">
        <f t="shared" si="548"/>
        <v/>
      </c>
      <c r="B474" s="9" t="str">
        <f>IF(ISBLANK(A470),"",LEFT(B473,27)&amp;VALUE(RIGHT(B473,1)+1))</f>
        <v/>
      </c>
      <c r="C474" s="6" t="str">
        <f t="shared" ref="C474:D474" si="552">C473</f>
        <v/>
      </c>
      <c r="D474" s="6" t="str">
        <f t="shared" si="552"/>
        <v/>
      </c>
      <c r="E474" s="10" t="str">
        <f>IF(ISBLANK(A470),"",E473+1)</f>
        <v/>
      </c>
      <c r="F474" s="11" t="str">
        <f t="shared" si="550"/>
        <v/>
      </c>
      <c r="G474" s="8"/>
    </row>
    <row r="475">
      <c r="A475" s="12" t="str">
        <f t="shared" si="548"/>
        <v/>
      </c>
      <c r="B475" s="12" t="str">
        <f>IF(ISBLANK(A470),"",LEFT(B474,27)&amp;VALUE(RIGHT(B474,1)+1))</f>
        <v/>
      </c>
      <c r="C475" s="13" t="str">
        <f t="shared" ref="C475:D475" si="553">C474</f>
        <v/>
      </c>
      <c r="D475" s="13" t="str">
        <f t="shared" si="553"/>
        <v/>
      </c>
      <c r="E475" s="14" t="str">
        <f>IF(ISBLANK(A470),"",E474+1)</f>
        <v/>
      </c>
      <c r="F475" s="15" t="str">
        <f t="shared" si="550"/>
        <v/>
      </c>
      <c r="G475" s="16"/>
    </row>
    <row r="476">
      <c r="A476" s="5"/>
      <c r="B476" s="6" t="str">
        <f t="array" ref="B476">IF(ISBLANK(A476),"",IF(A476="PROREP (L)",VLOOKUP(LEFT($A476,6),'Data Feed (40C)'!$A$1:$G$10,2,FALSE),IF(A476="PROREP (S)", INDEX('Data Feed (40C)'!B:B, MATCH(LEFT($A476,6), 'Data Feed (40C)'!$A$1:$A$10, 0) + 1), VLOOKUP($A476,'Data Feed (40C)'!$A$1:$G$10,2,FALSE))))</f>
        <v/>
      </c>
      <c r="C476" s="6" t="str">
        <f t="array" ref="C476">IF(ISBLANK(A476),"",IF(A476="PROREP (L)",VLOOKUP(LEFT($A476,6),'Data Feed (40C)'!$A$1:$G$10,3,FALSE),IF(A476="PROREP (S)", INDEX('Data Feed (40C)'!C:C, MATCH(LEFT($A476,6), 'Data Feed (40C)'!$A$1:$A$10, 0) + 1, +1), VLOOKUP($A476,'Data Feed (40C)'!$A$1:$G$10,3,FALSE))))</f>
        <v/>
      </c>
      <c r="D476" s="6" t="str">
        <f t="array" ref="D476">IF(ISBLANK(A476),"",IF(A476="PROREP (L)",VLOOKUP(LEFT($A476,6),'Data Feed (40C)'!$A$1:$G$10,4,FALSE),IF(A476="PROREP (S)", INDEX('Data Feed (40C)'!D:D, MATCH(LEFT($A476,6), 'Data Feed (40C)'!$A$1:$A$10, 0) + 1, +1), VLOOKUP($A476,'Data Feed (40C)'!$A$1:$G$10,4,FALSE))))</f>
        <v/>
      </c>
      <c r="E476" s="6" t="str">
        <f t="array" ref="E476">IF(ISBLANK(A476),"",IF(A476="PROREP (L)",VLOOKUP(LEFT($A476,6),'Data Feed (40C)'!$A$1:$G$10,7,FALSE),IF(A476="PROREP (S)", INDEX('Data Feed (40C)'!G:G, MATCH(LEFT($A476,6), 'Data Feed (40C)'!$A$1:$A$10, 0) + 1, +1), VLOOKUP($A476,'Data Feed (40C)'!$A$1:$G$10,7,FALSE))))</f>
        <v/>
      </c>
      <c r="F476" s="7"/>
      <c r="G476" s="8"/>
    </row>
    <row r="477">
      <c r="A477" s="9" t="str">
        <f t="shared" ref="A477:A481" si="555">A476</f>
        <v/>
      </c>
      <c r="B477" s="9" t="str">
        <f>IF(ISBLANK(A476),"",LEFT(B476,27)&amp;VALUE(RIGHT(B476,1)+1))</f>
        <v/>
      </c>
      <c r="C477" s="6" t="str">
        <f t="shared" ref="C477:D477" si="554">C476</f>
        <v/>
      </c>
      <c r="D477" s="6" t="str">
        <f t="shared" si="554"/>
        <v/>
      </c>
      <c r="E477" s="10" t="str">
        <f>IF(ISBLANK(A476),"",E476+1)</f>
        <v/>
      </c>
      <c r="F477" s="11" t="str">
        <f t="shared" ref="F477:F481" si="557">F476</f>
        <v/>
      </c>
      <c r="G477" s="8"/>
    </row>
    <row r="478">
      <c r="A478" s="9" t="str">
        <f t="shared" si="555"/>
        <v/>
      </c>
      <c r="B478" s="9" t="str">
        <f>IF(ISBLANK(A476),"",LEFT(B477,27)&amp;VALUE(RIGHT(B477,1)+1))</f>
        <v/>
      </c>
      <c r="C478" s="6" t="str">
        <f t="shared" ref="C478:D478" si="556">C477</f>
        <v/>
      </c>
      <c r="D478" s="6" t="str">
        <f t="shared" si="556"/>
        <v/>
      </c>
      <c r="E478" s="10" t="str">
        <f>IF(ISBLANK(A476),"",E477+1)</f>
        <v/>
      </c>
      <c r="F478" s="11" t="str">
        <f t="shared" si="557"/>
        <v/>
      </c>
      <c r="G478" s="8"/>
    </row>
    <row r="479">
      <c r="A479" s="9" t="str">
        <f t="shared" si="555"/>
        <v/>
      </c>
      <c r="B479" s="9" t="str">
        <f>IF(ISBLANK(A476),"",LEFT(B478,27)&amp;VALUE(RIGHT(B478,1)+1))</f>
        <v/>
      </c>
      <c r="C479" s="6" t="str">
        <f t="shared" ref="C479:D479" si="558">C478</f>
        <v/>
      </c>
      <c r="D479" s="6" t="str">
        <f t="shared" si="558"/>
        <v/>
      </c>
      <c r="E479" s="10" t="str">
        <f>IF(ISBLANK(A476),"",E478+1)</f>
        <v/>
      </c>
      <c r="F479" s="11" t="str">
        <f t="shared" si="557"/>
        <v/>
      </c>
      <c r="G479" s="8"/>
    </row>
    <row r="480">
      <c r="A480" s="9" t="str">
        <f t="shared" si="555"/>
        <v/>
      </c>
      <c r="B480" s="9" t="str">
        <f>IF(ISBLANK(A476),"",LEFT(B479,27)&amp;VALUE(RIGHT(B479,1)+1))</f>
        <v/>
      </c>
      <c r="C480" s="6" t="str">
        <f t="shared" ref="C480:D480" si="559">C479</f>
        <v/>
      </c>
      <c r="D480" s="6" t="str">
        <f t="shared" si="559"/>
        <v/>
      </c>
      <c r="E480" s="10" t="str">
        <f>IF(ISBLANK(A476),"",E479+1)</f>
        <v/>
      </c>
      <c r="F480" s="11" t="str">
        <f t="shared" si="557"/>
        <v/>
      </c>
      <c r="G480" s="8"/>
    </row>
    <row r="481">
      <c r="A481" s="12" t="str">
        <f t="shared" si="555"/>
        <v/>
      </c>
      <c r="B481" s="12" t="str">
        <f>IF(ISBLANK(A476),"",LEFT(B480,27)&amp;VALUE(RIGHT(B480,1)+1))</f>
        <v/>
      </c>
      <c r="C481" s="13" t="str">
        <f t="shared" ref="C481:D481" si="560">C480</f>
        <v/>
      </c>
      <c r="D481" s="13" t="str">
        <f t="shared" si="560"/>
        <v/>
      </c>
      <c r="E481" s="14" t="str">
        <f>IF(ISBLANK(A476),"",E480+1)</f>
        <v/>
      </c>
      <c r="F481" s="15" t="str">
        <f t="shared" si="557"/>
        <v/>
      </c>
      <c r="G481" s="16"/>
    </row>
    <row r="482">
      <c r="A482" s="5"/>
      <c r="B482" s="6" t="str">
        <f t="array" ref="B482">IF(ISBLANK(A482),"",IF(A482="PROREP (L)",VLOOKUP(LEFT($A482,6),'Data Feed (40C)'!$A$1:$G$10,2,FALSE),IF(A482="PROREP (S)", INDEX('Data Feed (40C)'!B:B, MATCH(LEFT($A482,6), 'Data Feed (40C)'!$A$1:$A$10, 0) + 1), VLOOKUP($A482,'Data Feed (40C)'!$A$1:$G$10,2,FALSE))))</f>
        <v/>
      </c>
      <c r="C482" s="6" t="str">
        <f t="array" ref="C482">IF(ISBLANK(A482),"",IF(A482="PROREP (L)",VLOOKUP(LEFT($A482,6),'Data Feed (40C)'!$A$1:$G$10,3,FALSE),IF(A482="PROREP (S)", INDEX('Data Feed (40C)'!C:C, MATCH(LEFT($A482,6), 'Data Feed (40C)'!$A$1:$A$10, 0) + 1, +1), VLOOKUP($A482,'Data Feed (40C)'!$A$1:$G$10,3,FALSE))))</f>
        <v/>
      </c>
      <c r="D482" s="6" t="str">
        <f t="array" ref="D482">IF(ISBLANK(A482),"",IF(A482="PROREP (L)",VLOOKUP(LEFT($A482,6),'Data Feed (40C)'!$A$1:$G$10,4,FALSE),IF(A482="PROREP (S)", INDEX('Data Feed (40C)'!D:D, MATCH(LEFT($A482,6), 'Data Feed (40C)'!$A$1:$A$10, 0) + 1, +1), VLOOKUP($A482,'Data Feed (40C)'!$A$1:$G$10,4,FALSE))))</f>
        <v/>
      </c>
      <c r="E482" s="6" t="str">
        <f t="array" ref="E482">IF(ISBLANK(A482),"",IF(A482="PROREP (L)",VLOOKUP(LEFT($A482,6),'Data Feed (40C)'!$A$1:$G$10,7,FALSE),IF(A482="PROREP (S)", INDEX('Data Feed (40C)'!G:G, MATCH(LEFT($A482,6), 'Data Feed (40C)'!$A$1:$A$10, 0) + 1, +1), VLOOKUP($A482,'Data Feed (40C)'!$A$1:$G$10,7,FALSE))))</f>
        <v/>
      </c>
      <c r="F482" s="7"/>
      <c r="G482" s="8"/>
    </row>
    <row r="483">
      <c r="A483" s="9" t="str">
        <f t="shared" ref="A483:A487" si="562">A482</f>
        <v/>
      </c>
      <c r="B483" s="9" t="str">
        <f>IF(ISBLANK(A482),"",LEFT(B482,27)&amp;VALUE(RIGHT(B482,1)+1))</f>
        <v/>
      </c>
      <c r="C483" s="6" t="str">
        <f t="shared" ref="C483:D483" si="561">C482</f>
        <v/>
      </c>
      <c r="D483" s="6" t="str">
        <f t="shared" si="561"/>
        <v/>
      </c>
      <c r="E483" s="10" t="str">
        <f>IF(ISBLANK(A482),"",E482+1)</f>
        <v/>
      </c>
      <c r="F483" s="11" t="str">
        <f t="shared" ref="F483:F487" si="564">F482</f>
        <v/>
      </c>
      <c r="G483" s="8"/>
    </row>
    <row r="484">
      <c r="A484" s="9" t="str">
        <f t="shared" si="562"/>
        <v/>
      </c>
      <c r="B484" s="9" t="str">
        <f>IF(ISBLANK(A482),"",LEFT(B483,27)&amp;VALUE(RIGHT(B483,1)+1))</f>
        <v/>
      </c>
      <c r="C484" s="6" t="str">
        <f t="shared" ref="C484:D484" si="563">C483</f>
        <v/>
      </c>
      <c r="D484" s="6" t="str">
        <f t="shared" si="563"/>
        <v/>
      </c>
      <c r="E484" s="10" t="str">
        <f>IF(ISBLANK(A482),"",E483+1)</f>
        <v/>
      </c>
      <c r="F484" s="11" t="str">
        <f t="shared" si="564"/>
        <v/>
      </c>
      <c r="G484" s="8"/>
    </row>
    <row r="485">
      <c r="A485" s="9" t="str">
        <f t="shared" si="562"/>
        <v/>
      </c>
      <c r="B485" s="9" t="str">
        <f>IF(ISBLANK(A482),"",LEFT(B484,27)&amp;VALUE(RIGHT(B484,1)+1))</f>
        <v/>
      </c>
      <c r="C485" s="6" t="str">
        <f t="shared" ref="C485:D485" si="565">C484</f>
        <v/>
      </c>
      <c r="D485" s="6" t="str">
        <f t="shared" si="565"/>
        <v/>
      </c>
      <c r="E485" s="10" t="str">
        <f>IF(ISBLANK(A482),"",E484+1)</f>
        <v/>
      </c>
      <c r="F485" s="11" t="str">
        <f t="shared" si="564"/>
        <v/>
      </c>
      <c r="G485" s="8"/>
    </row>
    <row r="486">
      <c r="A486" s="9" t="str">
        <f t="shared" si="562"/>
        <v/>
      </c>
      <c r="B486" s="9" t="str">
        <f>IF(ISBLANK(A482),"",LEFT(B485,27)&amp;VALUE(RIGHT(B485,1)+1))</f>
        <v/>
      </c>
      <c r="C486" s="6" t="str">
        <f t="shared" ref="C486:D486" si="566">C485</f>
        <v/>
      </c>
      <c r="D486" s="6" t="str">
        <f t="shared" si="566"/>
        <v/>
      </c>
      <c r="E486" s="10" t="str">
        <f>IF(ISBLANK(A482),"",E485+1)</f>
        <v/>
      </c>
      <c r="F486" s="11" t="str">
        <f t="shared" si="564"/>
        <v/>
      </c>
      <c r="G486" s="8"/>
    </row>
    <row r="487">
      <c r="A487" s="12" t="str">
        <f t="shared" si="562"/>
        <v/>
      </c>
      <c r="B487" s="12" t="str">
        <f>IF(ISBLANK(A482),"",LEFT(B486,27)&amp;VALUE(RIGHT(B486,1)+1))</f>
        <v/>
      </c>
      <c r="C487" s="13" t="str">
        <f t="shared" ref="C487:D487" si="567">C486</f>
        <v/>
      </c>
      <c r="D487" s="13" t="str">
        <f t="shared" si="567"/>
        <v/>
      </c>
      <c r="E487" s="14" t="str">
        <f>IF(ISBLANK(A482),"",E486+1)</f>
        <v/>
      </c>
      <c r="F487" s="15" t="str">
        <f t="shared" si="564"/>
        <v/>
      </c>
      <c r="G487" s="16"/>
    </row>
    <row r="488">
      <c r="A488" s="5"/>
      <c r="B488" s="6" t="str">
        <f t="array" ref="B488">IF(ISBLANK(A488),"",IF(A488="PROREP (L)",VLOOKUP(LEFT($A488,6),'Data Feed (40C)'!$A$1:$G$10,2,FALSE),IF(A488="PROREP (S)", INDEX('Data Feed (40C)'!B:B, MATCH(LEFT($A488,6), 'Data Feed (40C)'!$A$1:$A$10, 0) + 1), VLOOKUP($A488,'Data Feed (40C)'!$A$1:$G$10,2,FALSE))))</f>
        <v/>
      </c>
      <c r="C488" s="6" t="str">
        <f t="array" ref="C488">IF(ISBLANK(A488),"",IF(A488="PROREP (L)",VLOOKUP(LEFT($A488,6),'Data Feed (40C)'!$A$1:$G$10,3,FALSE),IF(A488="PROREP (S)", INDEX('Data Feed (40C)'!C:C, MATCH(LEFT($A488,6), 'Data Feed (40C)'!$A$1:$A$10, 0) + 1, +1), VLOOKUP($A488,'Data Feed (40C)'!$A$1:$G$10,3,FALSE))))</f>
        <v/>
      </c>
      <c r="D488" s="6" t="str">
        <f t="array" ref="D488">IF(ISBLANK(A488),"",IF(A488="PROREP (L)",VLOOKUP(LEFT($A488,6),'Data Feed (40C)'!$A$1:$G$10,4,FALSE),IF(A488="PROREP (S)", INDEX('Data Feed (40C)'!D:D, MATCH(LEFT($A488,6), 'Data Feed (40C)'!$A$1:$A$10, 0) + 1, +1), VLOOKUP($A488,'Data Feed (40C)'!$A$1:$G$10,4,FALSE))))</f>
        <v/>
      </c>
      <c r="E488" s="6" t="str">
        <f t="array" ref="E488">IF(ISBLANK(A488),"",IF(A488="PROREP (L)",VLOOKUP(LEFT($A488,6),'Data Feed (40C)'!$A$1:$G$10,7,FALSE),IF(A488="PROREP (S)", INDEX('Data Feed (40C)'!G:G, MATCH(LEFT($A488,6), 'Data Feed (40C)'!$A$1:$A$10, 0) + 1, +1), VLOOKUP($A488,'Data Feed (40C)'!$A$1:$G$10,7,FALSE))))</f>
        <v/>
      </c>
      <c r="F488" s="7"/>
      <c r="G488" s="8"/>
    </row>
    <row r="489">
      <c r="A489" s="9" t="str">
        <f t="shared" ref="A489:A493" si="569">A488</f>
        <v/>
      </c>
      <c r="B489" s="9" t="str">
        <f>IF(ISBLANK(A488),"",LEFT(B488,27)&amp;VALUE(RIGHT(B488,1)+1))</f>
        <v/>
      </c>
      <c r="C489" s="6" t="str">
        <f t="shared" ref="C489:D489" si="568">C488</f>
        <v/>
      </c>
      <c r="D489" s="6" t="str">
        <f t="shared" si="568"/>
        <v/>
      </c>
      <c r="E489" s="10" t="str">
        <f>IF(ISBLANK(A488),"",E488+1)</f>
        <v/>
      </c>
      <c r="F489" s="11" t="str">
        <f t="shared" ref="F489:F493" si="571">F488</f>
        <v/>
      </c>
      <c r="G489" s="8"/>
    </row>
    <row r="490">
      <c r="A490" s="9" t="str">
        <f t="shared" si="569"/>
        <v/>
      </c>
      <c r="B490" s="9" t="str">
        <f>IF(ISBLANK(A488),"",LEFT(B489,27)&amp;VALUE(RIGHT(B489,1)+1))</f>
        <v/>
      </c>
      <c r="C490" s="6" t="str">
        <f t="shared" ref="C490:D490" si="570">C489</f>
        <v/>
      </c>
      <c r="D490" s="6" t="str">
        <f t="shared" si="570"/>
        <v/>
      </c>
      <c r="E490" s="10" t="str">
        <f>IF(ISBLANK(A488),"",E489+1)</f>
        <v/>
      </c>
      <c r="F490" s="11" t="str">
        <f t="shared" si="571"/>
        <v/>
      </c>
      <c r="G490" s="8"/>
    </row>
    <row r="491">
      <c r="A491" s="9" t="str">
        <f t="shared" si="569"/>
        <v/>
      </c>
      <c r="B491" s="9" t="str">
        <f>IF(ISBLANK(A488),"",LEFT(B490,27)&amp;VALUE(RIGHT(B490,1)+1))</f>
        <v/>
      </c>
      <c r="C491" s="6" t="str">
        <f t="shared" ref="C491:D491" si="572">C490</f>
        <v/>
      </c>
      <c r="D491" s="6" t="str">
        <f t="shared" si="572"/>
        <v/>
      </c>
      <c r="E491" s="10" t="str">
        <f>IF(ISBLANK(A488),"",E490+1)</f>
        <v/>
      </c>
      <c r="F491" s="11" t="str">
        <f t="shared" si="571"/>
        <v/>
      </c>
      <c r="G491" s="8"/>
    </row>
    <row r="492">
      <c r="A492" s="9" t="str">
        <f t="shared" si="569"/>
        <v/>
      </c>
      <c r="B492" s="9" t="str">
        <f>IF(ISBLANK(A488),"",LEFT(B491,27)&amp;VALUE(RIGHT(B491,1)+1))</f>
        <v/>
      </c>
      <c r="C492" s="6" t="str">
        <f t="shared" ref="C492:D492" si="573">C491</f>
        <v/>
      </c>
      <c r="D492" s="6" t="str">
        <f t="shared" si="573"/>
        <v/>
      </c>
      <c r="E492" s="10" t="str">
        <f>IF(ISBLANK(A488),"",E491+1)</f>
        <v/>
      </c>
      <c r="F492" s="11" t="str">
        <f t="shared" si="571"/>
        <v/>
      </c>
      <c r="G492" s="8"/>
    </row>
    <row r="493">
      <c r="A493" s="12" t="str">
        <f t="shared" si="569"/>
        <v/>
      </c>
      <c r="B493" s="12" t="str">
        <f>IF(ISBLANK(A488),"",LEFT(B492,27)&amp;VALUE(RIGHT(B492,1)+1))</f>
        <v/>
      </c>
      <c r="C493" s="13" t="str">
        <f t="shared" ref="C493:D493" si="574">C492</f>
        <v/>
      </c>
      <c r="D493" s="13" t="str">
        <f t="shared" si="574"/>
        <v/>
      </c>
      <c r="E493" s="14" t="str">
        <f>IF(ISBLANK(A488),"",E492+1)</f>
        <v/>
      </c>
      <c r="F493" s="15" t="str">
        <f t="shared" si="571"/>
        <v/>
      </c>
      <c r="G493" s="16"/>
    </row>
    <row r="494">
      <c r="A494" s="5"/>
      <c r="B494" s="6" t="str">
        <f t="array" ref="B494">IF(ISBLANK(A494),"",IF(A494="PROREP (L)",VLOOKUP(LEFT($A494,6),'Data Feed (40C)'!$A$1:$G$10,2,FALSE),IF(A494="PROREP (S)", INDEX('Data Feed (40C)'!B:B, MATCH(LEFT($A494,6), 'Data Feed (40C)'!$A$1:$A$10, 0) + 1), VLOOKUP($A494,'Data Feed (40C)'!$A$1:$G$10,2,FALSE))))</f>
        <v/>
      </c>
      <c r="C494" s="6" t="str">
        <f t="array" ref="C494">IF(ISBLANK(A494),"",IF(A494="PROREP (L)",VLOOKUP(LEFT($A494,6),'Data Feed (40C)'!$A$1:$G$10,3,FALSE),IF(A494="PROREP (S)", INDEX('Data Feed (40C)'!C:C, MATCH(LEFT($A494,6), 'Data Feed (40C)'!$A$1:$A$10, 0) + 1, +1), VLOOKUP($A494,'Data Feed (40C)'!$A$1:$G$10,3,FALSE))))</f>
        <v/>
      </c>
      <c r="D494" s="6" t="str">
        <f t="array" ref="D494">IF(ISBLANK(A494),"",IF(A494="PROREP (L)",VLOOKUP(LEFT($A494,6),'Data Feed (40C)'!$A$1:$G$10,4,FALSE),IF(A494="PROREP (S)", INDEX('Data Feed (40C)'!D:D, MATCH(LEFT($A494,6), 'Data Feed (40C)'!$A$1:$A$10, 0) + 1, +1), VLOOKUP($A494,'Data Feed (40C)'!$A$1:$G$10,4,FALSE))))</f>
        <v/>
      </c>
      <c r="E494" s="6" t="str">
        <f t="array" ref="E494">IF(ISBLANK(A494),"",IF(A494="PROREP (L)",VLOOKUP(LEFT($A494,6),'Data Feed (40C)'!$A$1:$G$10,7,FALSE),IF(A494="PROREP (S)", INDEX('Data Feed (40C)'!G:G, MATCH(LEFT($A494,6), 'Data Feed (40C)'!$A$1:$A$10, 0) + 1, +1), VLOOKUP($A494,'Data Feed (40C)'!$A$1:$G$10,7,FALSE))))</f>
        <v/>
      </c>
      <c r="F494" s="7"/>
      <c r="G494" s="8"/>
    </row>
    <row r="495">
      <c r="A495" s="9" t="str">
        <f t="shared" ref="A495:A499" si="576">A494</f>
        <v/>
      </c>
      <c r="B495" s="9" t="str">
        <f>IF(ISBLANK(A494),"",LEFT(B494,27)&amp;VALUE(RIGHT(B494,1)+1))</f>
        <v/>
      </c>
      <c r="C495" s="6" t="str">
        <f t="shared" ref="C495:D495" si="575">C494</f>
        <v/>
      </c>
      <c r="D495" s="6" t="str">
        <f t="shared" si="575"/>
        <v/>
      </c>
      <c r="E495" s="10" t="str">
        <f>IF(ISBLANK(A494),"",E494+1)</f>
        <v/>
      </c>
      <c r="F495" s="11" t="str">
        <f t="shared" ref="F495:F499" si="578">F494</f>
        <v/>
      </c>
      <c r="G495" s="8"/>
    </row>
    <row r="496">
      <c r="A496" s="9" t="str">
        <f t="shared" si="576"/>
        <v/>
      </c>
      <c r="B496" s="9" t="str">
        <f>IF(ISBLANK(A494),"",LEFT(B495,27)&amp;VALUE(RIGHT(B495,1)+1))</f>
        <v/>
      </c>
      <c r="C496" s="6" t="str">
        <f t="shared" ref="C496:D496" si="577">C495</f>
        <v/>
      </c>
      <c r="D496" s="6" t="str">
        <f t="shared" si="577"/>
        <v/>
      </c>
      <c r="E496" s="10" t="str">
        <f>IF(ISBLANK(A494),"",E495+1)</f>
        <v/>
      </c>
      <c r="F496" s="11" t="str">
        <f t="shared" si="578"/>
        <v/>
      </c>
      <c r="G496" s="8"/>
    </row>
    <row r="497">
      <c r="A497" s="9" t="str">
        <f t="shared" si="576"/>
        <v/>
      </c>
      <c r="B497" s="9" t="str">
        <f>IF(ISBLANK(A494),"",LEFT(B496,27)&amp;VALUE(RIGHT(B496,1)+1))</f>
        <v/>
      </c>
      <c r="C497" s="6" t="str">
        <f t="shared" ref="C497:D497" si="579">C496</f>
        <v/>
      </c>
      <c r="D497" s="6" t="str">
        <f t="shared" si="579"/>
        <v/>
      </c>
      <c r="E497" s="10" t="str">
        <f>IF(ISBLANK(A494),"",E496+1)</f>
        <v/>
      </c>
      <c r="F497" s="11" t="str">
        <f t="shared" si="578"/>
        <v/>
      </c>
      <c r="G497" s="8"/>
    </row>
    <row r="498">
      <c r="A498" s="9" t="str">
        <f t="shared" si="576"/>
        <v/>
      </c>
      <c r="B498" s="9" t="str">
        <f>IF(ISBLANK(A494),"",LEFT(B497,27)&amp;VALUE(RIGHT(B497,1)+1))</f>
        <v/>
      </c>
      <c r="C498" s="6" t="str">
        <f t="shared" ref="C498:D498" si="580">C497</f>
        <v/>
      </c>
      <c r="D498" s="6" t="str">
        <f t="shared" si="580"/>
        <v/>
      </c>
      <c r="E498" s="10" t="str">
        <f>IF(ISBLANK(A494),"",E497+1)</f>
        <v/>
      </c>
      <c r="F498" s="11" t="str">
        <f t="shared" si="578"/>
        <v/>
      </c>
      <c r="G498" s="8"/>
    </row>
    <row r="499">
      <c r="A499" s="12" t="str">
        <f t="shared" si="576"/>
        <v/>
      </c>
      <c r="B499" s="12" t="str">
        <f>IF(ISBLANK(A494),"",LEFT(B498,27)&amp;VALUE(RIGHT(B498,1)+1))</f>
        <v/>
      </c>
      <c r="C499" s="13" t="str">
        <f t="shared" ref="C499:D499" si="581">C498</f>
        <v/>
      </c>
      <c r="D499" s="13" t="str">
        <f t="shared" si="581"/>
        <v/>
      </c>
      <c r="E499" s="14" t="str">
        <f>IF(ISBLANK(A494),"",E498+1)</f>
        <v/>
      </c>
      <c r="F499" s="15" t="str">
        <f t="shared" si="578"/>
        <v/>
      </c>
      <c r="G499" s="16"/>
    </row>
    <row r="500">
      <c r="A500" s="5"/>
      <c r="B500" s="6" t="str">
        <f t="array" ref="B500">IF(ISBLANK(A500),"",IF(A500="PROREP (L)",VLOOKUP(LEFT($A500,6),'Data Feed (40C)'!$A$1:$G$10,2,FALSE),IF(A500="PROREP (S)", INDEX('Data Feed (40C)'!B:B, MATCH(LEFT($A500,6), 'Data Feed (40C)'!$A$1:$A$10, 0) + 1), VLOOKUP($A500,'Data Feed (40C)'!$A$1:$G$10,2,FALSE))))</f>
        <v/>
      </c>
      <c r="C500" s="6" t="str">
        <f t="array" ref="C500">IF(ISBLANK(A500),"",IF(A500="PROREP (L)",VLOOKUP(LEFT($A500,6),'Data Feed (40C)'!$A$1:$G$10,3,FALSE),IF(A500="PROREP (S)", INDEX('Data Feed (40C)'!C:C, MATCH(LEFT($A500,6), 'Data Feed (40C)'!$A$1:$A$10, 0) + 1, +1), VLOOKUP($A500,'Data Feed (40C)'!$A$1:$G$10,3,FALSE))))</f>
        <v/>
      </c>
      <c r="D500" s="6" t="str">
        <f t="array" ref="D500">IF(ISBLANK(A500),"",IF(A500="PROREP (L)",VLOOKUP(LEFT($A500,6),'Data Feed (40C)'!$A$1:$G$10,4,FALSE),IF(A500="PROREP (S)", INDEX('Data Feed (40C)'!D:D, MATCH(LEFT($A500,6), 'Data Feed (40C)'!$A$1:$A$10, 0) + 1, +1), VLOOKUP($A500,'Data Feed (40C)'!$A$1:$G$10,4,FALSE))))</f>
        <v/>
      </c>
      <c r="E500" s="6" t="str">
        <f t="array" ref="E500">IF(ISBLANK(A500),"",IF(A500="PROREP (L)",VLOOKUP(LEFT($A500,6),'Data Feed (40C)'!$A$1:$G$10,7,FALSE),IF(A500="PROREP (S)", INDEX('Data Feed (40C)'!G:G, MATCH(LEFT($A500,6), 'Data Feed (40C)'!$A$1:$A$10, 0) + 1, +1), VLOOKUP($A500,'Data Feed (40C)'!$A$1:$G$10,7,FALSE))))</f>
        <v/>
      </c>
      <c r="F500" s="7"/>
      <c r="G500" s="8"/>
    </row>
    <row r="501">
      <c r="A501" s="9" t="str">
        <f t="shared" ref="A501:A505" si="583">A500</f>
        <v/>
      </c>
      <c r="B501" s="9" t="str">
        <f>IF(ISBLANK(A500),"",LEFT(B500,27)&amp;VALUE(RIGHT(B500,1)+1))</f>
        <v/>
      </c>
      <c r="C501" s="6" t="str">
        <f t="shared" ref="C501:D501" si="582">C500</f>
        <v/>
      </c>
      <c r="D501" s="6" t="str">
        <f t="shared" si="582"/>
        <v/>
      </c>
      <c r="E501" s="10" t="str">
        <f>IF(ISBLANK(A500),"",E500+1)</f>
        <v/>
      </c>
      <c r="F501" s="11" t="str">
        <f t="shared" ref="F501:F505" si="585">F500</f>
        <v/>
      </c>
      <c r="G501" s="8"/>
    </row>
    <row r="502">
      <c r="A502" s="9" t="str">
        <f t="shared" si="583"/>
        <v/>
      </c>
      <c r="B502" s="9" t="str">
        <f>IF(ISBLANK(A500),"",LEFT(B501,27)&amp;VALUE(RIGHT(B501,1)+1))</f>
        <v/>
      </c>
      <c r="C502" s="6" t="str">
        <f t="shared" ref="C502:D502" si="584">C501</f>
        <v/>
      </c>
      <c r="D502" s="6" t="str">
        <f t="shared" si="584"/>
        <v/>
      </c>
      <c r="E502" s="10" t="str">
        <f>IF(ISBLANK(A500),"",E501+1)</f>
        <v/>
      </c>
      <c r="F502" s="11" t="str">
        <f t="shared" si="585"/>
        <v/>
      </c>
      <c r="G502" s="8"/>
    </row>
    <row r="503">
      <c r="A503" s="9" t="str">
        <f t="shared" si="583"/>
        <v/>
      </c>
      <c r="B503" s="9" t="str">
        <f>IF(ISBLANK(A500),"",LEFT(B502,27)&amp;VALUE(RIGHT(B502,1)+1))</f>
        <v/>
      </c>
      <c r="C503" s="6" t="str">
        <f t="shared" ref="C503:D503" si="586">C502</f>
        <v/>
      </c>
      <c r="D503" s="6" t="str">
        <f t="shared" si="586"/>
        <v/>
      </c>
      <c r="E503" s="10" t="str">
        <f>IF(ISBLANK(A500),"",E502+1)</f>
        <v/>
      </c>
      <c r="F503" s="11" t="str">
        <f t="shared" si="585"/>
        <v/>
      </c>
      <c r="G503" s="8"/>
    </row>
    <row r="504">
      <c r="A504" s="9" t="str">
        <f t="shared" si="583"/>
        <v/>
      </c>
      <c r="B504" s="9" t="str">
        <f>IF(ISBLANK(A500),"",LEFT(B503,27)&amp;VALUE(RIGHT(B503,1)+1))</f>
        <v/>
      </c>
      <c r="C504" s="6" t="str">
        <f t="shared" ref="C504:D504" si="587">C503</f>
        <v/>
      </c>
      <c r="D504" s="6" t="str">
        <f t="shared" si="587"/>
        <v/>
      </c>
      <c r="E504" s="10" t="str">
        <f>IF(ISBLANK(A500),"",E503+1)</f>
        <v/>
      </c>
      <c r="F504" s="11" t="str">
        <f t="shared" si="585"/>
        <v/>
      </c>
      <c r="G504" s="8"/>
    </row>
    <row r="505">
      <c r="A505" s="12" t="str">
        <f t="shared" si="583"/>
        <v/>
      </c>
      <c r="B505" s="12" t="str">
        <f>IF(ISBLANK(A500),"",LEFT(B504,27)&amp;VALUE(RIGHT(B504,1)+1))</f>
        <v/>
      </c>
      <c r="C505" s="13" t="str">
        <f t="shared" ref="C505:D505" si="588">C504</f>
        <v/>
      </c>
      <c r="D505" s="13" t="str">
        <f t="shared" si="588"/>
        <v/>
      </c>
      <c r="E505" s="14" t="str">
        <f>IF(ISBLANK(A500),"",E504+1)</f>
        <v/>
      </c>
      <c r="F505" s="15" t="str">
        <f t="shared" si="585"/>
        <v/>
      </c>
      <c r="G505" s="16"/>
    </row>
    <row r="506">
      <c r="A506" s="5"/>
      <c r="B506" s="6" t="str">
        <f t="array" ref="B506">IF(ISBLANK(A506),"",IF(A506="PROREP (L)",VLOOKUP(LEFT($A506,6),'Data Feed (40C)'!$A$1:$G$10,2,FALSE),IF(A506="PROREP (S)", INDEX('Data Feed (40C)'!B:B, MATCH(LEFT($A506,6), 'Data Feed (40C)'!$A$1:$A$10, 0) + 1), VLOOKUP($A506,'Data Feed (40C)'!$A$1:$G$10,2,FALSE))))</f>
        <v/>
      </c>
      <c r="C506" s="6" t="str">
        <f t="array" ref="C506">IF(ISBLANK(A506),"",IF(A506="PROREP (L)",VLOOKUP(LEFT($A506,6),'Data Feed (40C)'!$A$1:$G$10,3,FALSE),IF(A506="PROREP (S)", INDEX('Data Feed (40C)'!C:C, MATCH(LEFT($A506,6), 'Data Feed (40C)'!$A$1:$A$10, 0) + 1, +1), VLOOKUP($A506,'Data Feed (40C)'!$A$1:$G$10,3,FALSE))))</f>
        <v/>
      </c>
      <c r="D506" s="6" t="str">
        <f t="array" ref="D506">IF(ISBLANK(A506),"",IF(A506="PROREP (L)",VLOOKUP(LEFT($A506,6),'Data Feed (40C)'!$A$1:$G$10,4,FALSE),IF(A506="PROREP (S)", INDEX('Data Feed (40C)'!D:D, MATCH(LEFT($A506,6), 'Data Feed (40C)'!$A$1:$A$10, 0) + 1, +1), VLOOKUP($A506,'Data Feed (40C)'!$A$1:$G$10,4,FALSE))))</f>
        <v/>
      </c>
      <c r="E506" s="6" t="str">
        <f t="array" ref="E506">IF(ISBLANK(A506),"",IF(A506="PROREP (L)",VLOOKUP(LEFT($A506,6),'Data Feed (40C)'!$A$1:$G$10,7,FALSE),IF(A506="PROREP (S)", INDEX('Data Feed (40C)'!G:G, MATCH(LEFT($A506,6), 'Data Feed (40C)'!$A$1:$A$10, 0) + 1, +1), VLOOKUP($A506,'Data Feed (40C)'!$A$1:$G$10,7,FALSE))))</f>
        <v/>
      </c>
      <c r="F506" s="7"/>
      <c r="G506" s="8"/>
    </row>
    <row r="507">
      <c r="A507" s="9" t="str">
        <f t="shared" ref="A507:A511" si="590">A506</f>
        <v/>
      </c>
      <c r="B507" s="9" t="str">
        <f>IF(ISBLANK(A506),"",LEFT(B506,27)&amp;VALUE(RIGHT(B506,1)+1))</f>
        <v/>
      </c>
      <c r="C507" s="6" t="str">
        <f t="shared" ref="C507:D507" si="589">C506</f>
        <v/>
      </c>
      <c r="D507" s="6" t="str">
        <f t="shared" si="589"/>
        <v/>
      </c>
      <c r="E507" s="10" t="str">
        <f>IF(ISBLANK(A506),"",E506+1)</f>
        <v/>
      </c>
      <c r="F507" s="11" t="str">
        <f t="shared" ref="F507:F511" si="592">F506</f>
        <v/>
      </c>
      <c r="G507" s="8"/>
    </row>
    <row r="508">
      <c r="A508" s="9" t="str">
        <f t="shared" si="590"/>
        <v/>
      </c>
      <c r="B508" s="9" t="str">
        <f>IF(ISBLANK(A506),"",LEFT(B507,27)&amp;VALUE(RIGHT(B507,1)+1))</f>
        <v/>
      </c>
      <c r="C508" s="6" t="str">
        <f t="shared" ref="C508:D508" si="591">C507</f>
        <v/>
      </c>
      <c r="D508" s="6" t="str">
        <f t="shared" si="591"/>
        <v/>
      </c>
      <c r="E508" s="10" t="str">
        <f>IF(ISBLANK(A506),"",E507+1)</f>
        <v/>
      </c>
      <c r="F508" s="11" t="str">
        <f t="shared" si="592"/>
        <v/>
      </c>
      <c r="G508" s="8"/>
    </row>
    <row r="509">
      <c r="A509" s="9" t="str">
        <f t="shared" si="590"/>
        <v/>
      </c>
      <c r="B509" s="9" t="str">
        <f>IF(ISBLANK(A506),"",LEFT(B508,27)&amp;VALUE(RIGHT(B508,1)+1))</f>
        <v/>
      </c>
      <c r="C509" s="6" t="str">
        <f t="shared" ref="C509:D509" si="593">C508</f>
        <v/>
      </c>
      <c r="D509" s="6" t="str">
        <f t="shared" si="593"/>
        <v/>
      </c>
      <c r="E509" s="10" t="str">
        <f>IF(ISBLANK(A506),"",E508+1)</f>
        <v/>
      </c>
      <c r="F509" s="11" t="str">
        <f t="shared" si="592"/>
        <v/>
      </c>
      <c r="G509" s="8"/>
    </row>
    <row r="510">
      <c r="A510" s="9" t="str">
        <f t="shared" si="590"/>
        <v/>
      </c>
      <c r="B510" s="9" t="str">
        <f>IF(ISBLANK(A506),"",LEFT(B509,27)&amp;VALUE(RIGHT(B509,1)+1))</f>
        <v/>
      </c>
      <c r="C510" s="6" t="str">
        <f t="shared" ref="C510:D510" si="594">C509</f>
        <v/>
      </c>
      <c r="D510" s="6" t="str">
        <f t="shared" si="594"/>
        <v/>
      </c>
      <c r="E510" s="10" t="str">
        <f>IF(ISBLANK(A506),"",E509+1)</f>
        <v/>
      </c>
      <c r="F510" s="11" t="str">
        <f t="shared" si="592"/>
        <v/>
      </c>
      <c r="G510" s="8"/>
    </row>
    <row r="511">
      <c r="A511" s="12" t="str">
        <f t="shared" si="590"/>
        <v/>
      </c>
      <c r="B511" s="12" t="str">
        <f>IF(ISBLANK(A506),"",LEFT(B510,27)&amp;VALUE(RIGHT(B510,1)+1))</f>
        <v/>
      </c>
      <c r="C511" s="13" t="str">
        <f t="shared" ref="C511:D511" si="595">C510</f>
        <v/>
      </c>
      <c r="D511" s="13" t="str">
        <f t="shared" si="595"/>
        <v/>
      </c>
      <c r="E511" s="14" t="str">
        <f>IF(ISBLANK(A506),"",E510+1)</f>
        <v/>
      </c>
      <c r="F511" s="15" t="str">
        <f t="shared" si="592"/>
        <v/>
      </c>
      <c r="G511" s="16"/>
    </row>
    <row r="512">
      <c r="A512" s="5"/>
      <c r="B512" s="6" t="str">
        <f t="array" ref="B512">IF(ISBLANK(A512),"",IF(A512="PROREP (L)",VLOOKUP(LEFT($A512,6),'Data Feed (40C)'!$A$1:$G$10,2,FALSE),IF(A512="PROREP (S)", INDEX('Data Feed (40C)'!B:B, MATCH(LEFT($A512,6), 'Data Feed (40C)'!$A$1:$A$10, 0) + 1), VLOOKUP($A512,'Data Feed (40C)'!$A$1:$G$10,2,FALSE))))</f>
        <v/>
      </c>
      <c r="C512" s="6" t="str">
        <f t="array" ref="C512">IF(ISBLANK(A512),"",IF(A512="PROREP (L)",VLOOKUP(LEFT($A512,6),'Data Feed (40C)'!$A$1:$G$10,3,FALSE),IF(A512="PROREP (S)", INDEX('Data Feed (40C)'!C:C, MATCH(LEFT($A512,6), 'Data Feed (40C)'!$A$1:$A$10, 0) + 1, +1), VLOOKUP($A512,'Data Feed (40C)'!$A$1:$G$10,3,FALSE))))</f>
        <v/>
      </c>
      <c r="D512" s="6" t="str">
        <f t="array" ref="D512">IF(ISBLANK(A512),"",IF(A512="PROREP (L)",VLOOKUP(LEFT($A512,6),'Data Feed (40C)'!$A$1:$G$10,4,FALSE),IF(A512="PROREP (S)", INDEX('Data Feed (40C)'!D:D, MATCH(LEFT($A512,6), 'Data Feed (40C)'!$A$1:$A$10, 0) + 1, +1), VLOOKUP($A512,'Data Feed (40C)'!$A$1:$G$10,4,FALSE))))</f>
        <v/>
      </c>
      <c r="E512" s="6" t="str">
        <f t="array" ref="E512">IF(ISBLANK(A512),"",IF(A512="PROREP (L)",VLOOKUP(LEFT($A512,6),'Data Feed (40C)'!$A$1:$G$10,7,FALSE),IF(A512="PROREP (S)", INDEX('Data Feed (40C)'!G:G, MATCH(LEFT($A512,6), 'Data Feed (40C)'!$A$1:$A$10, 0) + 1, +1), VLOOKUP($A512,'Data Feed (40C)'!$A$1:$G$10,7,FALSE))))</f>
        <v/>
      </c>
      <c r="F512" s="7"/>
      <c r="G512" s="8"/>
    </row>
    <row r="513">
      <c r="A513" s="9" t="str">
        <f t="shared" ref="A513:A517" si="597">A512</f>
        <v/>
      </c>
      <c r="B513" s="9" t="str">
        <f>IF(ISBLANK(A512),"",LEFT(B512,27)&amp;VALUE(RIGHT(B512,1)+1))</f>
        <v/>
      </c>
      <c r="C513" s="6" t="str">
        <f t="shared" ref="C513:D513" si="596">C512</f>
        <v/>
      </c>
      <c r="D513" s="6" t="str">
        <f t="shared" si="596"/>
        <v/>
      </c>
      <c r="E513" s="10" t="str">
        <f>IF(ISBLANK(A512),"",E512+1)</f>
        <v/>
      </c>
      <c r="F513" s="11" t="str">
        <f t="shared" ref="F513:F517" si="599">F512</f>
        <v/>
      </c>
      <c r="G513" s="8"/>
    </row>
    <row r="514">
      <c r="A514" s="9" t="str">
        <f t="shared" si="597"/>
        <v/>
      </c>
      <c r="B514" s="9" t="str">
        <f>IF(ISBLANK(A512),"",LEFT(B513,27)&amp;VALUE(RIGHT(B513,1)+1))</f>
        <v/>
      </c>
      <c r="C514" s="6" t="str">
        <f t="shared" ref="C514:D514" si="598">C513</f>
        <v/>
      </c>
      <c r="D514" s="6" t="str">
        <f t="shared" si="598"/>
        <v/>
      </c>
      <c r="E514" s="10" t="str">
        <f>IF(ISBLANK(A512),"",E513+1)</f>
        <v/>
      </c>
      <c r="F514" s="11" t="str">
        <f t="shared" si="599"/>
        <v/>
      </c>
      <c r="G514" s="8"/>
    </row>
    <row r="515">
      <c r="A515" s="9" t="str">
        <f t="shared" si="597"/>
        <v/>
      </c>
      <c r="B515" s="9" t="str">
        <f>IF(ISBLANK(A512),"",LEFT(B514,27)&amp;VALUE(RIGHT(B514,1)+1))</f>
        <v/>
      </c>
      <c r="C515" s="6" t="str">
        <f t="shared" ref="C515:D515" si="600">C514</f>
        <v/>
      </c>
      <c r="D515" s="6" t="str">
        <f t="shared" si="600"/>
        <v/>
      </c>
      <c r="E515" s="10" t="str">
        <f>IF(ISBLANK(A512),"",E514+1)</f>
        <v/>
      </c>
      <c r="F515" s="11" t="str">
        <f t="shared" si="599"/>
        <v/>
      </c>
      <c r="G515" s="8"/>
    </row>
    <row r="516">
      <c r="A516" s="9" t="str">
        <f t="shared" si="597"/>
        <v/>
      </c>
      <c r="B516" s="9" t="str">
        <f>IF(ISBLANK(A512),"",LEFT(B515,27)&amp;VALUE(RIGHT(B515,1)+1))</f>
        <v/>
      </c>
      <c r="C516" s="6" t="str">
        <f t="shared" ref="C516:D516" si="601">C515</f>
        <v/>
      </c>
      <c r="D516" s="6" t="str">
        <f t="shared" si="601"/>
        <v/>
      </c>
      <c r="E516" s="10" t="str">
        <f>IF(ISBLANK(A512),"",E515+1)</f>
        <v/>
      </c>
      <c r="F516" s="11" t="str">
        <f t="shared" si="599"/>
        <v/>
      </c>
      <c r="G516" s="8"/>
    </row>
    <row r="517">
      <c r="A517" s="12" t="str">
        <f t="shared" si="597"/>
        <v/>
      </c>
      <c r="B517" s="12" t="str">
        <f>IF(ISBLANK(A512),"",LEFT(B516,27)&amp;VALUE(RIGHT(B516,1)+1))</f>
        <v/>
      </c>
      <c r="C517" s="13" t="str">
        <f t="shared" ref="C517:D517" si="602">C516</f>
        <v/>
      </c>
      <c r="D517" s="13" t="str">
        <f t="shared" si="602"/>
        <v/>
      </c>
      <c r="E517" s="14" t="str">
        <f>IF(ISBLANK(A512),"",E516+1)</f>
        <v/>
      </c>
      <c r="F517" s="15" t="str">
        <f t="shared" si="599"/>
        <v/>
      </c>
      <c r="G517" s="16"/>
    </row>
    <row r="518">
      <c r="A518" s="5"/>
      <c r="B518" s="6" t="str">
        <f t="array" ref="B518">IF(ISBLANK(A518),"",IF(A518="PROREP (L)",VLOOKUP(LEFT($A518,6),'Data Feed (40C)'!$A$1:$G$10,2,FALSE),IF(A518="PROREP (S)", INDEX('Data Feed (40C)'!B:B, MATCH(LEFT($A518,6), 'Data Feed (40C)'!$A$1:$A$10, 0) + 1), VLOOKUP($A518,'Data Feed (40C)'!$A$1:$G$10,2,FALSE))))</f>
        <v/>
      </c>
      <c r="C518" s="6" t="str">
        <f t="array" ref="C518">IF(ISBLANK(A518),"",IF(A518="PROREP (L)",VLOOKUP(LEFT($A518,6),'Data Feed (40C)'!$A$1:$G$10,3,FALSE),IF(A518="PROREP (S)", INDEX('Data Feed (40C)'!C:C, MATCH(LEFT($A518,6), 'Data Feed (40C)'!$A$1:$A$10, 0) + 1, +1), VLOOKUP($A518,'Data Feed (40C)'!$A$1:$G$10,3,FALSE))))</f>
        <v/>
      </c>
      <c r="D518" s="6" t="str">
        <f t="array" ref="D518">IF(ISBLANK(A518),"",IF(A518="PROREP (L)",VLOOKUP(LEFT($A518,6),'Data Feed (40C)'!$A$1:$G$10,4,FALSE),IF(A518="PROREP (S)", INDEX('Data Feed (40C)'!D:D, MATCH(LEFT($A518,6), 'Data Feed (40C)'!$A$1:$A$10, 0) + 1, +1), VLOOKUP($A518,'Data Feed (40C)'!$A$1:$G$10,4,FALSE))))</f>
        <v/>
      </c>
      <c r="E518" s="6" t="str">
        <f t="array" ref="E518">IF(ISBLANK(A518),"",IF(A518="PROREP (L)",VLOOKUP(LEFT($A518,6),'Data Feed (40C)'!$A$1:$G$10,7,FALSE),IF(A518="PROREP (S)", INDEX('Data Feed (40C)'!G:G, MATCH(LEFT($A518,6), 'Data Feed (40C)'!$A$1:$A$10, 0) + 1, +1), VLOOKUP($A518,'Data Feed (40C)'!$A$1:$G$10,7,FALSE))))</f>
        <v/>
      </c>
      <c r="F518" s="7"/>
      <c r="G518" s="8"/>
    </row>
    <row r="519">
      <c r="A519" s="9" t="str">
        <f t="shared" ref="A519:A523" si="604">A518</f>
        <v/>
      </c>
      <c r="B519" s="9" t="str">
        <f>IF(ISBLANK(A518),"",LEFT(B518,27)&amp;VALUE(RIGHT(B518,1)+1))</f>
        <v/>
      </c>
      <c r="C519" s="6" t="str">
        <f t="shared" ref="C519:D519" si="603">C518</f>
        <v/>
      </c>
      <c r="D519" s="6" t="str">
        <f t="shared" si="603"/>
        <v/>
      </c>
      <c r="E519" s="10" t="str">
        <f>IF(ISBLANK(A518),"",E518+1)</f>
        <v/>
      </c>
      <c r="F519" s="11" t="str">
        <f t="shared" ref="F519:F523" si="606">F518</f>
        <v/>
      </c>
      <c r="G519" s="8"/>
    </row>
    <row r="520">
      <c r="A520" s="9" t="str">
        <f t="shared" si="604"/>
        <v/>
      </c>
      <c r="B520" s="9" t="str">
        <f>IF(ISBLANK(A518),"",LEFT(B519,27)&amp;VALUE(RIGHT(B519,1)+1))</f>
        <v/>
      </c>
      <c r="C520" s="6" t="str">
        <f t="shared" ref="C520:D520" si="605">C519</f>
        <v/>
      </c>
      <c r="D520" s="6" t="str">
        <f t="shared" si="605"/>
        <v/>
      </c>
      <c r="E520" s="10" t="str">
        <f>IF(ISBLANK(A518),"",E519+1)</f>
        <v/>
      </c>
      <c r="F520" s="11" t="str">
        <f t="shared" si="606"/>
        <v/>
      </c>
      <c r="G520" s="8"/>
    </row>
    <row r="521">
      <c r="A521" s="9" t="str">
        <f t="shared" si="604"/>
        <v/>
      </c>
      <c r="B521" s="9" t="str">
        <f>IF(ISBLANK(A518),"",LEFT(B520,27)&amp;VALUE(RIGHT(B520,1)+1))</f>
        <v/>
      </c>
      <c r="C521" s="6" t="str">
        <f t="shared" ref="C521:D521" si="607">C520</f>
        <v/>
      </c>
      <c r="D521" s="6" t="str">
        <f t="shared" si="607"/>
        <v/>
      </c>
      <c r="E521" s="10" t="str">
        <f>IF(ISBLANK(A518),"",E520+1)</f>
        <v/>
      </c>
      <c r="F521" s="11" t="str">
        <f t="shared" si="606"/>
        <v/>
      </c>
      <c r="G521" s="8"/>
    </row>
    <row r="522">
      <c r="A522" s="9" t="str">
        <f t="shared" si="604"/>
        <v/>
      </c>
      <c r="B522" s="9" t="str">
        <f>IF(ISBLANK(A518),"",LEFT(B521,27)&amp;VALUE(RIGHT(B521,1)+1))</f>
        <v/>
      </c>
      <c r="C522" s="6" t="str">
        <f t="shared" ref="C522:D522" si="608">C521</f>
        <v/>
      </c>
      <c r="D522" s="6" t="str">
        <f t="shared" si="608"/>
        <v/>
      </c>
      <c r="E522" s="10" t="str">
        <f>IF(ISBLANK(A518),"",E521+1)</f>
        <v/>
      </c>
      <c r="F522" s="11" t="str">
        <f t="shared" si="606"/>
        <v/>
      </c>
      <c r="G522" s="8"/>
    </row>
    <row r="523">
      <c r="A523" s="12" t="str">
        <f t="shared" si="604"/>
        <v/>
      </c>
      <c r="B523" s="12" t="str">
        <f>IF(ISBLANK(A518),"",LEFT(B522,27)&amp;VALUE(RIGHT(B522,1)+1))</f>
        <v/>
      </c>
      <c r="C523" s="13" t="str">
        <f t="shared" ref="C523:D523" si="609">C522</f>
        <v/>
      </c>
      <c r="D523" s="13" t="str">
        <f t="shared" si="609"/>
        <v/>
      </c>
      <c r="E523" s="14" t="str">
        <f>IF(ISBLANK(A518),"",E522+1)</f>
        <v/>
      </c>
      <c r="F523" s="15" t="str">
        <f t="shared" si="606"/>
        <v/>
      </c>
      <c r="G523" s="16"/>
    </row>
    <row r="524">
      <c r="A524" s="5"/>
      <c r="B524" s="6" t="str">
        <f t="array" ref="B524">IF(ISBLANK(A524),"",IF(A524="PROREP (L)",VLOOKUP(LEFT($A524,6),'Data Feed (40C)'!$A$1:$G$10,2,FALSE),IF(A524="PROREP (S)", INDEX('Data Feed (40C)'!B:B, MATCH(LEFT($A524,6), 'Data Feed (40C)'!$A$1:$A$10, 0) + 1), VLOOKUP($A524,'Data Feed (40C)'!$A$1:$G$10,2,FALSE))))</f>
        <v/>
      </c>
      <c r="C524" s="6" t="str">
        <f t="array" ref="C524">IF(ISBLANK(A524),"",IF(A524="PROREP (L)",VLOOKUP(LEFT($A524,6),'Data Feed (40C)'!$A$1:$G$10,3,FALSE),IF(A524="PROREP (S)", INDEX('Data Feed (40C)'!C:C, MATCH(LEFT($A524,6), 'Data Feed (40C)'!$A$1:$A$10, 0) + 1, +1), VLOOKUP($A524,'Data Feed (40C)'!$A$1:$G$10,3,FALSE))))</f>
        <v/>
      </c>
      <c r="D524" s="6" t="str">
        <f t="array" ref="D524">IF(ISBLANK(A524),"",IF(A524="PROREP (L)",VLOOKUP(LEFT($A524,6),'Data Feed (40C)'!$A$1:$G$10,4,FALSE),IF(A524="PROREP (S)", INDEX('Data Feed (40C)'!D:D, MATCH(LEFT($A524,6), 'Data Feed (40C)'!$A$1:$A$10, 0) + 1, +1), VLOOKUP($A524,'Data Feed (40C)'!$A$1:$G$10,4,FALSE))))</f>
        <v/>
      </c>
      <c r="E524" s="6" t="str">
        <f t="array" ref="E524">IF(ISBLANK(A524),"",IF(A524="PROREP (L)",VLOOKUP(LEFT($A524,6),'Data Feed (40C)'!$A$1:$G$10,7,FALSE),IF(A524="PROREP (S)", INDEX('Data Feed (40C)'!G:G, MATCH(LEFT($A524,6), 'Data Feed (40C)'!$A$1:$A$10, 0) + 1, +1), VLOOKUP($A524,'Data Feed (40C)'!$A$1:$G$10,7,FALSE))))</f>
        <v/>
      </c>
      <c r="F524" s="7"/>
      <c r="G524" s="8"/>
    </row>
    <row r="525">
      <c r="A525" s="9" t="str">
        <f t="shared" ref="A525:A529" si="611">A524</f>
        <v/>
      </c>
      <c r="B525" s="9" t="str">
        <f>IF(ISBLANK(A524),"",LEFT(B524,27)&amp;VALUE(RIGHT(B524,1)+1))</f>
        <v/>
      </c>
      <c r="C525" s="6" t="str">
        <f t="shared" ref="C525:D525" si="610">C524</f>
        <v/>
      </c>
      <c r="D525" s="6" t="str">
        <f t="shared" si="610"/>
        <v/>
      </c>
      <c r="E525" s="10" t="str">
        <f>IF(ISBLANK(A524),"",E524+1)</f>
        <v/>
      </c>
      <c r="F525" s="11" t="str">
        <f t="shared" ref="F525:F529" si="613">F524</f>
        <v/>
      </c>
      <c r="G525" s="8"/>
    </row>
    <row r="526">
      <c r="A526" s="9" t="str">
        <f t="shared" si="611"/>
        <v/>
      </c>
      <c r="B526" s="9" t="str">
        <f>IF(ISBLANK(A524),"",LEFT(B525,27)&amp;VALUE(RIGHT(B525,1)+1))</f>
        <v/>
      </c>
      <c r="C526" s="6" t="str">
        <f t="shared" ref="C526:D526" si="612">C525</f>
        <v/>
      </c>
      <c r="D526" s="6" t="str">
        <f t="shared" si="612"/>
        <v/>
      </c>
      <c r="E526" s="10" t="str">
        <f>IF(ISBLANK(A524),"",E525+1)</f>
        <v/>
      </c>
      <c r="F526" s="11" t="str">
        <f t="shared" si="613"/>
        <v/>
      </c>
      <c r="G526" s="8"/>
    </row>
    <row r="527">
      <c r="A527" s="9" t="str">
        <f t="shared" si="611"/>
        <v/>
      </c>
      <c r="B527" s="9" t="str">
        <f>IF(ISBLANK(A524),"",LEFT(B526,27)&amp;VALUE(RIGHT(B526,1)+1))</f>
        <v/>
      </c>
      <c r="C527" s="6" t="str">
        <f t="shared" ref="C527:D527" si="614">C526</f>
        <v/>
      </c>
      <c r="D527" s="6" t="str">
        <f t="shared" si="614"/>
        <v/>
      </c>
      <c r="E527" s="10" t="str">
        <f>IF(ISBLANK(A524),"",E526+1)</f>
        <v/>
      </c>
      <c r="F527" s="11" t="str">
        <f t="shared" si="613"/>
        <v/>
      </c>
      <c r="G527" s="8"/>
    </row>
    <row r="528">
      <c r="A528" s="9" t="str">
        <f t="shared" si="611"/>
        <v/>
      </c>
      <c r="B528" s="9" t="str">
        <f>IF(ISBLANK(A524),"",LEFT(B527,27)&amp;VALUE(RIGHT(B527,1)+1))</f>
        <v/>
      </c>
      <c r="C528" s="6" t="str">
        <f t="shared" ref="C528:D528" si="615">C527</f>
        <v/>
      </c>
      <c r="D528" s="6" t="str">
        <f t="shared" si="615"/>
        <v/>
      </c>
      <c r="E528" s="10" t="str">
        <f>IF(ISBLANK(A524),"",E527+1)</f>
        <v/>
      </c>
      <c r="F528" s="11" t="str">
        <f t="shared" si="613"/>
        <v/>
      </c>
      <c r="G528" s="8"/>
    </row>
    <row r="529">
      <c r="A529" s="12" t="str">
        <f t="shared" si="611"/>
        <v/>
      </c>
      <c r="B529" s="12" t="str">
        <f>IF(ISBLANK(A524),"",LEFT(B528,27)&amp;VALUE(RIGHT(B528,1)+1))</f>
        <v/>
      </c>
      <c r="C529" s="13" t="str">
        <f t="shared" ref="C529:D529" si="616">C528</f>
        <v/>
      </c>
      <c r="D529" s="13" t="str">
        <f t="shared" si="616"/>
        <v/>
      </c>
      <c r="E529" s="14" t="str">
        <f>IF(ISBLANK(A524),"",E528+1)</f>
        <v/>
      </c>
      <c r="F529" s="15" t="str">
        <f t="shared" si="613"/>
        <v/>
      </c>
      <c r="G529" s="16"/>
    </row>
    <row r="530">
      <c r="A530" s="5"/>
      <c r="B530" s="6" t="str">
        <f t="array" ref="B530">IF(ISBLANK(A530),"",IF(A530="PROREP (L)",VLOOKUP(LEFT($A530,6),'Data Feed (40C)'!$A$1:$G$10,2,FALSE),IF(A530="PROREP (S)", INDEX('Data Feed (40C)'!B:B, MATCH(LEFT($A530,6), 'Data Feed (40C)'!$A$1:$A$10, 0) + 1), VLOOKUP($A530,'Data Feed (40C)'!$A$1:$G$10,2,FALSE))))</f>
        <v/>
      </c>
      <c r="C530" s="6" t="str">
        <f t="array" ref="C530">IF(ISBLANK(A530),"",IF(A530="PROREP (L)",VLOOKUP(LEFT($A530,6),'Data Feed (40C)'!$A$1:$G$10,3,FALSE),IF(A530="PROREP (S)", INDEX('Data Feed (40C)'!C:C, MATCH(LEFT($A530,6), 'Data Feed (40C)'!$A$1:$A$10, 0) + 1, +1), VLOOKUP($A530,'Data Feed (40C)'!$A$1:$G$10,3,FALSE))))</f>
        <v/>
      </c>
      <c r="D530" s="6" t="str">
        <f t="array" ref="D530">IF(ISBLANK(A530),"",IF(A530="PROREP (L)",VLOOKUP(LEFT($A530,6),'Data Feed (40C)'!$A$1:$G$10,4,FALSE),IF(A530="PROREP (S)", INDEX('Data Feed (40C)'!D:D, MATCH(LEFT($A530,6), 'Data Feed (40C)'!$A$1:$A$10, 0) + 1, +1), VLOOKUP($A530,'Data Feed (40C)'!$A$1:$G$10,4,FALSE))))</f>
        <v/>
      </c>
      <c r="E530" s="6" t="str">
        <f t="array" ref="E530">IF(ISBLANK(A530),"",IF(A530="PROREP (L)",VLOOKUP(LEFT($A530,6),'Data Feed (40C)'!$A$1:$G$10,7,FALSE),IF(A530="PROREP (S)", INDEX('Data Feed (40C)'!G:G, MATCH(LEFT($A530,6), 'Data Feed (40C)'!$A$1:$A$10, 0) + 1, +1), VLOOKUP($A530,'Data Feed (40C)'!$A$1:$G$10,7,FALSE))))</f>
        <v/>
      </c>
      <c r="F530" s="7"/>
      <c r="G530" s="8"/>
    </row>
    <row r="531">
      <c r="A531" s="9" t="str">
        <f t="shared" ref="A531:A535" si="618">A530</f>
        <v/>
      </c>
      <c r="B531" s="9" t="str">
        <f>IF(ISBLANK(A530),"",LEFT(B530,27)&amp;VALUE(RIGHT(B530,1)+1))</f>
        <v/>
      </c>
      <c r="C531" s="6" t="str">
        <f t="shared" ref="C531:D531" si="617">C530</f>
        <v/>
      </c>
      <c r="D531" s="6" t="str">
        <f t="shared" si="617"/>
        <v/>
      </c>
      <c r="E531" s="10" t="str">
        <f>IF(ISBLANK(A530),"",E530+1)</f>
        <v/>
      </c>
      <c r="F531" s="11" t="str">
        <f t="shared" ref="F531:F535" si="620">F530</f>
        <v/>
      </c>
      <c r="G531" s="8"/>
    </row>
    <row r="532">
      <c r="A532" s="9" t="str">
        <f t="shared" si="618"/>
        <v/>
      </c>
      <c r="B532" s="9" t="str">
        <f>IF(ISBLANK(A530),"",LEFT(B531,27)&amp;VALUE(RIGHT(B531,1)+1))</f>
        <v/>
      </c>
      <c r="C532" s="6" t="str">
        <f t="shared" ref="C532:D532" si="619">C531</f>
        <v/>
      </c>
      <c r="D532" s="6" t="str">
        <f t="shared" si="619"/>
        <v/>
      </c>
      <c r="E532" s="10" t="str">
        <f>IF(ISBLANK(A530),"",E531+1)</f>
        <v/>
      </c>
      <c r="F532" s="11" t="str">
        <f t="shared" si="620"/>
        <v/>
      </c>
      <c r="G532" s="8"/>
    </row>
    <row r="533">
      <c r="A533" s="9" t="str">
        <f t="shared" si="618"/>
        <v/>
      </c>
      <c r="B533" s="9" t="str">
        <f>IF(ISBLANK(A530),"",LEFT(B532,27)&amp;VALUE(RIGHT(B532,1)+1))</f>
        <v/>
      </c>
      <c r="C533" s="6" t="str">
        <f t="shared" ref="C533:D533" si="621">C532</f>
        <v/>
      </c>
      <c r="D533" s="6" t="str">
        <f t="shared" si="621"/>
        <v/>
      </c>
      <c r="E533" s="10" t="str">
        <f>IF(ISBLANK(A530),"",E532+1)</f>
        <v/>
      </c>
      <c r="F533" s="11" t="str">
        <f t="shared" si="620"/>
        <v/>
      </c>
      <c r="G533" s="8"/>
    </row>
    <row r="534">
      <c r="A534" s="9" t="str">
        <f t="shared" si="618"/>
        <v/>
      </c>
      <c r="B534" s="9" t="str">
        <f>IF(ISBLANK(A530),"",LEFT(B533,27)&amp;VALUE(RIGHT(B533,1)+1))</f>
        <v/>
      </c>
      <c r="C534" s="6" t="str">
        <f t="shared" ref="C534:D534" si="622">C533</f>
        <v/>
      </c>
      <c r="D534" s="6" t="str">
        <f t="shared" si="622"/>
        <v/>
      </c>
      <c r="E534" s="10" t="str">
        <f>IF(ISBLANK(A530),"",E533+1)</f>
        <v/>
      </c>
      <c r="F534" s="11" t="str">
        <f t="shared" si="620"/>
        <v/>
      </c>
      <c r="G534" s="8"/>
    </row>
    <row r="535">
      <c r="A535" s="12" t="str">
        <f t="shared" si="618"/>
        <v/>
      </c>
      <c r="B535" s="12" t="str">
        <f>IF(ISBLANK(A530),"",LEFT(B534,27)&amp;VALUE(RIGHT(B534,1)+1))</f>
        <v/>
      </c>
      <c r="C535" s="13" t="str">
        <f t="shared" ref="C535:D535" si="623">C534</f>
        <v/>
      </c>
      <c r="D535" s="13" t="str">
        <f t="shared" si="623"/>
        <v/>
      </c>
      <c r="E535" s="14" t="str">
        <f>IF(ISBLANK(A530),"",E534+1)</f>
        <v/>
      </c>
      <c r="F535" s="15" t="str">
        <f t="shared" si="620"/>
        <v/>
      </c>
      <c r="G535" s="16"/>
    </row>
    <row r="536">
      <c r="A536" s="5"/>
      <c r="B536" s="6" t="str">
        <f t="array" ref="B536">IF(ISBLANK(A536),"",IF(A536="PROREP (L)",VLOOKUP(LEFT($A536,6),'Data Feed (40C)'!$A$1:$G$10,2,FALSE),IF(A536="PROREP (S)", INDEX('Data Feed (40C)'!B:B, MATCH(LEFT($A536,6), 'Data Feed (40C)'!$A$1:$A$10, 0) + 1), VLOOKUP($A536,'Data Feed (40C)'!$A$1:$G$10,2,FALSE))))</f>
        <v/>
      </c>
      <c r="C536" s="6" t="str">
        <f t="array" ref="C536">IF(ISBLANK(A536),"",IF(A536="PROREP (L)",VLOOKUP(LEFT($A536,6),'Data Feed (40C)'!$A$1:$G$10,3,FALSE),IF(A536="PROREP (S)", INDEX('Data Feed (40C)'!C:C, MATCH(LEFT($A536,6), 'Data Feed (40C)'!$A$1:$A$10, 0) + 1, +1), VLOOKUP($A536,'Data Feed (40C)'!$A$1:$G$10,3,FALSE))))</f>
        <v/>
      </c>
      <c r="D536" s="6" t="str">
        <f t="array" ref="D536">IF(ISBLANK(A536),"",IF(A536="PROREP (L)",VLOOKUP(LEFT($A536,6),'Data Feed (40C)'!$A$1:$G$10,4,FALSE),IF(A536="PROREP (S)", INDEX('Data Feed (40C)'!D:D, MATCH(LEFT($A536,6), 'Data Feed (40C)'!$A$1:$A$10, 0) + 1, +1), VLOOKUP($A536,'Data Feed (40C)'!$A$1:$G$10,4,FALSE))))</f>
        <v/>
      </c>
      <c r="E536" s="6" t="str">
        <f t="array" ref="E536">IF(ISBLANK(A536),"",IF(A536="PROREP (L)",VLOOKUP(LEFT($A536,6),'Data Feed (40C)'!$A$1:$G$10,7,FALSE),IF(A536="PROREP (S)", INDEX('Data Feed (40C)'!G:G, MATCH(LEFT($A536,6), 'Data Feed (40C)'!$A$1:$A$10, 0) + 1, +1), VLOOKUP($A536,'Data Feed (40C)'!$A$1:$G$10,7,FALSE))))</f>
        <v/>
      </c>
      <c r="F536" s="7"/>
      <c r="G536" s="8"/>
    </row>
    <row r="537">
      <c r="A537" s="9" t="str">
        <f t="shared" ref="A537:A541" si="625">A536</f>
        <v/>
      </c>
      <c r="B537" s="9" t="str">
        <f>IF(ISBLANK(A536),"",LEFT(B536,27)&amp;VALUE(RIGHT(B536,1)+1))</f>
        <v/>
      </c>
      <c r="C537" s="6" t="str">
        <f t="shared" ref="C537:D537" si="624">C536</f>
        <v/>
      </c>
      <c r="D537" s="6" t="str">
        <f t="shared" si="624"/>
        <v/>
      </c>
      <c r="E537" s="10" t="str">
        <f>IF(ISBLANK(A536),"",E536+1)</f>
        <v/>
      </c>
      <c r="F537" s="11" t="str">
        <f t="shared" ref="F537:F541" si="627">F536</f>
        <v/>
      </c>
      <c r="G537" s="8"/>
    </row>
    <row r="538">
      <c r="A538" s="9" t="str">
        <f t="shared" si="625"/>
        <v/>
      </c>
      <c r="B538" s="9" t="str">
        <f>IF(ISBLANK(A536),"",LEFT(B537,27)&amp;VALUE(RIGHT(B537,1)+1))</f>
        <v/>
      </c>
      <c r="C538" s="6" t="str">
        <f t="shared" ref="C538:D538" si="626">C537</f>
        <v/>
      </c>
      <c r="D538" s="6" t="str">
        <f t="shared" si="626"/>
        <v/>
      </c>
      <c r="E538" s="10" t="str">
        <f>IF(ISBLANK(A536),"",E537+1)</f>
        <v/>
      </c>
      <c r="F538" s="11" t="str">
        <f t="shared" si="627"/>
        <v/>
      </c>
      <c r="G538" s="8"/>
    </row>
    <row r="539">
      <c r="A539" s="9" t="str">
        <f t="shared" si="625"/>
        <v/>
      </c>
      <c r="B539" s="9" t="str">
        <f>IF(ISBLANK(A536),"",LEFT(B538,27)&amp;VALUE(RIGHT(B538,1)+1))</f>
        <v/>
      </c>
      <c r="C539" s="6" t="str">
        <f t="shared" ref="C539:D539" si="628">C538</f>
        <v/>
      </c>
      <c r="D539" s="6" t="str">
        <f t="shared" si="628"/>
        <v/>
      </c>
      <c r="E539" s="10" t="str">
        <f>IF(ISBLANK(A536),"",E538+1)</f>
        <v/>
      </c>
      <c r="F539" s="11" t="str">
        <f t="shared" si="627"/>
        <v/>
      </c>
      <c r="G539" s="8"/>
    </row>
    <row r="540">
      <c r="A540" s="9" t="str">
        <f t="shared" si="625"/>
        <v/>
      </c>
      <c r="B540" s="9" t="str">
        <f>IF(ISBLANK(A536),"",LEFT(B539,27)&amp;VALUE(RIGHT(B539,1)+1))</f>
        <v/>
      </c>
      <c r="C540" s="6" t="str">
        <f t="shared" ref="C540:D540" si="629">C539</f>
        <v/>
      </c>
      <c r="D540" s="6" t="str">
        <f t="shared" si="629"/>
        <v/>
      </c>
      <c r="E540" s="10" t="str">
        <f>IF(ISBLANK(A536),"",E539+1)</f>
        <v/>
      </c>
      <c r="F540" s="11" t="str">
        <f t="shared" si="627"/>
        <v/>
      </c>
      <c r="G540" s="8"/>
    </row>
    <row r="541">
      <c r="A541" s="12" t="str">
        <f t="shared" si="625"/>
        <v/>
      </c>
      <c r="B541" s="12" t="str">
        <f>IF(ISBLANK(A536),"",LEFT(B540,27)&amp;VALUE(RIGHT(B540,1)+1))</f>
        <v/>
      </c>
      <c r="C541" s="13" t="str">
        <f t="shared" ref="C541:D541" si="630">C540</f>
        <v/>
      </c>
      <c r="D541" s="13" t="str">
        <f t="shared" si="630"/>
        <v/>
      </c>
      <c r="E541" s="14" t="str">
        <f>IF(ISBLANK(A536),"",E540+1)</f>
        <v/>
      </c>
      <c r="F541" s="15" t="str">
        <f t="shared" si="627"/>
        <v/>
      </c>
      <c r="G541" s="16"/>
    </row>
    <row r="542">
      <c r="A542" s="5"/>
      <c r="B542" s="6" t="str">
        <f t="array" ref="B542">IF(ISBLANK(A542),"",IF(A542="PROREP (L)",VLOOKUP(LEFT($A542,6),'Data Feed (40C)'!$A$1:$G$10,2,FALSE),IF(A542="PROREP (S)", INDEX('Data Feed (40C)'!B:B, MATCH(LEFT($A542,6), 'Data Feed (40C)'!$A$1:$A$10, 0) + 1), VLOOKUP($A542,'Data Feed (40C)'!$A$1:$G$10,2,FALSE))))</f>
        <v/>
      </c>
      <c r="C542" s="6" t="str">
        <f t="array" ref="C542">IF(ISBLANK(A542),"",IF(A542="PROREP (L)",VLOOKUP(LEFT($A542,6),'Data Feed (40C)'!$A$1:$G$10,3,FALSE),IF(A542="PROREP (S)", INDEX('Data Feed (40C)'!C:C, MATCH(LEFT($A542,6), 'Data Feed (40C)'!$A$1:$A$10, 0) + 1, +1), VLOOKUP($A542,'Data Feed (40C)'!$A$1:$G$10,3,FALSE))))</f>
        <v/>
      </c>
      <c r="D542" s="6" t="str">
        <f t="array" ref="D542">IF(ISBLANK(A542),"",IF(A542="PROREP (L)",VLOOKUP(LEFT($A542,6),'Data Feed (40C)'!$A$1:$G$10,4,FALSE),IF(A542="PROREP (S)", INDEX('Data Feed (40C)'!D:D, MATCH(LEFT($A542,6), 'Data Feed (40C)'!$A$1:$A$10, 0) + 1, +1), VLOOKUP($A542,'Data Feed (40C)'!$A$1:$G$10,4,FALSE))))</f>
        <v/>
      </c>
      <c r="E542" s="6" t="str">
        <f t="array" ref="E542">IF(ISBLANK(A542),"",IF(A542="PROREP (L)",VLOOKUP(LEFT($A542,6),'Data Feed (40C)'!$A$1:$G$10,7,FALSE),IF(A542="PROREP (S)", INDEX('Data Feed (40C)'!G:G, MATCH(LEFT($A542,6), 'Data Feed (40C)'!$A$1:$A$10, 0) + 1, +1), VLOOKUP($A542,'Data Feed (40C)'!$A$1:$G$10,7,FALSE))))</f>
        <v/>
      </c>
      <c r="F542" s="7"/>
      <c r="G542" s="8"/>
    </row>
    <row r="543">
      <c r="A543" s="9" t="str">
        <f t="shared" ref="A543:A547" si="632">A542</f>
        <v/>
      </c>
      <c r="B543" s="9" t="str">
        <f>IF(ISBLANK(A542),"",LEFT(B542,27)&amp;VALUE(RIGHT(B542,1)+1))</f>
        <v/>
      </c>
      <c r="C543" s="6" t="str">
        <f t="shared" ref="C543:D543" si="631">C542</f>
        <v/>
      </c>
      <c r="D543" s="6" t="str">
        <f t="shared" si="631"/>
        <v/>
      </c>
      <c r="E543" s="10" t="str">
        <f>IF(ISBLANK(A542),"",E542+1)</f>
        <v/>
      </c>
      <c r="F543" s="11" t="str">
        <f t="shared" ref="F543:F547" si="634">F542</f>
        <v/>
      </c>
      <c r="G543" s="8"/>
    </row>
    <row r="544">
      <c r="A544" s="9" t="str">
        <f t="shared" si="632"/>
        <v/>
      </c>
      <c r="B544" s="9" t="str">
        <f>IF(ISBLANK(A542),"",LEFT(B543,27)&amp;VALUE(RIGHT(B543,1)+1))</f>
        <v/>
      </c>
      <c r="C544" s="6" t="str">
        <f t="shared" ref="C544:D544" si="633">C543</f>
        <v/>
      </c>
      <c r="D544" s="6" t="str">
        <f t="shared" si="633"/>
        <v/>
      </c>
      <c r="E544" s="10" t="str">
        <f>IF(ISBLANK(A542),"",E543+1)</f>
        <v/>
      </c>
      <c r="F544" s="11" t="str">
        <f t="shared" si="634"/>
        <v/>
      </c>
      <c r="G544" s="8"/>
    </row>
    <row r="545">
      <c r="A545" s="9" t="str">
        <f t="shared" si="632"/>
        <v/>
      </c>
      <c r="B545" s="9" t="str">
        <f>IF(ISBLANK(A542),"",LEFT(B544,27)&amp;VALUE(RIGHT(B544,1)+1))</f>
        <v/>
      </c>
      <c r="C545" s="6" t="str">
        <f t="shared" ref="C545:D545" si="635">C544</f>
        <v/>
      </c>
      <c r="D545" s="6" t="str">
        <f t="shared" si="635"/>
        <v/>
      </c>
      <c r="E545" s="10" t="str">
        <f>IF(ISBLANK(A542),"",E544+1)</f>
        <v/>
      </c>
      <c r="F545" s="11" t="str">
        <f t="shared" si="634"/>
        <v/>
      </c>
      <c r="G545" s="8"/>
    </row>
    <row r="546">
      <c r="A546" s="9" t="str">
        <f t="shared" si="632"/>
        <v/>
      </c>
      <c r="B546" s="9" t="str">
        <f>IF(ISBLANK(A542),"",LEFT(B545,27)&amp;VALUE(RIGHT(B545,1)+1))</f>
        <v/>
      </c>
      <c r="C546" s="6" t="str">
        <f t="shared" ref="C546:D546" si="636">C545</f>
        <v/>
      </c>
      <c r="D546" s="6" t="str">
        <f t="shared" si="636"/>
        <v/>
      </c>
      <c r="E546" s="10" t="str">
        <f>IF(ISBLANK(A542),"",E545+1)</f>
        <v/>
      </c>
      <c r="F546" s="11" t="str">
        <f t="shared" si="634"/>
        <v/>
      </c>
      <c r="G546" s="8"/>
    </row>
    <row r="547">
      <c r="A547" s="12" t="str">
        <f t="shared" si="632"/>
        <v/>
      </c>
      <c r="B547" s="12" t="str">
        <f>IF(ISBLANK(A542),"",LEFT(B546,27)&amp;VALUE(RIGHT(B546,1)+1))</f>
        <v/>
      </c>
      <c r="C547" s="13" t="str">
        <f t="shared" ref="C547:D547" si="637">C546</f>
        <v/>
      </c>
      <c r="D547" s="13" t="str">
        <f t="shared" si="637"/>
        <v/>
      </c>
      <c r="E547" s="14" t="str">
        <f>IF(ISBLANK(A542),"",E546+1)</f>
        <v/>
      </c>
      <c r="F547" s="15" t="str">
        <f t="shared" si="634"/>
        <v/>
      </c>
      <c r="G547" s="16"/>
    </row>
    <row r="548">
      <c r="A548" s="5"/>
      <c r="B548" s="6" t="str">
        <f t="array" ref="B548">IF(ISBLANK(A548),"",IF(A548="PROREP (L)",VLOOKUP(LEFT($A548,6),'Data Feed (40C)'!$A$1:$G$10,2,FALSE),IF(A548="PROREP (S)", INDEX('Data Feed (40C)'!B:B, MATCH(LEFT($A548,6), 'Data Feed (40C)'!$A$1:$A$10, 0) + 1), VLOOKUP($A548,'Data Feed (40C)'!$A$1:$G$10,2,FALSE))))</f>
        <v/>
      </c>
      <c r="C548" s="6" t="str">
        <f t="array" ref="C548">IF(ISBLANK(A548),"",IF(A548="PROREP (L)",VLOOKUP(LEFT($A548,6),'Data Feed (40C)'!$A$1:$G$10,3,FALSE),IF(A548="PROREP (S)", INDEX('Data Feed (40C)'!C:C, MATCH(LEFT($A548,6), 'Data Feed (40C)'!$A$1:$A$10, 0) + 1, +1), VLOOKUP($A548,'Data Feed (40C)'!$A$1:$G$10,3,FALSE))))</f>
        <v/>
      </c>
      <c r="D548" s="6" t="str">
        <f t="array" ref="D548">IF(ISBLANK(A548),"",IF(A548="PROREP (L)",VLOOKUP(LEFT($A548,6),'Data Feed (40C)'!$A$1:$G$10,4,FALSE),IF(A548="PROREP (S)", INDEX('Data Feed (40C)'!D:D, MATCH(LEFT($A548,6), 'Data Feed (40C)'!$A$1:$A$10, 0) + 1, +1), VLOOKUP($A548,'Data Feed (40C)'!$A$1:$G$10,4,FALSE))))</f>
        <v/>
      </c>
      <c r="E548" s="6" t="str">
        <f t="array" ref="E548">IF(ISBLANK(A548),"",IF(A548="PROREP (L)",VLOOKUP(LEFT($A548,6),'Data Feed (40C)'!$A$1:$G$10,7,FALSE),IF(A548="PROREP (S)", INDEX('Data Feed (40C)'!G:G, MATCH(LEFT($A548,6), 'Data Feed (40C)'!$A$1:$A$10, 0) + 1, +1), VLOOKUP($A548,'Data Feed (40C)'!$A$1:$G$10,7,FALSE))))</f>
        <v/>
      </c>
      <c r="F548" s="7"/>
      <c r="G548" s="8"/>
    </row>
    <row r="549">
      <c r="A549" s="9" t="str">
        <f t="shared" ref="A549:A553" si="639">A548</f>
        <v/>
      </c>
      <c r="B549" s="9" t="str">
        <f>IF(ISBLANK(A548),"",LEFT(B548,27)&amp;VALUE(RIGHT(B548,1)+1))</f>
        <v/>
      </c>
      <c r="C549" s="6" t="str">
        <f t="shared" ref="C549:D549" si="638">C548</f>
        <v/>
      </c>
      <c r="D549" s="6" t="str">
        <f t="shared" si="638"/>
        <v/>
      </c>
      <c r="E549" s="10" t="str">
        <f>IF(ISBLANK(A548),"",E548+1)</f>
        <v/>
      </c>
      <c r="F549" s="11" t="str">
        <f t="shared" ref="F549:F553" si="641">F548</f>
        <v/>
      </c>
      <c r="G549" s="8"/>
    </row>
    <row r="550">
      <c r="A550" s="9" t="str">
        <f t="shared" si="639"/>
        <v/>
      </c>
      <c r="B550" s="9" t="str">
        <f>IF(ISBLANK(A548),"",LEFT(B549,27)&amp;VALUE(RIGHT(B549,1)+1))</f>
        <v/>
      </c>
      <c r="C550" s="6" t="str">
        <f t="shared" ref="C550:D550" si="640">C549</f>
        <v/>
      </c>
      <c r="D550" s="6" t="str">
        <f t="shared" si="640"/>
        <v/>
      </c>
      <c r="E550" s="10" t="str">
        <f>IF(ISBLANK(A548),"",E549+1)</f>
        <v/>
      </c>
      <c r="F550" s="11" t="str">
        <f t="shared" si="641"/>
        <v/>
      </c>
      <c r="G550" s="8"/>
    </row>
    <row r="551">
      <c r="A551" s="9" t="str">
        <f t="shared" si="639"/>
        <v/>
      </c>
      <c r="B551" s="9" t="str">
        <f>IF(ISBLANK(A548),"",LEFT(B550,27)&amp;VALUE(RIGHT(B550,1)+1))</f>
        <v/>
      </c>
      <c r="C551" s="6" t="str">
        <f t="shared" ref="C551:D551" si="642">C550</f>
        <v/>
      </c>
      <c r="D551" s="6" t="str">
        <f t="shared" si="642"/>
        <v/>
      </c>
      <c r="E551" s="10" t="str">
        <f>IF(ISBLANK(A548),"",E550+1)</f>
        <v/>
      </c>
      <c r="F551" s="11" t="str">
        <f t="shared" si="641"/>
        <v/>
      </c>
      <c r="G551" s="8"/>
    </row>
    <row r="552">
      <c r="A552" s="9" t="str">
        <f t="shared" si="639"/>
        <v/>
      </c>
      <c r="B552" s="9" t="str">
        <f>IF(ISBLANK(A548),"",LEFT(B551,27)&amp;VALUE(RIGHT(B551,1)+1))</f>
        <v/>
      </c>
      <c r="C552" s="6" t="str">
        <f t="shared" ref="C552:D552" si="643">C551</f>
        <v/>
      </c>
      <c r="D552" s="6" t="str">
        <f t="shared" si="643"/>
        <v/>
      </c>
      <c r="E552" s="10" t="str">
        <f>IF(ISBLANK(A548),"",E551+1)</f>
        <v/>
      </c>
      <c r="F552" s="11" t="str">
        <f t="shared" si="641"/>
        <v/>
      </c>
      <c r="G552" s="8"/>
    </row>
    <row r="553">
      <c r="A553" s="12" t="str">
        <f t="shared" si="639"/>
        <v/>
      </c>
      <c r="B553" s="12" t="str">
        <f>IF(ISBLANK(A548),"",LEFT(B552,27)&amp;VALUE(RIGHT(B552,1)+1))</f>
        <v/>
      </c>
      <c r="C553" s="13" t="str">
        <f t="shared" ref="C553:D553" si="644">C552</f>
        <v/>
      </c>
      <c r="D553" s="13" t="str">
        <f t="shared" si="644"/>
        <v/>
      </c>
      <c r="E553" s="14" t="str">
        <f>IF(ISBLANK(A548),"",E552+1)</f>
        <v/>
      </c>
      <c r="F553" s="15" t="str">
        <f t="shared" si="641"/>
        <v/>
      </c>
      <c r="G553" s="16"/>
    </row>
    <row r="554">
      <c r="A554" s="5"/>
      <c r="B554" s="6" t="str">
        <f t="array" ref="B554">IF(ISBLANK(A554),"",IF(A554="PROREP (L)",VLOOKUP(LEFT($A554,6),'Data Feed (40C)'!$A$1:$G$10,2,FALSE),IF(A554="PROREP (S)", INDEX('Data Feed (40C)'!B:B, MATCH(LEFT($A554,6), 'Data Feed (40C)'!$A$1:$A$10, 0) + 1), VLOOKUP($A554,'Data Feed (40C)'!$A$1:$G$10,2,FALSE))))</f>
        <v/>
      </c>
      <c r="C554" s="6" t="str">
        <f t="array" ref="C554">IF(ISBLANK(A554),"",IF(A554="PROREP (L)",VLOOKUP(LEFT($A554,6),'Data Feed (40C)'!$A$1:$G$10,3,FALSE),IF(A554="PROREP (S)", INDEX('Data Feed (40C)'!C:C, MATCH(LEFT($A554,6), 'Data Feed (40C)'!$A$1:$A$10, 0) + 1, +1), VLOOKUP($A554,'Data Feed (40C)'!$A$1:$G$10,3,FALSE))))</f>
        <v/>
      </c>
      <c r="D554" s="6" t="str">
        <f t="array" ref="D554">IF(ISBLANK(A554),"",IF(A554="PROREP (L)",VLOOKUP(LEFT($A554,6),'Data Feed (40C)'!$A$1:$G$10,4,FALSE),IF(A554="PROREP (S)", INDEX('Data Feed (40C)'!D:D, MATCH(LEFT($A554,6), 'Data Feed (40C)'!$A$1:$A$10, 0) + 1, +1), VLOOKUP($A554,'Data Feed (40C)'!$A$1:$G$10,4,FALSE))))</f>
        <v/>
      </c>
      <c r="E554" s="6" t="str">
        <f t="array" ref="E554">IF(ISBLANK(A554),"",IF(A554="PROREP (L)",VLOOKUP(LEFT($A554,6),'Data Feed (40C)'!$A$1:$G$10,7,FALSE),IF(A554="PROREP (S)", INDEX('Data Feed (40C)'!G:G, MATCH(LEFT($A554,6), 'Data Feed (40C)'!$A$1:$A$10, 0) + 1, +1), VLOOKUP($A554,'Data Feed (40C)'!$A$1:$G$10,7,FALSE))))</f>
        <v/>
      </c>
      <c r="F554" s="7"/>
      <c r="G554" s="8"/>
    </row>
    <row r="555">
      <c r="A555" s="9" t="str">
        <f t="shared" ref="A555:A559" si="646">A554</f>
        <v/>
      </c>
      <c r="B555" s="9" t="str">
        <f>IF(ISBLANK(A554),"",LEFT(B554,27)&amp;VALUE(RIGHT(B554,1)+1))</f>
        <v/>
      </c>
      <c r="C555" s="6" t="str">
        <f t="shared" ref="C555:D555" si="645">C554</f>
        <v/>
      </c>
      <c r="D555" s="6" t="str">
        <f t="shared" si="645"/>
        <v/>
      </c>
      <c r="E555" s="10" t="str">
        <f>IF(ISBLANK(A554),"",E554+1)</f>
        <v/>
      </c>
      <c r="F555" s="11" t="str">
        <f t="shared" ref="F555:F559" si="648">F554</f>
        <v/>
      </c>
      <c r="G555" s="8"/>
    </row>
    <row r="556">
      <c r="A556" s="9" t="str">
        <f t="shared" si="646"/>
        <v/>
      </c>
      <c r="B556" s="9" t="str">
        <f>IF(ISBLANK(A554),"",LEFT(B555,27)&amp;VALUE(RIGHT(B555,1)+1))</f>
        <v/>
      </c>
      <c r="C556" s="6" t="str">
        <f t="shared" ref="C556:D556" si="647">C555</f>
        <v/>
      </c>
      <c r="D556" s="6" t="str">
        <f t="shared" si="647"/>
        <v/>
      </c>
      <c r="E556" s="10" t="str">
        <f>IF(ISBLANK(A554),"",E555+1)</f>
        <v/>
      </c>
      <c r="F556" s="11" t="str">
        <f t="shared" si="648"/>
        <v/>
      </c>
      <c r="G556" s="8"/>
    </row>
    <row r="557">
      <c r="A557" s="9" t="str">
        <f t="shared" si="646"/>
        <v/>
      </c>
      <c r="B557" s="9" t="str">
        <f>IF(ISBLANK(A554),"",LEFT(B556,27)&amp;VALUE(RIGHT(B556,1)+1))</f>
        <v/>
      </c>
      <c r="C557" s="6" t="str">
        <f t="shared" ref="C557:D557" si="649">C556</f>
        <v/>
      </c>
      <c r="D557" s="6" t="str">
        <f t="shared" si="649"/>
        <v/>
      </c>
      <c r="E557" s="10" t="str">
        <f>IF(ISBLANK(A554),"",E556+1)</f>
        <v/>
      </c>
      <c r="F557" s="11" t="str">
        <f t="shared" si="648"/>
        <v/>
      </c>
      <c r="G557" s="8"/>
    </row>
    <row r="558">
      <c r="A558" s="9" t="str">
        <f t="shared" si="646"/>
        <v/>
      </c>
      <c r="B558" s="9" t="str">
        <f>IF(ISBLANK(A554),"",LEFT(B557,27)&amp;VALUE(RIGHT(B557,1)+1))</f>
        <v/>
      </c>
      <c r="C558" s="6" t="str">
        <f t="shared" ref="C558:D558" si="650">C557</f>
        <v/>
      </c>
      <c r="D558" s="6" t="str">
        <f t="shared" si="650"/>
        <v/>
      </c>
      <c r="E558" s="10" t="str">
        <f>IF(ISBLANK(A554),"",E557+1)</f>
        <v/>
      </c>
      <c r="F558" s="11" t="str">
        <f t="shared" si="648"/>
        <v/>
      </c>
      <c r="G558" s="8"/>
    </row>
    <row r="559">
      <c r="A559" s="12" t="str">
        <f t="shared" si="646"/>
        <v/>
      </c>
      <c r="B559" s="12" t="str">
        <f>IF(ISBLANK(A554),"",LEFT(B558,27)&amp;VALUE(RIGHT(B558,1)+1))</f>
        <v/>
      </c>
      <c r="C559" s="13" t="str">
        <f t="shared" ref="C559:D559" si="651">C558</f>
        <v/>
      </c>
      <c r="D559" s="13" t="str">
        <f t="shared" si="651"/>
        <v/>
      </c>
      <c r="E559" s="14" t="str">
        <f>IF(ISBLANK(A554),"",E558+1)</f>
        <v/>
      </c>
      <c r="F559" s="15" t="str">
        <f t="shared" si="648"/>
        <v/>
      </c>
      <c r="G559" s="16"/>
    </row>
    <row r="560">
      <c r="A560" s="5"/>
      <c r="B560" s="6" t="str">
        <f t="array" ref="B560">IF(ISBLANK(A560),"",IF(A560="PROREP (L)",VLOOKUP(LEFT($A560,6),'Data Feed (40C)'!$A$1:$G$10,2,FALSE),IF(A560="PROREP (S)", INDEX('Data Feed (40C)'!B:B, MATCH(LEFT($A560,6), 'Data Feed (40C)'!$A$1:$A$10, 0) + 1), VLOOKUP($A560,'Data Feed (40C)'!$A$1:$G$10,2,FALSE))))</f>
        <v/>
      </c>
      <c r="C560" s="6" t="str">
        <f t="array" ref="C560">IF(ISBLANK(A560),"",IF(A560="PROREP (L)",VLOOKUP(LEFT($A560,6),'Data Feed (40C)'!$A$1:$G$10,3,FALSE),IF(A560="PROREP (S)", INDEX('Data Feed (40C)'!C:C, MATCH(LEFT($A560,6), 'Data Feed (40C)'!$A$1:$A$10, 0) + 1, +1), VLOOKUP($A560,'Data Feed (40C)'!$A$1:$G$10,3,FALSE))))</f>
        <v/>
      </c>
      <c r="D560" s="6" t="str">
        <f t="array" ref="D560">IF(ISBLANK(A560),"",IF(A560="PROREP (L)",VLOOKUP(LEFT($A560,6),'Data Feed (40C)'!$A$1:$G$10,4,FALSE),IF(A560="PROREP (S)", INDEX('Data Feed (40C)'!D:D, MATCH(LEFT($A560,6), 'Data Feed (40C)'!$A$1:$A$10, 0) + 1, +1), VLOOKUP($A560,'Data Feed (40C)'!$A$1:$G$10,4,FALSE))))</f>
        <v/>
      </c>
      <c r="E560" s="6" t="str">
        <f t="array" ref="E560">IF(ISBLANK(A560),"",IF(A560="PROREP (L)",VLOOKUP(LEFT($A560,6),'Data Feed (40C)'!$A$1:$G$10,7,FALSE),IF(A560="PROREP (S)", INDEX('Data Feed (40C)'!G:G, MATCH(LEFT($A560,6), 'Data Feed (40C)'!$A$1:$A$10, 0) + 1, +1), VLOOKUP($A560,'Data Feed (40C)'!$A$1:$G$10,7,FALSE))))</f>
        <v/>
      </c>
      <c r="F560" s="7"/>
      <c r="G560" s="8"/>
    </row>
    <row r="561">
      <c r="A561" s="9" t="str">
        <f t="shared" ref="A561:A565" si="653">A560</f>
        <v/>
      </c>
      <c r="B561" s="9" t="str">
        <f>IF(ISBLANK(A560),"",LEFT(B560,27)&amp;VALUE(RIGHT(B560,1)+1))</f>
        <v/>
      </c>
      <c r="C561" s="6" t="str">
        <f t="shared" ref="C561:D561" si="652">C560</f>
        <v/>
      </c>
      <c r="D561" s="6" t="str">
        <f t="shared" si="652"/>
        <v/>
      </c>
      <c r="E561" s="10" t="str">
        <f>IF(ISBLANK(A560),"",E560+1)</f>
        <v/>
      </c>
      <c r="F561" s="11" t="str">
        <f t="shared" ref="F561:F565" si="655">F560</f>
        <v/>
      </c>
      <c r="G561" s="8"/>
    </row>
    <row r="562">
      <c r="A562" s="9" t="str">
        <f t="shared" si="653"/>
        <v/>
      </c>
      <c r="B562" s="9" t="str">
        <f>IF(ISBLANK(A560),"",LEFT(B561,27)&amp;VALUE(RIGHT(B561,1)+1))</f>
        <v/>
      </c>
      <c r="C562" s="6" t="str">
        <f t="shared" ref="C562:D562" si="654">C561</f>
        <v/>
      </c>
      <c r="D562" s="6" t="str">
        <f t="shared" si="654"/>
        <v/>
      </c>
      <c r="E562" s="10" t="str">
        <f>IF(ISBLANK(A560),"",E561+1)</f>
        <v/>
      </c>
      <c r="F562" s="11" t="str">
        <f t="shared" si="655"/>
        <v/>
      </c>
      <c r="G562" s="8"/>
    </row>
    <row r="563">
      <c r="A563" s="9" t="str">
        <f t="shared" si="653"/>
        <v/>
      </c>
      <c r="B563" s="9" t="str">
        <f>IF(ISBLANK(A560),"",LEFT(B562,27)&amp;VALUE(RIGHT(B562,1)+1))</f>
        <v/>
      </c>
      <c r="C563" s="6" t="str">
        <f t="shared" ref="C563:D563" si="656">C562</f>
        <v/>
      </c>
      <c r="D563" s="6" t="str">
        <f t="shared" si="656"/>
        <v/>
      </c>
      <c r="E563" s="10" t="str">
        <f>IF(ISBLANK(A560),"",E562+1)</f>
        <v/>
      </c>
      <c r="F563" s="11" t="str">
        <f t="shared" si="655"/>
        <v/>
      </c>
      <c r="G563" s="8"/>
    </row>
    <row r="564">
      <c r="A564" s="9" t="str">
        <f t="shared" si="653"/>
        <v/>
      </c>
      <c r="B564" s="9" t="str">
        <f>IF(ISBLANK(A560),"",LEFT(B563,27)&amp;VALUE(RIGHT(B563,1)+1))</f>
        <v/>
      </c>
      <c r="C564" s="6" t="str">
        <f t="shared" ref="C564:D564" si="657">C563</f>
        <v/>
      </c>
      <c r="D564" s="6" t="str">
        <f t="shared" si="657"/>
        <v/>
      </c>
      <c r="E564" s="10" t="str">
        <f>IF(ISBLANK(A560),"",E563+1)</f>
        <v/>
      </c>
      <c r="F564" s="11" t="str">
        <f t="shared" si="655"/>
        <v/>
      </c>
      <c r="G564" s="8"/>
    </row>
    <row r="565">
      <c r="A565" s="12" t="str">
        <f t="shared" si="653"/>
        <v/>
      </c>
      <c r="B565" s="12" t="str">
        <f>IF(ISBLANK(A560),"",LEFT(B564,27)&amp;VALUE(RIGHT(B564,1)+1))</f>
        <v/>
      </c>
      <c r="C565" s="13" t="str">
        <f t="shared" ref="C565:D565" si="658">C564</f>
        <v/>
      </c>
      <c r="D565" s="13" t="str">
        <f t="shared" si="658"/>
        <v/>
      </c>
      <c r="E565" s="14" t="str">
        <f>IF(ISBLANK(A560),"",E564+1)</f>
        <v/>
      </c>
      <c r="F565" s="15" t="str">
        <f t="shared" si="655"/>
        <v/>
      </c>
      <c r="G565" s="16"/>
    </row>
    <row r="566">
      <c r="A566" s="5"/>
      <c r="B566" s="6" t="str">
        <f t="array" ref="B566">IF(ISBLANK(A566),"",IF(A566="PROREP (L)",VLOOKUP(LEFT($A566,6),'Data Feed (40C)'!$A$1:$G$10,2,FALSE),IF(A566="PROREP (S)", INDEX('Data Feed (40C)'!B:B, MATCH(LEFT($A566,6), 'Data Feed (40C)'!$A$1:$A$10, 0) + 1), VLOOKUP($A566,'Data Feed (40C)'!$A$1:$G$10,2,FALSE))))</f>
        <v/>
      </c>
      <c r="C566" s="6" t="str">
        <f t="array" ref="C566">IF(ISBLANK(A566),"",IF(A566="PROREP (L)",VLOOKUP(LEFT($A566,6),'Data Feed (40C)'!$A$1:$G$10,3,FALSE),IF(A566="PROREP (S)", INDEX('Data Feed (40C)'!C:C, MATCH(LEFT($A566,6), 'Data Feed (40C)'!$A$1:$A$10, 0) + 1, +1), VLOOKUP($A566,'Data Feed (40C)'!$A$1:$G$10,3,FALSE))))</f>
        <v/>
      </c>
      <c r="D566" s="6" t="str">
        <f t="array" ref="D566">IF(ISBLANK(A566),"",IF(A566="PROREP (L)",VLOOKUP(LEFT($A566,6),'Data Feed (40C)'!$A$1:$G$10,4,FALSE),IF(A566="PROREP (S)", INDEX('Data Feed (40C)'!D:D, MATCH(LEFT($A566,6), 'Data Feed (40C)'!$A$1:$A$10, 0) + 1, +1), VLOOKUP($A566,'Data Feed (40C)'!$A$1:$G$10,4,FALSE))))</f>
        <v/>
      </c>
      <c r="E566" s="6" t="str">
        <f t="array" ref="E566">IF(ISBLANK(A566),"",IF(A566="PROREP (L)",VLOOKUP(LEFT($A566,6),'Data Feed (40C)'!$A$1:$G$10,7,FALSE),IF(A566="PROREP (S)", INDEX('Data Feed (40C)'!G:G, MATCH(LEFT($A566,6), 'Data Feed (40C)'!$A$1:$A$10, 0) + 1, +1), VLOOKUP($A566,'Data Feed (40C)'!$A$1:$G$10,7,FALSE))))</f>
        <v/>
      </c>
      <c r="F566" s="7"/>
      <c r="G566" s="8"/>
    </row>
    <row r="567">
      <c r="A567" s="9" t="str">
        <f t="shared" ref="A567:A571" si="660">A566</f>
        <v/>
      </c>
      <c r="B567" s="9" t="str">
        <f>IF(ISBLANK(A566),"",LEFT(B566,27)&amp;VALUE(RIGHT(B566,1)+1))</f>
        <v/>
      </c>
      <c r="C567" s="6" t="str">
        <f t="shared" ref="C567:D567" si="659">C566</f>
        <v/>
      </c>
      <c r="D567" s="6" t="str">
        <f t="shared" si="659"/>
        <v/>
      </c>
      <c r="E567" s="10" t="str">
        <f>IF(ISBLANK(A566),"",E566+1)</f>
        <v/>
      </c>
      <c r="F567" s="11" t="str">
        <f t="shared" ref="F567:F571" si="662">F566</f>
        <v/>
      </c>
      <c r="G567" s="8"/>
    </row>
    <row r="568">
      <c r="A568" s="9" t="str">
        <f t="shared" si="660"/>
        <v/>
      </c>
      <c r="B568" s="9" t="str">
        <f>IF(ISBLANK(A566),"",LEFT(B567,27)&amp;VALUE(RIGHT(B567,1)+1))</f>
        <v/>
      </c>
      <c r="C568" s="6" t="str">
        <f t="shared" ref="C568:D568" si="661">C567</f>
        <v/>
      </c>
      <c r="D568" s="6" t="str">
        <f t="shared" si="661"/>
        <v/>
      </c>
      <c r="E568" s="10" t="str">
        <f>IF(ISBLANK(A566),"",E567+1)</f>
        <v/>
      </c>
      <c r="F568" s="11" t="str">
        <f t="shared" si="662"/>
        <v/>
      </c>
      <c r="G568" s="8"/>
    </row>
    <row r="569">
      <c r="A569" s="9" t="str">
        <f t="shared" si="660"/>
        <v/>
      </c>
      <c r="B569" s="9" t="str">
        <f>IF(ISBLANK(A566),"",LEFT(B568,27)&amp;VALUE(RIGHT(B568,1)+1))</f>
        <v/>
      </c>
      <c r="C569" s="6" t="str">
        <f t="shared" ref="C569:D569" si="663">C568</f>
        <v/>
      </c>
      <c r="D569" s="6" t="str">
        <f t="shared" si="663"/>
        <v/>
      </c>
      <c r="E569" s="10" t="str">
        <f>IF(ISBLANK(A566),"",E568+1)</f>
        <v/>
      </c>
      <c r="F569" s="11" t="str">
        <f t="shared" si="662"/>
        <v/>
      </c>
      <c r="G569" s="8"/>
    </row>
    <row r="570">
      <c r="A570" s="9" t="str">
        <f t="shared" si="660"/>
        <v/>
      </c>
      <c r="B570" s="9" t="str">
        <f>IF(ISBLANK(A566),"",LEFT(B569,27)&amp;VALUE(RIGHT(B569,1)+1))</f>
        <v/>
      </c>
      <c r="C570" s="6" t="str">
        <f t="shared" ref="C570:D570" si="664">C569</f>
        <v/>
      </c>
      <c r="D570" s="6" t="str">
        <f t="shared" si="664"/>
        <v/>
      </c>
      <c r="E570" s="10" t="str">
        <f>IF(ISBLANK(A566),"",E569+1)</f>
        <v/>
      </c>
      <c r="F570" s="11" t="str">
        <f t="shared" si="662"/>
        <v/>
      </c>
      <c r="G570" s="8"/>
    </row>
    <row r="571">
      <c r="A571" s="12" t="str">
        <f t="shared" si="660"/>
        <v/>
      </c>
      <c r="B571" s="12" t="str">
        <f>IF(ISBLANK(A566),"",LEFT(B570,27)&amp;VALUE(RIGHT(B570,1)+1))</f>
        <v/>
      </c>
      <c r="C571" s="13" t="str">
        <f t="shared" ref="C571:D571" si="665">C570</f>
        <v/>
      </c>
      <c r="D571" s="13" t="str">
        <f t="shared" si="665"/>
        <v/>
      </c>
      <c r="E571" s="14" t="str">
        <f>IF(ISBLANK(A566),"",E570+1)</f>
        <v/>
      </c>
      <c r="F571" s="15" t="str">
        <f t="shared" si="662"/>
        <v/>
      </c>
      <c r="G571" s="16"/>
    </row>
    <row r="572">
      <c r="A572" s="5"/>
      <c r="B572" s="6" t="str">
        <f t="array" ref="B572">IF(ISBLANK(A572),"",IF(A572="PROREP (L)",VLOOKUP(LEFT($A572,6),'Data Feed (40C)'!$A$1:$G$10,2,FALSE),IF(A572="PROREP (S)", INDEX('Data Feed (40C)'!B:B, MATCH(LEFT($A572,6), 'Data Feed (40C)'!$A$1:$A$10, 0) + 1), VLOOKUP($A572,'Data Feed (40C)'!$A$1:$G$10,2,FALSE))))</f>
        <v/>
      </c>
      <c r="C572" s="6" t="str">
        <f t="array" ref="C572">IF(ISBLANK(A572),"",IF(A572="PROREP (L)",VLOOKUP(LEFT($A572,6),'Data Feed (40C)'!$A$1:$G$10,3,FALSE),IF(A572="PROREP (S)", INDEX('Data Feed (40C)'!C:C, MATCH(LEFT($A572,6), 'Data Feed (40C)'!$A$1:$A$10, 0) + 1, +1), VLOOKUP($A572,'Data Feed (40C)'!$A$1:$G$10,3,FALSE))))</f>
        <v/>
      </c>
      <c r="D572" s="6" t="str">
        <f t="array" ref="D572">IF(ISBLANK(A572),"",IF(A572="PROREP (L)",VLOOKUP(LEFT($A572,6),'Data Feed (40C)'!$A$1:$G$10,4,FALSE),IF(A572="PROREP (S)", INDEX('Data Feed (40C)'!D:D, MATCH(LEFT($A572,6), 'Data Feed (40C)'!$A$1:$A$10, 0) + 1, +1), VLOOKUP($A572,'Data Feed (40C)'!$A$1:$G$10,4,FALSE))))</f>
        <v/>
      </c>
      <c r="E572" s="6" t="str">
        <f t="array" ref="E572">IF(ISBLANK(A572),"",IF(A572="PROREP (L)",VLOOKUP(LEFT($A572,6),'Data Feed (40C)'!$A$1:$G$10,7,FALSE),IF(A572="PROREP (S)", INDEX('Data Feed (40C)'!G:G, MATCH(LEFT($A572,6), 'Data Feed (40C)'!$A$1:$A$10, 0) + 1, +1), VLOOKUP($A572,'Data Feed (40C)'!$A$1:$G$10,7,FALSE))))</f>
        <v/>
      </c>
      <c r="F572" s="7"/>
      <c r="G572" s="8"/>
    </row>
    <row r="573">
      <c r="A573" s="9" t="str">
        <f t="shared" ref="A573:A577" si="667">A572</f>
        <v/>
      </c>
      <c r="B573" s="9" t="str">
        <f>IF(ISBLANK(A572),"",LEFT(B572,27)&amp;VALUE(RIGHT(B572,1)+1))</f>
        <v/>
      </c>
      <c r="C573" s="6" t="str">
        <f t="shared" ref="C573:D573" si="666">C572</f>
        <v/>
      </c>
      <c r="D573" s="6" t="str">
        <f t="shared" si="666"/>
        <v/>
      </c>
      <c r="E573" s="10" t="str">
        <f>IF(ISBLANK(A572),"",E572+1)</f>
        <v/>
      </c>
      <c r="F573" s="11" t="str">
        <f t="shared" ref="F573:F577" si="669">F572</f>
        <v/>
      </c>
      <c r="G573" s="8"/>
    </row>
    <row r="574">
      <c r="A574" s="9" t="str">
        <f t="shared" si="667"/>
        <v/>
      </c>
      <c r="B574" s="9" t="str">
        <f>IF(ISBLANK(A572),"",LEFT(B573,27)&amp;VALUE(RIGHT(B573,1)+1))</f>
        <v/>
      </c>
      <c r="C574" s="6" t="str">
        <f t="shared" ref="C574:D574" si="668">C573</f>
        <v/>
      </c>
      <c r="D574" s="6" t="str">
        <f t="shared" si="668"/>
        <v/>
      </c>
      <c r="E574" s="10" t="str">
        <f>IF(ISBLANK(A572),"",E573+1)</f>
        <v/>
      </c>
      <c r="F574" s="11" t="str">
        <f t="shared" si="669"/>
        <v/>
      </c>
      <c r="G574" s="8"/>
    </row>
    <row r="575">
      <c r="A575" s="9" t="str">
        <f t="shared" si="667"/>
        <v/>
      </c>
      <c r="B575" s="9" t="str">
        <f>IF(ISBLANK(A572),"",LEFT(B574,27)&amp;VALUE(RIGHT(B574,1)+1))</f>
        <v/>
      </c>
      <c r="C575" s="6" t="str">
        <f t="shared" ref="C575:D575" si="670">C574</f>
        <v/>
      </c>
      <c r="D575" s="6" t="str">
        <f t="shared" si="670"/>
        <v/>
      </c>
      <c r="E575" s="10" t="str">
        <f>IF(ISBLANK(A572),"",E574+1)</f>
        <v/>
      </c>
      <c r="F575" s="11" t="str">
        <f t="shared" si="669"/>
        <v/>
      </c>
      <c r="G575" s="8"/>
    </row>
    <row r="576">
      <c r="A576" s="9" t="str">
        <f t="shared" si="667"/>
        <v/>
      </c>
      <c r="B576" s="9" t="str">
        <f>IF(ISBLANK(A572),"",LEFT(B575,27)&amp;VALUE(RIGHT(B575,1)+1))</f>
        <v/>
      </c>
      <c r="C576" s="6" t="str">
        <f t="shared" ref="C576:D576" si="671">C575</f>
        <v/>
      </c>
      <c r="D576" s="6" t="str">
        <f t="shared" si="671"/>
        <v/>
      </c>
      <c r="E576" s="10" t="str">
        <f>IF(ISBLANK(A572),"",E575+1)</f>
        <v/>
      </c>
      <c r="F576" s="11" t="str">
        <f t="shared" si="669"/>
        <v/>
      </c>
      <c r="G576" s="8"/>
    </row>
    <row r="577">
      <c r="A577" s="12" t="str">
        <f t="shared" si="667"/>
        <v/>
      </c>
      <c r="B577" s="12" t="str">
        <f>IF(ISBLANK(A572),"",LEFT(B576,27)&amp;VALUE(RIGHT(B576,1)+1))</f>
        <v/>
      </c>
      <c r="C577" s="13" t="str">
        <f t="shared" ref="C577:D577" si="672">C576</f>
        <v/>
      </c>
      <c r="D577" s="13" t="str">
        <f t="shared" si="672"/>
        <v/>
      </c>
      <c r="E577" s="14" t="str">
        <f>IF(ISBLANK(A572),"",E576+1)</f>
        <v/>
      </c>
      <c r="F577" s="15" t="str">
        <f t="shared" si="669"/>
        <v/>
      </c>
      <c r="G577" s="16"/>
    </row>
    <row r="578">
      <c r="A578" s="5"/>
      <c r="B578" s="6" t="str">
        <f t="array" ref="B578">IF(ISBLANK(A578),"",IF(A578="PROREP (L)",VLOOKUP(LEFT($A578,6),'Data Feed (40C)'!$A$1:$G$10,2,FALSE),IF(A578="PROREP (S)", INDEX('Data Feed (40C)'!B:B, MATCH(LEFT($A578,6), 'Data Feed (40C)'!$A$1:$A$10, 0) + 1), VLOOKUP($A578,'Data Feed (40C)'!$A$1:$G$10,2,FALSE))))</f>
        <v/>
      </c>
      <c r="C578" s="6" t="str">
        <f t="array" ref="C578">IF(ISBLANK(A578),"",IF(A578="PROREP (L)",VLOOKUP(LEFT($A578,6),'Data Feed (40C)'!$A$1:$G$10,3,FALSE),IF(A578="PROREP (S)", INDEX('Data Feed (40C)'!C:C, MATCH(LEFT($A578,6), 'Data Feed (40C)'!$A$1:$A$10, 0) + 1, +1), VLOOKUP($A578,'Data Feed (40C)'!$A$1:$G$10,3,FALSE))))</f>
        <v/>
      </c>
      <c r="D578" s="6" t="str">
        <f t="array" ref="D578">IF(ISBLANK(A578),"",IF(A578="PROREP (L)",VLOOKUP(LEFT($A578,6),'Data Feed (40C)'!$A$1:$G$10,4,FALSE),IF(A578="PROREP (S)", INDEX('Data Feed (40C)'!D:D, MATCH(LEFT($A578,6), 'Data Feed (40C)'!$A$1:$A$10, 0) + 1, +1), VLOOKUP($A578,'Data Feed (40C)'!$A$1:$G$10,4,FALSE))))</f>
        <v/>
      </c>
      <c r="E578" s="6" t="str">
        <f t="array" ref="E578">IF(ISBLANK(A578),"",IF(A578="PROREP (L)",VLOOKUP(LEFT($A578,6),'Data Feed (40C)'!$A$1:$G$10,7,FALSE),IF(A578="PROREP (S)", INDEX('Data Feed (40C)'!G:G, MATCH(LEFT($A578,6), 'Data Feed (40C)'!$A$1:$A$10, 0) + 1, +1), VLOOKUP($A578,'Data Feed (40C)'!$A$1:$G$10,7,FALSE))))</f>
        <v/>
      </c>
      <c r="F578" s="7"/>
      <c r="G578" s="8"/>
    </row>
    <row r="579">
      <c r="A579" s="9" t="str">
        <f t="shared" ref="A579:A583" si="674">A578</f>
        <v/>
      </c>
      <c r="B579" s="9" t="str">
        <f>IF(ISBLANK(A578),"",LEFT(B578,27)&amp;VALUE(RIGHT(B578,1)+1))</f>
        <v/>
      </c>
      <c r="C579" s="6" t="str">
        <f t="shared" ref="C579:D579" si="673">C578</f>
        <v/>
      </c>
      <c r="D579" s="6" t="str">
        <f t="shared" si="673"/>
        <v/>
      </c>
      <c r="E579" s="10" t="str">
        <f>IF(ISBLANK(A578),"",E578+1)</f>
        <v/>
      </c>
      <c r="F579" s="11" t="str">
        <f t="shared" ref="F579:F583" si="676">F578</f>
        <v/>
      </c>
      <c r="G579" s="8"/>
    </row>
    <row r="580">
      <c r="A580" s="9" t="str">
        <f t="shared" si="674"/>
        <v/>
      </c>
      <c r="B580" s="9" t="str">
        <f>IF(ISBLANK(A578),"",LEFT(B579,27)&amp;VALUE(RIGHT(B579,1)+1))</f>
        <v/>
      </c>
      <c r="C580" s="6" t="str">
        <f t="shared" ref="C580:D580" si="675">C579</f>
        <v/>
      </c>
      <c r="D580" s="6" t="str">
        <f t="shared" si="675"/>
        <v/>
      </c>
      <c r="E580" s="10" t="str">
        <f>IF(ISBLANK(A578),"",E579+1)</f>
        <v/>
      </c>
      <c r="F580" s="11" t="str">
        <f t="shared" si="676"/>
        <v/>
      </c>
      <c r="G580" s="8"/>
    </row>
    <row r="581">
      <c r="A581" s="9" t="str">
        <f t="shared" si="674"/>
        <v/>
      </c>
      <c r="B581" s="9" t="str">
        <f>IF(ISBLANK(A578),"",LEFT(B580,27)&amp;VALUE(RIGHT(B580,1)+1))</f>
        <v/>
      </c>
      <c r="C581" s="6" t="str">
        <f t="shared" ref="C581:D581" si="677">C580</f>
        <v/>
      </c>
      <c r="D581" s="6" t="str">
        <f t="shared" si="677"/>
        <v/>
      </c>
      <c r="E581" s="10" t="str">
        <f>IF(ISBLANK(A578),"",E580+1)</f>
        <v/>
      </c>
      <c r="F581" s="11" t="str">
        <f t="shared" si="676"/>
        <v/>
      </c>
      <c r="G581" s="8"/>
    </row>
    <row r="582">
      <c r="A582" s="9" t="str">
        <f t="shared" si="674"/>
        <v/>
      </c>
      <c r="B582" s="9" t="str">
        <f>IF(ISBLANK(A578),"",LEFT(B581,27)&amp;VALUE(RIGHT(B581,1)+1))</f>
        <v/>
      </c>
      <c r="C582" s="6" t="str">
        <f t="shared" ref="C582:D582" si="678">C581</f>
        <v/>
      </c>
      <c r="D582" s="6" t="str">
        <f t="shared" si="678"/>
        <v/>
      </c>
      <c r="E582" s="10" t="str">
        <f>IF(ISBLANK(A578),"",E581+1)</f>
        <v/>
      </c>
      <c r="F582" s="11" t="str">
        <f t="shared" si="676"/>
        <v/>
      </c>
      <c r="G582" s="8"/>
    </row>
    <row r="583">
      <c r="A583" s="12" t="str">
        <f t="shared" si="674"/>
        <v/>
      </c>
      <c r="B583" s="12" t="str">
        <f>IF(ISBLANK(A578),"",LEFT(B582,27)&amp;VALUE(RIGHT(B582,1)+1))</f>
        <v/>
      </c>
      <c r="C583" s="13" t="str">
        <f t="shared" ref="C583:D583" si="679">C582</f>
        <v/>
      </c>
      <c r="D583" s="13" t="str">
        <f t="shared" si="679"/>
        <v/>
      </c>
      <c r="E583" s="14" t="str">
        <f>IF(ISBLANK(A578),"",E582+1)</f>
        <v/>
      </c>
      <c r="F583" s="15" t="str">
        <f t="shared" si="676"/>
        <v/>
      </c>
      <c r="G583" s="16"/>
    </row>
    <row r="584">
      <c r="A584" s="5"/>
      <c r="B584" s="6" t="str">
        <f t="array" ref="B584">IF(ISBLANK(A584),"",IF(A584="PROREP (L)",VLOOKUP(LEFT($A584,6),'Data Feed (40C)'!$A$1:$G$10,2,FALSE),IF(A584="PROREP (S)", INDEX('Data Feed (40C)'!B:B, MATCH(LEFT($A584,6), 'Data Feed (40C)'!$A$1:$A$10, 0) + 1), VLOOKUP($A584,'Data Feed (40C)'!$A$1:$G$10,2,FALSE))))</f>
        <v/>
      </c>
      <c r="C584" s="6" t="str">
        <f t="array" ref="C584">IF(ISBLANK(A584),"",IF(A584="PROREP (L)",VLOOKUP(LEFT($A584,6),'Data Feed (40C)'!$A$1:$G$10,3,FALSE),IF(A584="PROREP (S)", INDEX('Data Feed (40C)'!C:C, MATCH(LEFT($A584,6), 'Data Feed (40C)'!$A$1:$A$10, 0) + 1, +1), VLOOKUP($A584,'Data Feed (40C)'!$A$1:$G$10,3,FALSE))))</f>
        <v/>
      </c>
      <c r="D584" s="6" t="str">
        <f t="array" ref="D584">IF(ISBLANK(A584),"",IF(A584="PROREP (L)",VLOOKUP(LEFT($A584,6),'Data Feed (40C)'!$A$1:$G$10,4,FALSE),IF(A584="PROREP (S)", INDEX('Data Feed (40C)'!D:D, MATCH(LEFT($A584,6), 'Data Feed (40C)'!$A$1:$A$10, 0) + 1, +1), VLOOKUP($A584,'Data Feed (40C)'!$A$1:$G$10,4,FALSE))))</f>
        <v/>
      </c>
      <c r="E584" s="6" t="str">
        <f t="array" ref="E584">IF(ISBLANK(A584),"",IF(A584="PROREP (L)",VLOOKUP(LEFT($A584,6),'Data Feed (40C)'!$A$1:$G$10,7,FALSE),IF(A584="PROREP (S)", INDEX('Data Feed (40C)'!G:G, MATCH(LEFT($A584,6), 'Data Feed (40C)'!$A$1:$A$10, 0) + 1, +1), VLOOKUP($A584,'Data Feed (40C)'!$A$1:$G$10,7,FALSE))))</f>
        <v/>
      </c>
      <c r="F584" s="7"/>
      <c r="G584" s="8"/>
    </row>
    <row r="585">
      <c r="A585" s="9" t="str">
        <f t="shared" ref="A585:A589" si="681">A584</f>
        <v/>
      </c>
      <c r="B585" s="9" t="str">
        <f>IF(ISBLANK(A584),"",LEFT(B584,27)&amp;VALUE(RIGHT(B584,1)+1))</f>
        <v/>
      </c>
      <c r="C585" s="6" t="str">
        <f t="shared" ref="C585:D585" si="680">C584</f>
        <v/>
      </c>
      <c r="D585" s="6" t="str">
        <f t="shared" si="680"/>
        <v/>
      </c>
      <c r="E585" s="10" t="str">
        <f>IF(ISBLANK(A584),"",E584+1)</f>
        <v/>
      </c>
      <c r="F585" s="11" t="str">
        <f t="shared" ref="F585:F589" si="683">F584</f>
        <v/>
      </c>
      <c r="G585" s="8"/>
    </row>
    <row r="586">
      <c r="A586" s="9" t="str">
        <f t="shared" si="681"/>
        <v/>
      </c>
      <c r="B586" s="9" t="str">
        <f>IF(ISBLANK(A584),"",LEFT(B585,27)&amp;VALUE(RIGHT(B585,1)+1))</f>
        <v/>
      </c>
      <c r="C586" s="6" t="str">
        <f t="shared" ref="C586:D586" si="682">C585</f>
        <v/>
      </c>
      <c r="D586" s="6" t="str">
        <f t="shared" si="682"/>
        <v/>
      </c>
      <c r="E586" s="10" t="str">
        <f>IF(ISBLANK(A584),"",E585+1)</f>
        <v/>
      </c>
      <c r="F586" s="11" t="str">
        <f t="shared" si="683"/>
        <v/>
      </c>
      <c r="G586" s="8"/>
    </row>
    <row r="587">
      <c r="A587" s="9" t="str">
        <f t="shared" si="681"/>
        <v/>
      </c>
      <c r="B587" s="9" t="str">
        <f>IF(ISBLANK(A584),"",LEFT(B586,27)&amp;VALUE(RIGHT(B586,1)+1))</f>
        <v/>
      </c>
      <c r="C587" s="6" t="str">
        <f t="shared" ref="C587:D587" si="684">C586</f>
        <v/>
      </c>
      <c r="D587" s="6" t="str">
        <f t="shared" si="684"/>
        <v/>
      </c>
      <c r="E587" s="10" t="str">
        <f>IF(ISBLANK(A584),"",E586+1)</f>
        <v/>
      </c>
      <c r="F587" s="11" t="str">
        <f t="shared" si="683"/>
        <v/>
      </c>
      <c r="G587" s="8"/>
    </row>
    <row r="588">
      <c r="A588" s="9" t="str">
        <f t="shared" si="681"/>
        <v/>
      </c>
      <c r="B588" s="9" t="str">
        <f>IF(ISBLANK(A584),"",LEFT(B587,27)&amp;VALUE(RIGHT(B587,1)+1))</f>
        <v/>
      </c>
      <c r="C588" s="6" t="str">
        <f t="shared" ref="C588:D588" si="685">C587</f>
        <v/>
      </c>
      <c r="D588" s="6" t="str">
        <f t="shared" si="685"/>
        <v/>
      </c>
      <c r="E588" s="10" t="str">
        <f>IF(ISBLANK(A584),"",E587+1)</f>
        <v/>
      </c>
      <c r="F588" s="11" t="str">
        <f t="shared" si="683"/>
        <v/>
      </c>
      <c r="G588" s="8"/>
    </row>
    <row r="589">
      <c r="A589" s="12" t="str">
        <f t="shared" si="681"/>
        <v/>
      </c>
      <c r="B589" s="12" t="str">
        <f>IF(ISBLANK(A584),"",LEFT(B588,27)&amp;VALUE(RIGHT(B588,1)+1))</f>
        <v/>
      </c>
      <c r="C589" s="13" t="str">
        <f t="shared" ref="C589:D589" si="686">C588</f>
        <v/>
      </c>
      <c r="D589" s="13" t="str">
        <f t="shared" si="686"/>
        <v/>
      </c>
      <c r="E589" s="14" t="str">
        <f>IF(ISBLANK(A584),"",E588+1)</f>
        <v/>
      </c>
      <c r="F589" s="15" t="str">
        <f t="shared" si="683"/>
        <v/>
      </c>
      <c r="G589" s="16"/>
    </row>
    <row r="590">
      <c r="A590" s="5"/>
      <c r="B590" s="6" t="str">
        <f t="array" ref="B590">IF(ISBLANK(A590),"",IF(A590="PROREP (L)",VLOOKUP(LEFT($A590,6),'Data Feed (40C)'!$A$1:$G$10,2,FALSE),IF(A590="PROREP (S)", INDEX('Data Feed (40C)'!B:B, MATCH(LEFT($A590,6), 'Data Feed (40C)'!$A$1:$A$10, 0) + 1), VLOOKUP($A590,'Data Feed (40C)'!$A$1:$G$10,2,FALSE))))</f>
        <v/>
      </c>
      <c r="C590" s="6" t="str">
        <f t="array" ref="C590">IF(ISBLANK(A590),"",IF(A590="PROREP (L)",VLOOKUP(LEFT($A590,6),'Data Feed (40C)'!$A$1:$G$10,3,FALSE),IF(A590="PROREP (S)", INDEX('Data Feed (40C)'!C:C, MATCH(LEFT($A590,6), 'Data Feed (40C)'!$A$1:$A$10, 0) + 1, +1), VLOOKUP($A590,'Data Feed (40C)'!$A$1:$G$10,3,FALSE))))</f>
        <v/>
      </c>
      <c r="D590" s="6" t="str">
        <f t="array" ref="D590">IF(ISBLANK(A590),"",IF(A590="PROREP (L)",VLOOKUP(LEFT($A590,6),'Data Feed (40C)'!$A$1:$G$10,4,FALSE),IF(A590="PROREP (S)", INDEX('Data Feed (40C)'!D:D, MATCH(LEFT($A590,6), 'Data Feed (40C)'!$A$1:$A$10, 0) + 1, +1), VLOOKUP($A590,'Data Feed (40C)'!$A$1:$G$10,4,FALSE))))</f>
        <v/>
      </c>
      <c r="E590" s="6" t="str">
        <f t="array" ref="E590">IF(ISBLANK(A590),"",IF(A590="PROREP (L)",VLOOKUP(LEFT($A590,6),'Data Feed (40C)'!$A$1:$G$10,7,FALSE),IF(A590="PROREP (S)", INDEX('Data Feed (40C)'!G:G, MATCH(LEFT($A590,6), 'Data Feed (40C)'!$A$1:$A$10, 0) + 1, +1), VLOOKUP($A590,'Data Feed (40C)'!$A$1:$G$10,7,FALSE))))</f>
        <v/>
      </c>
      <c r="F590" s="7"/>
      <c r="G590" s="8"/>
    </row>
    <row r="591">
      <c r="A591" s="9" t="str">
        <f t="shared" ref="A591:A595" si="688">A590</f>
        <v/>
      </c>
      <c r="B591" s="9" t="str">
        <f>IF(ISBLANK(A590),"",LEFT(B590,27)&amp;VALUE(RIGHT(B590,1)+1))</f>
        <v/>
      </c>
      <c r="C591" s="6" t="str">
        <f t="shared" ref="C591:D591" si="687">C590</f>
        <v/>
      </c>
      <c r="D591" s="6" t="str">
        <f t="shared" si="687"/>
        <v/>
      </c>
      <c r="E591" s="10" t="str">
        <f>IF(ISBLANK(A590),"",E590+1)</f>
        <v/>
      </c>
      <c r="F591" s="11" t="str">
        <f t="shared" ref="F591:F595" si="690">F590</f>
        <v/>
      </c>
      <c r="G591" s="8"/>
    </row>
    <row r="592">
      <c r="A592" s="9" t="str">
        <f t="shared" si="688"/>
        <v/>
      </c>
      <c r="B592" s="9" t="str">
        <f>IF(ISBLANK(A590),"",LEFT(B591,27)&amp;VALUE(RIGHT(B591,1)+1))</f>
        <v/>
      </c>
      <c r="C592" s="6" t="str">
        <f t="shared" ref="C592:D592" si="689">C591</f>
        <v/>
      </c>
      <c r="D592" s="6" t="str">
        <f t="shared" si="689"/>
        <v/>
      </c>
      <c r="E592" s="10" t="str">
        <f>IF(ISBLANK(A590),"",E591+1)</f>
        <v/>
      </c>
      <c r="F592" s="11" t="str">
        <f t="shared" si="690"/>
        <v/>
      </c>
      <c r="G592" s="8"/>
    </row>
    <row r="593">
      <c r="A593" s="9" t="str">
        <f t="shared" si="688"/>
        <v/>
      </c>
      <c r="B593" s="9" t="str">
        <f>IF(ISBLANK(A590),"",LEFT(B592,27)&amp;VALUE(RIGHT(B592,1)+1))</f>
        <v/>
      </c>
      <c r="C593" s="6" t="str">
        <f t="shared" ref="C593:D593" si="691">C592</f>
        <v/>
      </c>
      <c r="D593" s="6" t="str">
        <f t="shared" si="691"/>
        <v/>
      </c>
      <c r="E593" s="10" t="str">
        <f>IF(ISBLANK(A590),"",E592+1)</f>
        <v/>
      </c>
      <c r="F593" s="11" t="str">
        <f t="shared" si="690"/>
        <v/>
      </c>
      <c r="G593" s="8"/>
    </row>
    <row r="594">
      <c r="A594" s="9" t="str">
        <f t="shared" si="688"/>
        <v/>
      </c>
      <c r="B594" s="9" t="str">
        <f>IF(ISBLANK(A590),"",LEFT(B593,27)&amp;VALUE(RIGHT(B593,1)+1))</f>
        <v/>
      </c>
      <c r="C594" s="6" t="str">
        <f t="shared" ref="C594:D594" si="692">C593</f>
        <v/>
      </c>
      <c r="D594" s="6" t="str">
        <f t="shared" si="692"/>
        <v/>
      </c>
      <c r="E594" s="10" t="str">
        <f>IF(ISBLANK(A590),"",E593+1)</f>
        <v/>
      </c>
      <c r="F594" s="11" t="str">
        <f t="shared" si="690"/>
        <v/>
      </c>
      <c r="G594" s="8"/>
    </row>
    <row r="595">
      <c r="A595" s="12" t="str">
        <f t="shared" si="688"/>
        <v/>
      </c>
      <c r="B595" s="12" t="str">
        <f>IF(ISBLANK(A590),"",LEFT(B594,27)&amp;VALUE(RIGHT(B594,1)+1))</f>
        <v/>
      </c>
      <c r="C595" s="13" t="str">
        <f t="shared" ref="C595:D595" si="693">C594</f>
        <v/>
      </c>
      <c r="D595" s="13" t="str">
        <f t="shared" si="693"/>
        <v/>
      </c>
      <c r="E595" s="14" t="str">
        <f>IF(ISBLANK(A590),"",E594+1)</f>
        <v/>
      </c>
      <c r="F595" s="15" t="str">
        <f t="shared" si="690"/>
        <v/>
      </c>
      <c r="G595" s="16"/>
    </row>
    <row r="596">
      <c r="A596" s="5"/>
      <c r="B596" s="6" t="str">
        <f t="array" ref="B596">IF(ISBLANK(A596),"",IF(A596="PROREP (L)",VLOOKUP(LEFT($A596,6),'Data Feed (40C)'!$A$1:$G$10,2,FALSE),IF(A596="PROREP (S)", INDEX('Data Feed (40C)'!B:B, MATCH(LEFT($A596,6), 'Data Feed (40C)'!$A$1:$A$10, 0) + 1), VLOOKUP($A596,'Data Feed (40C)'!$A$1:$G$10,2,FALSE))))</f>
        <v/>
      </c>
      <c r="C596" s="6" t="str">
        <f t="array" ref="C596">IF(ISBLANK(A596),"",IF(A596="PROREP (L)",VLOOKUP(LEFT($A596,6),'Data Feed (40C)'!$A$1:$G$10,3,FALSE),IF(A596="PROREP (S)", INDEX('Data Feed (40C)'!C:C, MATCH(LEFT($A596,6), 'Data Feed (40C)'!$A$1:$A$10, 0) + 1, +1), VLOOKUP($A596,'Data Feed (40C)'!$A$1:$G$10,3,FALSE))))</f>
        <v/>
      </c>
      <c r="D596" s="6" t="str">
        <f t="array" ref="D596">IF(ISBLANK(A596),"",IF(A596="PROREP (L)",VLOOKUP(LEFT($A596,6),'Data Feed (40C)'!$A$1:$G$10,4,FALSE),IF(A596="PROREP (S)", INDEX('Data Feed (40C)'!D:D, MATCH(LEFT($A596,6), 'Data Feed (40C)'!$A$1:$A$10, 0) + 1, +1), VLOOKUP($A596,'Data Feed (40C)'!$A$1:$G$10,4,FALSE))))</f>
        <v/>
      </c>
      <c r="E596" s="6" t="str">
        <f t="array" ref="E596">IF(ISBLANK(A596),"",IF(A596="PROREP (L)",VLOOKUP(LEFT($A596,6),'Data Feed (40C)'!$A$1:$G$10,7,FALSE),IF(A596="PROREP (S)", INDEX('Data Feed (40C)'!G:G, MATCH(LEFT($A596,6), 'Data Feed (40C)'!$A$1:$A$10, 0) + 1, +1), VLOOKUP($A596,'Data Feed (40C)'!$A$1:$G$10,7,FALSE))))</f>
        <v/>
      </c>
      <c r="F596" s="7"/>
      <c r="G596" s="8"/>
    </row>
    <row r="597">
      <c r="A597" s="9" t="str">
        <f t="shared" ref="A597:A601" si="695">A596</f>
        <v/>
      </c>
      <c r="B597" s="9" t="str">
        <f>IF(ISBLANK(A596),"",LEFT(B596,27)&amp;VALUE(RIGHT(B596,1)+1))</f>
        <v/>
      </c>
      <c r="C597" s="6" t="str">
        <f t="shared" ref="C597:D597" si="694">C596</f>
        <v/>
      </c>
      <c r="D597" s="6" t="str">
        <f t="shared" si="694"/>
        <v/>
      </c>
      <c r="E597" s="10" t="str">
        <f>IF(ISBLANK(A596),"",E596+1)</f>
        <v/>
      </c>
      <c r="F597" s="11" t="str">
        <f t="shared" ref="F597:F601" si="697">F596</f>
        <v/>
      </c>
      <c r="G597" s="8"/>
    </row>
    <row r="598">
      <c r="A598" s="9" t="str">
        <f t="shared" si="695"/>
        <v/>
      </c>
      <c r="B598" s="9" t="str">
        <f>IF(ISBLANK(A596),"",LEFT(B597,27)&amp;VALUE(RIGHT(B597,1)+1))</f>
        <v/>
      </c>
      <c r="C598" s="6" t="str">
        <f t="shared" ref="C598:D598" si="696">C597</f>
        <v/>
      </c>
      <c r="D598" s="6" t="str">
        <f t="shared" si="696"/>
        <v/>
      </c>
      <c r="E598" s="10" t="str">
        <f>IF(ISBLANK(A596),"",E597+1)</f>
        <v/>
      </c>
      <c r="F598" s="11" t="str">
        <f t="shared" si="697"/>
        <v/>
      </c>
      <c r="G598" s="8"/>
    </row>
    <row r="599">
      <c r="A599" s="9" t="str">
        <f t="shared" si="695"/>
        <v/>
      </c>
      <c r="B599" s="9" t="str">
        <f>IF(ISBLANK(A596),"",LEFT(B598,27)&amp;VALUE(RIGHT(B598,1)+1))</f>
        <v/>
      </c>
      <c r="C599" s="6" t="str">
        <f t="shared" ref="C599:D599" si="698">C598</f>
        <v/>
      </c>
      <c r="D599" s="6" t="str">
        <f t="shared" si="698"/>
        <v/>
      </c>
      <c r="E599" s="10" t="str">
        <f>IF(ISBLANK(A596),"",E598+1)</f>
        <v/>
      </c>
      <c r="F599" s="11" t="str">
        <f t="shared" si="697"/>
        <v/>
      </c>
      <c r="G599" s="8"/>
    </row>
    <row r="600">
      <c r="A600" s="9" t="str">
        <f t="shared" si="695"/>
        <v/>
      </c>
      <c r="B600" s="9" t="str">
        <f>IF(ISBLANK(A596),"",LEFT(B599,27)&amp;VALUE(RIGHT(B599,1)+1))</f>
        <v/>
      </c>
      <c r="C600" s="6" t="str">
        <f t="shared" ref="C600:D600" si="699">C599</f>
        <v/>
      </c>
      <c r="D600" s="6" t="str">
        <f t="shared" si="699"/>
        <v/>
      </c>
      <c r="E600" s="10" t="str">
        <f>IF(ISBLANK(A596),"",E599+1)</f>
        <v/>
      </c>
      <c r="F600" s="11" t="str">
        <f t="shared" si="697"/>
        <v/>
      </c>
      <c r="G600" s="8"/>
    </row>
    <row r="601">
      <c r="A601" s="12" t="str">
        <f t="shared" si="695"/>
        <v/>
      </c>
      <c r="B601" s="12" t="str">
        <f>IF(ISBLANK(A596),"",LEFT(B600,27)&amp;VALUE(RIGHT(B600,1)+1))</f>
        <v/>
      </c>
      <c r="C601" s="13" t="str">
        <f t="shared" ref="C601:D601" si="700">C600</f>
        <v/>
      </c>
      <c r="D601" s="13" t="str">
        <f t="shared" si="700"/>
        <v/>
      </c>
      <c r="E601" s="14" t="str">
        <f>IF(ISBLANK(A596),"",E600+1)</f>
        <v/>
      </c>
      <c r="F601" s="15" t="str">
        <f t="shared" si="697"/>
        <v/>
      </c>
      <c r="G601" s="16"/>
    </row>
    <row r="602">
      <c r="A602" s="5"/>
      <c r="B602" s="6" t="str">
        <f t="array" ref="B602">IF(ISBLANK(A602),"",IF(A602="PROREP (L)",VLOOKUP(LEFT($A602,6),'Data Feed (40C)'!$A$1:$G$10,2,FALSE),IF(A602="PROREP (S)", INDEX('Data Feed (40C)'!B:B, MATCH(LEFT($A602,6), 'Data Feed (40C)'!$A$1:$A$10, 0) + 1), VLOOKUP($A602,'Data Feed (40C)'!$A$1:$G$10,2,FALSE))))</f>
        <v/>
      </c>
      <c r="C602" s="6" t="str">
        <f t="array" ref="C602">IF(ISBLANK(A602),"",IF(A602="PROREP (L)",VLOOKUP(LEFT($A602,6),'Data Feed (40C)'!$A$1:$G$10,3,FALSE),IF(A602="PROREP (S)", INDEX('Data Feed (40C)'!C:C, MATCH(LEFT($A602,6), 'Data Feed (40C)'!$A$1:$A$10, 0) + 1, +1), VLOOKUP($A602,'Data Feed (40C)'!$A$1:$G$10,3,FALSE))))</f>
        <v/>
      </c>
      <c r="D602" s="6" t="str">
        <f t="array" ref="D602">IF(ISBLANK(A602),"",IF(A602="PROREP (L)",VLOOKUP(LEFT($A602,6),'Data Feed (40C)'!$A$1:$G$10,4,FALSE),IF(A602="PROREP (S)", INDEX('Data Feed (40C)'!D:D, MATCH(LEFT($A602,6), 'Data Feed (40C)'!$A$1:$A$10, 0) + 1, +1), VLOOKUP($A602,'Data Feed (40C)'!$A$1:$G$10,4,FALSE))))</f>
        <v/>
      </c>
      <c r="E602" s="6" t="str">
        <f t="array" ref="E602">IF(ISBLANK(A602),"",IF(A602="PROREP (L)",VLOOKUP(LEFT($A602,6),'Data Feed (40C)'!$A$1:$G$10,7,FALSE),IF(A602="PROREP (S)", INDEX('Data Feed (40C)'!G:G, MATCH(LEFT($A602,6), 'Data Feed (40C)'!$A$1:$A$10, 0) + 1, +1), VLOOKUP($A602,'Data Feed (40C)'!$A$1:$G$10,7,FALSE))))</f>
        <v/>
      </c>
      <c r="F602" s="7"/>
      <c r="G602" s="8"/>
    </row>
    <row r="603">
      <c r="A603" s="9" t="str">
        <f t="shared" ref="A603:A607" si="702">A602</f>
        <v/>
      </c>
      <c r="B603" s="9" t="str">
        <f>IF(ISBLANK(A602),"",LEFT(B602,27)&amp;VALUE(RIGHT(B602,1)+1))</f>
        <v/>
      </c>
      <c r="C603" s="6" t="str">
        <f t="shared" ref="C603:D603" si="701">C602</f>
        <v/>
      </c>
      <c r="D603" s="6" t="str">
        <f t="shared" si="701"/>
        <v/>
      </c>
      <c r="E603" s="10" t="str">
        <f>IF(ISBLANK(A602),"",E602+1)</f>
        <v/>
      </c>
      <c r="F603" s="11" t="str">
        <f t="shared" ref="F603:F607" si="704">F602</f>
        <v/>
      </c>
      <c r="G603" s="8"/>
    </row>
    <row r="604">
      <c r="A604" s="9" t="str">
        <f t="shared" si="702"/>
        <v/>
      </c>
      <c r="B604" s="9" t="str">
        <f>IF(ISBLANK(A602),"",LEFT(B603,27)&amp;VALUE(RIGHT(B603,1)+1))</f>
        <v/>
      </c>
      <c r="C604" s="6" t="str">
        <f t="shared" ref="C604:D604" si="703">C603</f>
        <v/>
      </c>
      <c r="D604" s="6" t="str">
        <f t="shared" si="703"/>
        <v/>
      </c>
      <c r="E604" s="10" t="str">
        <f>IF(ISBLANK(A602),"",E603+1)</f>
        <v/>
      </c>
      <c r="F604" s="11" t="str">
        <f t="shared" si="704"/>
        <v/>
      </c>
      <c r="G604" s="8"/>
    </row>
    <row r="605">
      <c r="A605" s="9" t="str">
        <f t="shared" si="702"/>
        <v/>
      </c>
      <c r="B605" s="9" t="str">
        <f>IF(ISBLANK(A602),"",LEFT(B604,27)&amp;VALUE(RIGHT(B604,1)+1))</f>
        <v/>
      </c>
      <c r="C605" s="6" t="str">
        <f t="shared" ref="C605:D605" si="705">C604</f>
        <v/>
      </c>
      <c r="D605" s="6" t="str">
        <f t="shared" si="705"/>
        <v/>
      </c>
      <c r="E605" s="10" t="str">
        <f>IF(ISBLANK(A602),"",E604+1)</f>
        <v/>
      </c>
      <c r="F605" s="11" t="str">
        <f t="shared" si="704"/>
        <v/>
      </c>
      <c r="G605" s="8"/>
    </row>
    <row r="606">
      <c r="A606" s="9" t="str">
        <f t="shared" si="702"/>
        <v/>
      </c>
      <c r="B606" s="9" t="str">
        <f>IF(ISBLANK(A602),"",LEFT(B605,27)&amp;VALUE(RIGHT(B605,1)+1))</f>
        <v/>
      </c>
      <c r="C606" s="6" t="str">
        <f t="shared" ref="C606:D606" si="706">C605</f>
        <v/>
      </c>
      <c r="D606" s="6" t="str">
        <f t="shared" si="706"/>
        <v/>
      </c>
      <c r="E606" s="10" t="str">
        <f>IF(ISBLANK(A602),"",E605+1)</f>
        <v/>
      </c>
      <c r="F606" s="11" t="str">
        <f t="shared" si="704"/>
        <v/>
      </c>
      <c r="G606" s="8"/>
    </row>
    <row r="607">
      <c r="A607" s="12" t="str">
        <f t="shared" si="702"/>
        <v/>
      </c>
      <c r="B607" s="12" t="str">
        <f>IF(ISBLANK(A602),"",LEFT(B606,27)&amp;VALUE(RIGHT(B606,1)+1))</f>
        <v/>
      </c>
      <c r="C607" s="13" t="str">
        <f t="shared" ref="C607:D607" si="707">C606</f>
        <v/>
      </c>
      <c r="D607" s="13" t="str">
        <f t="shared" si="707"/>
        <v/>
      </c>
      <c r="E607" s="14" t="str">
        <f>IF(ISBLANK(A602),"",E606+1)</f>
        <v/>
      </c>
      <c r="F607" s="15" t="str">
        <f t="shared" si="704"/>
        <v/>
      </c>
      <c r="G607" s="16"/>
    </row>
    <row r="608">
      <c r="A608" s="5"/>
      <c r="B608" s="6" t="str">
        <f t="array" ref="B608">IF(ISBLANK(A608),"",IF(A608="PROREP (L)",VLOOKUP(LEFT($A608,6),'Data Feed (40C)'!$A$1:$G$10,2,FALSE),IF(A608="PROREP (S)", INDEX('Data Feed (40C)'!B:B, MATCH(LEFT($A608,6), 'Data Feed (40C)'!$A$1:$A$10, 0) + 1), VLOOKUP($A608,'Data Feed (40C)'!$A$1:$G$10,2,FALSE))))</f>
        <v/>
      </c>
      <c r="C608" s="6" t="str">
        <f t="array" ref="C608">IF(ISBLANK(A608),"",IF(A608="PROREP (L)",VLOOKUP(LEFT($A608,6),'Data Feed (40C)'!$A$1:$G$10,3,FALSE),IF(A608="PROREP (S)", INDEX('Data Feed (40C)'!C:C, MATCH(LEFT($A608,6), 'Data Feed (40C)'!$A$1:$A$10, 0) + 1, +1), VLOOKUP($A608,'Data Feed (40C)'!$A$1:$G$10,3,FALSE))))</f>
        <v/>
      </c>
      <c r="D608" s="6" t="str">
        <f t="array" ref="D608">IF(ISBLANK(A608),"",IF(A608="PROREP (L)",VLOOKUP(LEFT($A608,6),'Data Feed (40C)'!$A$1:$G$10,4,FALSE),IF(A608="PROREP (S)", INDEX('Data Feed (40C)'!D:D, MATCH(LEFT($A608,6), 'Data Feed (40C)'!$A$1:$A$10, 0) + 1, +1), VLOOKUP($A608,'Data Feed (40C)'!$A$1:$G$10,4,FALSE))))</f>
        <v/>
      </c>
      <c r="E608" s="6" t="str">
        <f t="array" ref="E608">IF(ISBLANK(A608),"",IF(A608="PROREP (L)",VLOOKUP(LEFT($A608,6),'Data Feed (40C)'!$A$1:$G$10,7,FALSE),IF(A608="PROREP (S)", INDEX('Data Feed (40C)'!G:G, MATCH(LEFT($A608,6), 'Data Feed (40C)'!$A$1:$A$10, 0) + 1, +1), VLOOKUP($A608,'Data Feed (40C)'!$A$1:$G$10,7,FALSE))))</f>
        <v/>
      </c>
      <c r="F608" s="7"/>
      <c r="G608" s="8"/>
    </row>
    <row r="609">
      <c r="A609" s="9" t="str">
        <f t="shared" ref="A609:A613" si="709">A608</f>
        <v/>
      </c>
      <c r="B609" s="9" t="str">
        <f>IF(ISBLANK(A608),"",LEFT(B608,27)&amp;VALUE(RIGHT(B608,1)+1))</f>
        <v/>
      </c>
      <c r="C609" s="6" t="str">
        <f t="shared" ref="C609:D609" si="708">C608</f>
        <v/>
      </c>
      <c r="D609" s="6" t="str">
        <f t="shared" si="708"/>
        <v/>
      </c>
      <c r="E609" s="10" t="str">
        <f>IF(ISBLANK(A608),"",E608+1)</f>
        <v/>
      </c>
      <c r="F609" s="11" t="str">
        <f t="shared" ref="F609:F613" si="711">F608</f>
        <v/>
      </c>
      <c r="G609" s="8"/>
    </row>
    <row r="610">
      <c r="A610" s="9" t="str">
        <f t="shared" si="709"/>
        <v/>
      </c>
      <c r="B610" s="9" t="str">
        <f>IF(ISBLANK(A608),"",LEFT(B609,27)&amp;VALUE(RIGHT(B609,1)+1))</f>
        <v/>
      </c>
      <c r="C610" s="6" t="str">
        <f t="shared" ref="C610:D610" si="710">C609</f>
        <v/>
      </c>
      <c r="D610" s="6" t="str">
        <f t="shared" si="710"/>
        <v/>
      </c>
      <c r="E610" s="10" t="str">
        <f>IF(ISBLANK(A608),"",E609+1)</f>
        <v/>
      </c>
      <c r="F610" s="11" t="str">
        <f t="shared" si="711"/>
        <v/>
      </c>
      <c r="G610" s="8"/>
    </row>
    <row r="611">
      <c r="A611" s="9" t="str">
        <f t="shared" si="709"/>
        <v/>
      </c>
      <c r="B611" s="9" t="str">
        <f>IF(ISBLANK(A608),"",LEFT(B610,27)&amp;VALUE(RIGHT(B610,1)+1))</f>
        <v/>
      </c>
      <c r="C611" s="6" t="str">
        <f t="shared" ref="C611:D611" si="712">C610</f>
        <v/>
      </c>
      <c r="D611" s="6" t="str">
        <f t="shared" si="712"/>
        <v/>
      </c>
      <c r="E611" s="10" t="str">
        <f>IF(ISBLANK(A608),"",E610+1)</f>
        <v/>
      </c>
      <c r="F611" s="11" t="str">
        <f t="shared" si="711"/>
        <v/>
      </c>
      <c r="G611" s="8"/>
    </row>
    <row r="612">
      <c r="A612" s="9" t="str">
        <f t="shared" si="709"/>
        <v/>
      </c>
      <c r="B612" s="9" t="str">
        <f>IF(ISBLANK(A608),"",LEFT(B611,27)&amp;VALUE(RIGHT(B611,1)+1))</f>
        <v/>
      </c>
      <c r="C612" s="6" t="str">
        <f t="shared" ref="C612:D612" si="713">C611</f>
        <v/>
      </c>
      <c r="D612" s="6" t="str">
        <f t="shared" si="713"/>
        <v/>
      </c>
      <c r="E612" s="10" t="str">
        <f>IF(ISBLANK(A608),"",E611+1)</f>
        <v/>
      </c>
      <c r="F612" s="11" t="str">
        <f t="shared" si="711"/>
        <v/>
      </c>
      <c r="G612" s="8"/>
    </row>
    <row r="613">
      <c r="A613" s="12" t="str">
        <f t="shared" si="709"/>
        <v/>
      </c>
      <c r="B613" s="12" t="str">
        <f>IF(ISBLANK(A608),"",LEFT(B612,27)&amp;VALUE(RIGHT(B612,1)+1))</f>
        <v/>
      </c>
      <c r="C613" s="13" t="str">
        <f t="shared" ref="C613:D613" si="714">C612</f>
        <v/>
      </c>
      <c r="D613" s="13" t="str">
        <f t="shared" si="714"/>
        <v/>
      </c>
      <c r="E613" s="14" t="str">
        <f>IF(ISBLANK(A608),"",E612+1)</f>
        <v/>
      </c>
      <c r="F613" s="15" t="str">
        <f t="shared" si="711"/>
        <v/>
      </c>
      <c r="G613" s="16"/>
    </row>
    <row r="614">
      <c r="A614" s="5"/>
      <c r="B614" s="6" t="str">
        <f t="array" ref="B614">IF(ISBLANK(A614),"",IF(A614="PROREP (L)",VLOOKUP(LEFT($A614,6),'Data Feed (40C)'!$A$1:$G$10,2,FALSE),IF(A614="PROREP (S)", INDEX('Data Feed (40C)'!B:B, MATCH(LEFT($A614,6), 'Data Feed (40C)'!$A$1:$A$10, 0) + 1), VLOOKUP($A614,'Data Feed (40C)'!$A$1:$G$10,2,FALSE))))</f>
        <v/>
      </c>
      <c r="C614" s="6" t="str">
        <f t="array" ref="C614">IF(ISBLANK(A614),"",IF(A614="PROREP (L)",VLOOKUP(LEFT($A614,6),'Data Feed (40C)'!$A$1:$G$10,3,FALSE),IF(A614="PROREP (S)", INDEX('Data Feed (40C)'!C:C, MATCH(LEFT($A614,6), 'Data Feed (40C)'!$A$1:$A$10, 0) + 1, +1), VLOOKUP($A614,'Data Feed (40C)'!$A$1:$G$10,3,FALSE))))</f>
        <v/>
      </c>
      <c r="D614" s="6" t="str">
        <f t="array" ref="D614">IF(ISBLANK(A614),"",IF(A614="PROREP (L)",VLOOKUP(LEFT($A614,6),'Data Feed (40C)'!$A$1:$G$10,4,FALSE),IF(A614="PROREP (S)", INDEX('Data Feed (40C)'!D:D, MATCH(LEFT($A614,6), 'Data Feed (40C)'!$A$1:$A$10, 0) + 1, +1), VLOOKUP($A614,'Data Feed (40C)'!$A$1:$G$10,4,FALSE))))</f>
        <v/>
      </c>
      <c r="E614" s="6" t="str">
        <f t="array" ref="E614">IF(ISBLANK(A614),"",IF(A614="PROREP (L)",VLOOKUP(LEFT($A614,6),'Data Feed (40C)'!$A$1:$G$10,7,FALSE),IF(A614="PROREP (S)", INDEX('Data Feed (40C)'!G:G, MATCH(LEFT($A614,6), 'Data Feed (40C)'!$A$1:$A$10, 0) + 1, +1), VLOOKUP($A614,'Data Feed (40C)'!$A$1:$G$10,7,FALSE))))</f>
        <v/>
      </c>
      <c r="F614" s="7"/>
      <c r="G614" s="8"/>
    </row>
    <row r="615">
      <c r="A615" s="9" t="str">
        <f t="shared" ref="A615:A619" si="716">A614</f>
        <v/>
      </c>
      <c r="B615" s="9" t="str">
        <f>IF(ISBLANK(A614),"",LEFT(B614,27)&amp;VALUE(RIGHT(B614,1)+1))</f>
        <v/>
      </c>
      <c r="C615" s="6" t="str">
        <f t="shared" ref="C615:D615" si="715">C614</f>
        <v/>
      </c>
      <c r="D615" s="6" t="str">
        <f t="shared" si="715"/>
        <v/>
      </c>
      <c r="E615" s="10" t="str">
        <f>IF(ISBLANK(A614),"",E614+1)</f>
        <v/>
      </c>
      <c r="F615" s="11" t="str">
        <f t="shared" ref="F615:F619" si="718">F614</f>
        <v/>
      </c>
      <c r="G615" s="8"/>
    </row>
    <row r="616">
      <c r="A616" s="9" t="str">
        <f t="shared" si="716"/>
        <v/>
      </c>
      <c r="B616" s="9" t="str">
        <f>IF(ISBLANK(A614),"",LEFT(B615,27)&amp;VALUE(RIGHT(B615,1)+1))</f>
        <v/>
      </c>
      <c r="C616" s="6" t="str">
        <f t="shared" ref="C616:D616" si="717">C615</f>
        <v/>
      </c>
      <c r="D616" s="6" t="str">
        <f t="shared" si="717"/>
        <v/>
      </c>
      <c r="E616" s="10" t="str">
        <f>IF(ISBLANK(A614),"",E615+1)</f>
        <v/>
      </c>
      <c r="F616" s="11" t="str">
        <f t="shared" si="718"/>
        <v/>
      </c>
      <c r="G616" s="8"/>
    </row>
    <row r="617">
      <c r="A617" s="9" t="str">
        <f t="shared" si="716"/>
        <v/>
      </c>
      <c r="B617" s="9" t="str">
        <f>IF(ISBLANK(A614),"",LEFT(B616,27)&amp;VALUE(RIGHT(B616,1)+1))</f>
        <v/>
      </c>
      <c r="C617" s="6" t="str">
        <f t="shared" ref="C617:D617" si="719">C616</f>
        <v/>
      </c>
      <c r="D617" s="6" t="str">
        <f t="shared" si="719"/>
        <v/>
      </c>
      <c r="E617" s="10" t="str">
        <f>IF(ISBLANK(A614),"",E616+1)</f>
        <v/>
      </c>
      <c r="F617" s="11" t="str">
        <f t="shared" si="718"/>
        <v/>
      </c>
      <c r="G617" s="8"/>
    </row>
    <row r="618">
      <c r="A618" s="9" t="str">
        <f t="shared" si="716"/>
        <v/>
      </c>
      <c r="B618" s="9" t="str">
        <f>IF(ISBLANK(A614),"",LEFT(B617,27)&amp;VALUE(RIGHT(B617,1)+1))</f>
        <v/>
      </c>
      <c r="C618" s="6" t="str">
        <f t="shared" ref="C618:D618" si="720">C617</f>
        <v/>
      </c>
      <c r="D618" s="6" t="str">
        <f t="shared" si="720"/>
        <v/>
      </c>
      <c r="E618" s="10" t="str">
        <f>IF(ISBLANK(A614),"",E617+1)</f>
        <v/>
      </c>
      <c r="F618" s="11" t="str">
        <f t="shared" si="718"/>
        <v/>
      </c>
      <c r="G618" s="8"/>
    </row>
    <row r="619">
      <c r="A619" s="12" t="str">
        <f t="shared" si="716"/>
        <v/>
      </c>
      <c r="B619" s="12" t="str">
        <f>IF(ISBLANK(A614),"",LEFT(B618,27)&amp;VALUE(RIGHT(B618,1)+1))</f>
        <v/>
      </c>
      <c r="C619" s="13" t="str">
        <f t="shared" ref="C619:D619" si="721">C618</f>
        <v/>
      </c>
      <c r="D619" s="13" t="str">
        <f t="shared" si="721"/>
        <v/>
      </c>
      <c r="E619" s="14" t="str">
        <f>IF(ISBLANK(A614),"",E618+1)</f>
        <v/>
      </c>
      <c r="F619" s="15" t="str">
        <f t="shared" si="718"/>
        <v/>
      </c>
      <c r="G619" s="16"/>
    </row>
    <row r="620">
      <c r="A620" s="5"/>
      <c r="B620" s="6" t="str">
        <f t="array" ref="B620">IF(ISBLANK(A620),"",IF(A620="PROREP (L)",VLOOKUP(LEFT($A620,6),'Data Feed (40C)'!$A$1:$G$10,2,FALSE),IF(A620="PROREP (S)", INDEX('Data Feed (40C)'!B:B, MATCH(LEFT($A620,6), 'Data Feed (40C)'!$A$1:$A$10, 0) + 1), VLOOKUP($A620,'Data Feed (40C)'!$A$1:$G$10,2,FALSE))))</f>
        <v/>
      </c>
      <c r="C620" s="6" t="str">
        <f t="array" ref="C620">IF(ISBLANK(A620),"",IF(A620="PROREP (L)",VLOOKUP(LEFT($A620,6),'Data Feed (40C)'!$A$1:$G$10,3,FALSE),IF(A620="PROREP (S)", INDEX('Data Feed (40C)'!C:C, MATCH(LEFT($A620,6), 'Data Feed (40C)'!$A$1:$A$10, 0) + 1, +1), VLOOKUP($A620,'Data Feed (40C)'!$A$1:$G$10,3,FALSE))))</f>
        <v/>
      </c>
      <c r="D620" s="6" t="str">
        <f t="array" ref="D620">IF(ISBLANK(A620),"",IF(A620="PROREP (L)",VLOOKUP(LEFT($A620,6),'Data Feed (40C)'!$A$1:$G$10,4,FALSE),IF(A620="PROREP (S)", INDEX('Data Feed (40C)'!D:D, MATCH(LEFT($A620,6), 'Data Feed (40C)'!$A$1:$A$10, 0) + 1, +1), VLOOKUP($A620,'Data Feed (40C)'!$A$1:$G$10,4,FALSE))))</f>
        <v/>
      </c>
      <c r="E620" s="6" t="str">
        <f t="array" ref="E620">IF(ISBLANK(A620),"",IF(A620="PROREP (L)",VLOOKUP(LEFT($A620,6),'Data Feed (40C)'!$A$1:$G$10,7,FALSE),IF(A620="PROREP (S)", INDEX('Data Feed (40C)'!G:G, MATCH(LEFT($A620,6), 'Data Feed (40C)'!$A$1:$A$10, 0) + 1, +1), VLOOKUP($A620,'Data Feed (40C)'!$A$1:$G$10,7,FALSE))))</f>
        <v/>
      </c>
      <c r="F620" s="7"/>
      <c r="G620" s="8"/>
    </row>
    <row r="621">
      <c r="A621" s="9" t="str">
        <f t="shared" ref="A621:A625" si="723">A620</f>
        <v/>
      </c>
      <c r="B621" s="9" t="str">
        <f>IF(ISBLANK(A620),"",LEFT(B620,27)&amp;VALUE(RIGHT(B620,1)+1))</f>
        <v/>
      </c>
      <c r="C621" s="6" t="str">
        <f t="shared" ref="C621:D621" si="722">C620</f>
        <v/>
      </c>
      <c r="D621" s="6" t="str">
        <f t="shared" si="722"/>
        <v/>
      </c>
      <c r="E621" s="10" t="str">
        <f>IF(ISBLANK(A620),"",E620+1)</f>
        <v/>
      </c>
      <c r="F621" s="11" t="str">
        <f t="shared" ref="F621:F625" si="725">F620</f>
        <v/>
      </c>
      <c r="G621" s="8"/>
    </row>
    <row r="622">
      <c r="A622" s="9" t="str">
        <f t="shared" si="723"/>
        <v/>
      </c>
      <c r="B622" s="9" t="str">
        <f>IF(ISBLANK(A620),"",LEFT(B621,27)&amp;VALUE(RIGHT(B621,1)+1))</f>
        <v/>
      </c>
      <c r="C622" s="6" t="str">
        <f t="shared" ref="C622:D622" si="724">C621</f>
        <v/>
      </c>
      <c r="D622" s="6" t="str">
        <f t="shared" si="724"/>
        <v/>
      </c>
      <c r="E622" s="10" t="str">
        <f>IF(ISBLANK(A620),"",E621+1)</f>
        <v/>
      </c>
      <c r="F622" s="11" t="str">
        <f t="shared" si="725"/>
        <v/>
      </c>
      <c r="G622" s="8"/>
    </row>
    <row r="623">
      <c r="A623" s="9" t="str">
        <f t="shared" si="723"/>
        <v/>
      </c>
      <c r="B623" s="9" t="str">
        <f>IF(ISBLANK(A620),"",LEFT(B622,27)&amp;VALUE(RIGHT(B622,1)+1))</f>
        <v/>
      </c>
      <c r="C623" s="6" t="str">
        <f t="shared" ref="C623:D623" si="726">C622</f>
        <v/>
      </c>
      <c r="D623" s="6" t="str">
        <f t="shared" si="726"/>
        <v/>
      </c>
      <c r="E623" s="10" t="str">
        <f>IF(ISBLANK(A620),"",E622+1)</f>
        <v/>
      </c>
      <c r="F623" s="11" t="str">
        <f t="shared" si="725"/>
        <v/>
      </c>
      <c r="G623" s="8"/>
    </row>
    <row r="624">
      <c r="A624" s="9" t="str">
        <f t="shared" si="723"/>
        <v/>
      </c>
      <c r="B624" s="9" t="str">
        <f>IF(ISBLANK(A620),"",LEFT(B623,27)&amp;VALUE(RIGHT(B623,1)+1))</f>
        <v/>
      </c>
      <c r="C624" s="6" t="str">
        <f t="shared" ref="C624:D624" si="727">C623</f>
        <v/>
      </c>
      <c r="D624" s="6" t="str">
        <f t="shared" si="727"/>
        <v/>
      </c>
      <c r="E624" s="10" t="str">
        <f>IF(ISBLANK(A620),"",E623+1)</f>
        <v/>
      </c>
      <c r="F624" s="11" t="str">
        <f t="shared" si="725"/>
        <v/>
      </c>
      <c r="G624" s="8"/>
    </row>
    <row r="625">
      <c r="A625" s="12" t="str">
        <f t="shared" si="723"/>
        <v/>
      </c>
      <c r="B625" s="12" t="str">
        <f>IF(ISBLANK(A620),"",LEFT(B624,27)&amp;VALUE(RIGHT(B624,1)+1))</f>
        <v/>
      </c>
      <c r="C625" s="13" t="str">
        <f t="shared" ref="C625:D625" si="728">C624</f>
        <v/>
      </c>
      <c r="D625" s="13" t="str">
        <f t="shared" si="728"/>
        <v/>
      </c>
      <c r="E625" s="14" t="str">
        <f>IF(ISBLANK(A620),"",E624+1)</f>
        <v/>
      </c>
      <c r="F625" s="15" t="str">
        <f t="shared" si="725"/>
        <v/>
      </c>
      <c r="G625" s="16"/>
    </row>
    <row r="626">
      <c r="A626" s="5"/>
      <c r="B626" s="6" t="str">
        <f t="array" ref="B626">IF(ISBLANK(A626),"",IF(A626="PROREP (L)",VLOOKUP(LEFT($A626,6),'Data Feed (40C)'!$A$1:$G$10,2,FALSE),IF(A626="PROREP (S)", INDEX('Data Feed (40C)'!B:B, MATCH(LEFT($A626,6), 'Data Feed (40C)'!$A$1:$A$10, 0) + 1), VLOOKUP($A626,'Data Feed (40C)'!$A$1:$G$10,2,FALSE))))</f>
        <v/>
      </c>
      <c r="C626" s="6" t="str">
        <f t="array" ref="C626">IF(ISBLANK(A626),"",IF(A626="PROREP (L)",VLOOKUP(LEFT($A626,6),'Data Feed (40C)'!$A$1:$G$10,3,FALSE),IF(A626="PROREP (S)", INDEX('Data Feed (40C)'!C:C, MATCH(LEFT($A626,6), 'Data Feed (40C)'!$A$1:$A$10, 0) + 1, +1), VLOOKUP($A626,'Data Feed (40C)'!$A$1:$G$10,3,FALSE))))</f>
        <v/>
      </c>
      <c r="D626" s="6" t="str">
        <f t="array" ref="D626">IF(ISBLANK(A626),"",IF(A626="PROREP (L)",VLOOKUP(LEFT($A626,6),'Data Feed (40C)'!$A$1:$G$10,4,FALSE),IF(A626="PROREP (S)", INDEX('Data Feed (40C)'!D:D, MATCH(LEFT($A626,6), 'Data Feed (40C)'!$A$1:$A$10, 0) + 1, +1), VLOOKUP($A626,'Data Feed (40C)'!$A$1:$G$10,4,FALSE))))</f>
        <v/>
      </c>
      <c r="E626" s="6" t="str">
        <f t="array" ref="E626">IF(ISBLANK(A626),"",IF(A626="PROREP (L)",VLOOKUP(LEFT($A626,6),'Data Feed (40C)'!$A$1:$G$10,7,FALSE),IF(A626="PROREP (S)", INDEX('Data Feed (40C)'!G:G, MATCH(LEFT($A626,6), 'Data Feed (40C)'!$A$1:$A$10, 0) + 1, +1), VLOOKUP($A626,'Data Feed (40C)'!$A$1:$G$10,7,FALSE))))</f>
        <v/>
      </c>
      <c r="F626" s="7"/>
      <c r="G626" s="8"/>
    </row>
    <row r="627">
      <c r="A627" s="9" t="str">
        <f t="shared" ref="A627:A631" si="730">A626</f>
        <v/>
      </c>
      <c r="B627" s="9" t="str">
        <f>IF(ISBLANK(A626),"",LEFT(B626,27)&amp;VALUE(RIGHT(B626,1)+1))</f>
        <v/>
      </c>
      <c r="C627" s="6" t="str">
        <f t="shared" ref="C627:D627" si="729">C626</f>
        <v/>
      </c>
      <c r="D627" s="6" t="str">
        <f t="shared" si="729"/>
        <v/>
      </c>
      <c r="E627" s="10" t="str">
        <f>IF(ISBLANK(A626),"",E626+1)</f>
        <v/>
      </c>
      <c r="F627" s="11" t="str">
        <f t="shared" ref="F627:F631" si="732">F626</f>
        <v/>
      </c>
      <c r="G627" s="8"/>
    </row>
    <row r="628">
      <c r="A628" s="9" t="str">
        <f t="shared" si="730"/>
        <v/>
      </c>
      <c r="B628" s="9" t="str">
        <f>IF(ISBLANK(A626),"",LEFT(B627,27)&amp;VALUE(RIGHT(B627,1)+1))</f>
        <v/>
      </c>
      <c r="C628" s="6" t="str">
        <f t="shared" ref="C628:D628" si="731">C627</f>
        <v/>
      </c>
      <c r="D628" s="6" t="str">
        <f t="shared" si="731"/>
        <v/>
      </c>
      <c r="E628" s="10" t="str">
        <f>IF(ISBLANK(A626),"",E627+1)</f>
        <v/>
      </c>
      <c r="F628" s="11" t="str">
        <f t="shared" si="732"/>
        <v/>
      </c>
      <c r="G628" s="8"/>
    </row>
    <row r="629">
      <c r="A629" s="9" t="str">
        <f t="shared" si="730"/>
        <v/>
      </c>
      <c r="B629" s="9" t="str">
        <f>IF(ISBLANK(A626),"",LEFT(B628,27)&amp;VALUE(RIGHT(B628,1)+1))</f>
        <v/>
      </c>
      <c r="C629" s="6" t="str">
        <f t="shared" ref="C629:D629" si="733">C628</f>
        <v/>
      </c>
      <c r="D629" s="6" t="str">
        <f t="shared" si="733"/>
        <v/>
      </c>
      <c r="E629" s="10" t="str">
        <f>IF(ISBLANK(A626),"",E628+1)</f>
        <v/>
      </c>
      <c r="F629" s="11" t="str">
        <f t="shared" si="732"/>
        <v/>
      </c>
      <c r="G629" s="8"/>
    </row>
    <row r="630">
      <c r="A630" s="9" t="str">
        <f t="shared" si="730"/>
        <v/>
      </c>
      <c r="B630" s="9" t="str">
        <f>IF(ISBLANK(A626),"",LEFT(B629,27)&amp;VALUE(RIGHT(B629,1)+1))</f>
        <v/>
      </c>
      <c r="C630" s="6" t="str">
        <f t="shared" ref="C630:D630" si="734">C629</f>
        <v/>
      </c>
      <c r="D630" s="6" t="str">
        <f t="shared" si="734"/>
        <v/>
      </c>
      <c r="E630" s="10" t="str">
        <f>IF(ISBLANK(A626),"",E629+1)</f>
        <v/>
      </c>
      <c r="F630" s="11" t="str">
        <f t="shared" si="732"/>
        <v/>
      </c>
      <c r="G630" s="8"/>
    </row>
    <row r="631">
      <c r="A631" s="12" t="str">
        <f t="shared" si="730"/>
        <v/>
      </c>
      <c r="B631" s="12" t="str">
        <f>IF(ISBLANK(A626),"",LEFT(B630,27)&amp;VALUE(RIGHT(B630,1)+1))</f>
        <v/>
      </c>
      <c r="C631" s="13" t="str">
        <f t="shared" ref="C631:D631" si="735">C630</f>
        <v/>
      </c>
      <c r="D631" s="13" t="str">
        <f t="shared" si="735"/>
        <v/>
      </c>
      <c r="E631" s="14" t="str">
        <f>IF(ISBLANK(A626),"",E630+1)</f>
        <v/>
      </c>
      <c r="F631" s="15" t="str">
        <f t="shared" si="732"/>
        <v/>
      </c>
      <c r="G631" s="16"/>
    </row>
    <row r="632">
      <c r="A632" s="5"/>
      <c r="B632" s="6" t="str">
        <f t="array" ref="B632">IF(ISBLANK(A632),"",IF(A632="PROREP (L)",VLOOKUP(LEFT($A632,6),'Data Feed (40C)'!$A$1:$G$10,2,FALSE),IF(A632="PROREP (S)", INDEX('Data Feed (40C)'!B:B, MATCH(LEFT($A632,6), 'Data Feed (40C)'!$A$1:$A$10, 0) + 1), VLOOKUP($A632,'Data Feed (40C)'!$A$1:$G$10,2,FALSE))))</f>
        <v/>
      </c>
      <c r="C632" s="6" t="str">
        <f t="array" ref="C632">IF(ISBLANK(A632),"",IF(A632="PROREP (L)",VLOOKUP(LEFT($A632,6),'Data Feed (40C)'!$A$1:$G$10,3,FALSE),IF(A632="PROREP (S)", INDEX('Data Feed (40C)'!C:C, MATCH(LEFT($A632,6), 'Data Feed (40C)'!$A$1:$A$10, 0) + 1, +1), VLOOKUP($A632,'Data Feed (40C)'!$A$1:$G$10,3,FALSE))))</f>
        <v/>
      </c>
      <c r="D632" s="6" t="str">
        <f t="array" ref="D632">IF(ISBLANK(A632),"",IF(A632="PROREP (L)",VLOOKUP(LEFT($A632,6),'Data Feed (40C)'!$A$1:$G$10,4,FALSE),IF(A632="PROREP (S)", INDEX('Data Feed (40C)'!D:D, MATCH(LEFT($A632,6), 'Data Feed (40C)'!$A$1:$A$10, 0) + 1, +1), VLOOKUP($A632,'Data Feed (40C)'!$A$1:$G$10,4,FALSE))))</f>
        <v/>
      </c>
      <c r="E632" s="6" t="str">
        <f t="array" ref="E632">IF(ISBLANK(A632),"",IF(A632="PROREP (L)",VLOOKUP(LEFT($A632,6),'Data Feed (40C)'!$A$1:$G$10,7,FALSE),IF(A632="PROREP (S)", INDEX('Data Feed (40C)'!G:G, MATCH(LEFT($A632,6), 'Data Feed (40C)'!$A$1:$A$10, 0) + 1, +1), VLOOKUP($A632,'Data Feed (40C)'!$A$1:$G$10,7,FALSE))))</f>
        <v/>
      </c>
      <c r="F632" s="7"/>
      <c r="G632" s="8"/>
    </row>
    <row r="633">
      <c r="A633" s="9" t="str">
        <f t="shared" ref="A633:A637" si="737">A632</f>
        <v/>
      </c>
      <c r="B633" s="9" t="str">
        <f>IF(ISBLANK(A632),"",LEFT(B632,27)&amp;VALUE(RIGHT(B632,1)+1))</f>
        <v/>
      </c>
      <c r="C633" s="6" t="str">
        <f t="shared" ref="C633:D633" si="736">C632</f>
        <v/>
      </c>
      <c r="D633" s="6" t="str">
        <f t="shared" si="736"/>
        <v/>
      </c>
      <c r="E633" s="10" t="str">
        <f>IF(ISBLANK(A632),"",E632+1)</f>
        <v/>
      </c>
      <c r="F633" s="11" t="str">
        <f t="shared" ref="F633:F637" si="739">F632</f>
        <v/>
      </c>
      <c r="G633" s="8"/>
    </row>
    <row r="634">
      <c r="A634" s="9" t="str">
        <f t="shared" si="737"/>
        <v/>
      </c>
      <c r="B634" s="9" t="str">
        <f>IF(ISBLANK(A632),"",LEFT(B633,27)&amp;VALUE(RIGHT(B633,1)+1))</f>
        <v/>
      </c>
      <c r="C634" s="6" t="str">
        <f t="shared" ref="C634:D634" si="738">C633</f>
        <v/>
      </c>
      <c r="D634" s="6" t="str">
        <f t="shared" si="738"/>
        <v/>
      </c>
      <c r="E634" s="10" t="str">
        <f>IF(ISBLANK(A632),"",E633+1)</f>
        <v/>
      </c>
      <c r="F634" s="11" t="str">
        <f t="shared" si="739"/>
        <v/>
      </c>
      <c r="G634" s="8"/>
    </row>
    <row r="635">
      <c r="A635" s="9" t="str">
        <f t="shared" si="737"/>
        <v/>
      </c>
      <c r="B635" s="9" t="str">
        <f>IF(ISBLANK(A632),"",LEFT(B634,27)&amp;VALUE(RIGHT(B634,1)+1))</f>
        <v/>
      </c>
      <c r="C635" s="6" t="str">
        <f t="shared" ref="C635:D635" si="740">C634</f>
        <v/>
      </c>
      <c r="D635" s="6" t="str">
        <f t="shared" si="740"/>
        <v/>
      </c>
      <c r="E635" s="10" t="str">
        <f>IF(ISBLANK(A632),"",E634+1)</f>
        <v/>
      </c>
      <c r="F635" s="11" t="str">
        <f t="shared" si="739"/>
        <v/>
      </c>
      <c r="G635" s="8"/>
    </row>
    <row r="636">
      <c r="A636" s="9" t="str">
        <f t="shared" si="737"/>
        <v/>
      </c>
      <c r="B636" s="9" t="str">
        <f>IF(ISBLANK(A632),"",LEFT(B635,27)&amp;VALUE(RIGHT(B635,1)+1))</f>
        <v/>
      </c>
      <c r="C636" s="6" t="str">
        <f t="shared" ref="C636:D636" si="741">C635</f>
        <v/>
      </c>
      <c r="D636" s="6" t="str">
        <f t="shared" si="741"/>
        <v/>
      </c>
      <c r="E636" s="10" t="str">
        <f>IF(ISBLANK(A632),"",E635+1)</f>
        <v/>
      </c>
      <c r="F636" s="11" t="str">
        <f t="shared" si="739"/>
        <v/>
      </c>
      <c r="G636" s="8"/>
    </row>
    <row r="637">
      <c r="A637" s="12" t="str">
        <f t="shared" si="737"/>
        <v/>
      </c>
      <c r="B637" s="12" t="str">
        <f>IF(ISBLANK(A632),"",LEFT(B636,27)&amp;VALUE(RIGHT(B636,1)+1))</f>
        <v/>
      </c>
      <c r="C637" s="13" t="str">
        <f t="shared" ref="C637:D637" si="742">C636</f>
        <v/>
      </c>
      <c r="D637" s="13" t="str">
        <f t="shared" si="742"/>
        <v/>
      </c>
      <c r="E637" s="14" t="str">
        <f>IF(ISBLANK(A632),"",E636+1)</f>
        <v/>
      </c>
      <c r="F637" s="15" t="str">
        <f t="shared" si="739"/>
        <v/>
      </c>
      <c r="G637" s="16"/>
    </row>
    <row r="638">
      <c r="A638" s="5"/>
      <c r="B638" s="6" t="str">
        <f t="array" ref="B638">IF(ISBLANK(A638),"",IF(A638="PROREP (L)",VLOOKUP(LEFT($A638,6),'Data Feed (40C)'!$A$1:$G$10,2,FALSE),IF(A638="PROREP (S)", INDEX('Data Feed (40C)'!B:B, MATCH(LEFT($A638,6), 'Data Feed (40C)'!$A$1:$A$10, 0) + 1), VLOOKUP($A638,'Data Feed (40C)'!$A$1:$G$10,2,FALSE))))</f>
        <v/>
      </c>
      <c r="C638" s="6" t="str">
        <f t="array" ref="C638">IF(ISBLANK(A638),"",IF(A638="PROREP (L)",VLOOKUP(LEFT($A638,6),'Data Feed (40C)'!$A$1:$G$10,3,FALSE),IF(A638="PROREP (S)", INDEX('Data Feed (40C)'!C:C, MATCH(LEFT($A638,6), 'Data Feed (40C)'!$A$1:$A$10, 0) + 1, +1), VLOOKUP($A638,'Data Feed (40C)'!$A$1:$G$10,3,FALSE))))</f>
        <v/>
      </c>
      <c r="D638" s="6" t="str">
        <f t="array" ref="D638">IF(ISBLANK(A638),"",IF(A638="PROREP (L)",VLOOKUP(LEFT($A638,6),'Data Feed (40C)'!$A$1:$G$10,4,FALSE),IF(A638="PROREP (S)", INDEX('Data Feed (40C)'!D:D, MATCH(LEFT($A638,6), 'Data Feed (40C)'!$A$1:$A$10, 0) + 1, +1), VLOOKUP($A638,'Data Feed (40C)'!$A$1:$G$10,4,FALSE))))</f>
        <v/>
      </c>
      <c r="E638" s="6" t="str">
        <f t="array" ref="E638">IF(ISBLANK(A638),"",IF(A638="PROREP (L)",VLOOKUP(LEFT($A638,6),'Data Feed (40C)'!$A$1:$G$10,7,FALSE),IF(A638="PROREP (S)", INDEX('Data Feed (40C)'!G:G, MATCH(LEFT($A638,6), 'Data Feed (40C)'!$A$1:$A$10, 0) + 1, +1), VLOOKUP($A638,'Data Feed (40C)'!$A$1:$G$10,7,FALSE))))</f>
        <v/>
      </c>
      <c r="F638" s="7"/>
      <c r="G638" s="8"/>
    </row>
    <row r="639">
      <c r="A639" s="9" t="str">
        <f t="shared" ref="A639:A643" si="744">A638</f>
        <v/>
      </c>
      <c r="B639" s="9" t="str">
        <f>IF(ISBLANK(A638),"",LEFT(B638,27)&amp;VALUE(RIGHT(B638,1)+1))</f>
        <v/>
      </c>
      <c r="C639" s="6" t="str">
        <f t="shared" ref="C639:D639" si="743">C638</f>
        <v/>
      </c>
      <c r="D639" s="6" t="str">
        <f t="shared" si="743"/>
        <v/>
      </c>
      <c r="E639" s="10" t="str">
        <f>IF(ISBLANK(A638),"",E638+1)</f>
        <v/>
      </c>
      <c r="F639" s="11" t="str">
        <f t="shared" ref="F639:F643" si="746">F638</f>
        <v/>
      </c>
      <c r="G639" s="8"/>
    </row>
    <row r="640">
      <c r="A640" s="9" t="str">
        <f t="shared" si="744"/>
        <v/>
      </c>
      <c r="B640" s="9" t="str">
        <f>IF(ISBLANK(A638),"",LEFT(B639,27)&amp;VALUE(RIGHT(B639,1)+1))</f>
        <v/>
      </c>
      <c r="C640" s="6" t="str">
        <f t="shared" ref="C640:D640" si="745">C639</f>
        <v/>
      </c>
      <c r="D640" s="6" t="str">
        <f t="shared" si="745"/>
        <v/>
      </c>
      <c r="E640" s="10" t="str">
        <f>IF(ISBLANK(A638),"",E639+1)</f>
        <v/>
      </c>
      <c r="F640" s="11" t="str">
        <f t="shared" si="746"/>
        <v/>
      </c>
      <c r="G640" s="8"/>
    </row>
    <row r="641">
      <c r="A641" s="9" t="str">
        <f t="shared" si="744"/>
        <v/>
      </c>
      <c r="B641" s="9" t="str">
        <f>IF(ISBLANK(A638),"",LEFT(B640,27)&amp;VALUE(RIGHT(B640,1)+1))</f>
        <v/>
      </c>
      <c r="C641" s="6" t="str">
        <f t="shared" ref="C641:D641" si="747">C640</f>
        <v/>
      </c>
      <c r="D641" s="6" t="str">
        <f t="shared" si="747"/>
        <v/>
      </c>
      <c r="E641" s="10" t="str">
        <f>IF(ISBLANK(A638),"",E640+1)</f>
        <v/>
      </c>
      <c r="F641" s="11" t="str">
        <f t="shared" si="746"/>
        <v/>
      </c>
      <c r="G641" s="8"/>
    </row>
    <row r="642">
      <c r="A642" s="9" t="str">
        <f t="shared" si="744"/>
        <v/>
      </c>
      <c r="B642" s="9" t="str">
        <f>IF(ISBLANK(A638),"",LEFT(B641,27)&amp;VALUE(RIGHT(B641,1)+1))</f>
        <v/>
      </c>
      <c r="C642" s="6" t="str">
        <f t="shared" ref="C642:D642" si="748">C641</f>
        <v/>
      </c>
      <c r="D642" s="6" t="str">
        <f t="shared" si="748"/>
        <v/>
      </c>
      <c r="E642" s="10" t="str">
        <f>IF(ISBLANK(A638),"",E641+1)</f>
        <v/>
      </c>
      <c r="F642" s="11" t="str">
        <f t="shared" si="746"/>
        <v/>
      </c>
      <c r="G642" s="8"/>
    </row>
    <row r="643">
      <c r="A643" s="12" t="str">
        <f t="shared" si="744"/>
        <v/>
      </c>
      <c r="B643" s="12" t="str">
        <f>IF(ISBLANK(A638),"",LEFT(B642,27)&amp;VALUE(RIGHT(B642,1)+1))</f>
        <v/>
      </c>
      <c r="C643" s="13" t="str">
        <f t="shared" ref="C643:D643" si="749">C642</f>
        <v/>
      </c>
      <c r="D643" s="13" t="str">
        <f t="shared" si="749"/>
        <v/>
      </c>
      <c r="E643" s="14" t="str">
        <f>IF(ISBLANK(A638),"",E642+1)</f>
        <v/>
      </c>
      <c r="F643" s="15" t="str">
        <f t="shared" si="746"/>
        <v/>
      </c>
      <c r="G643" s="16"/>
    </row>
    <row r="644">
      <c r="A644" s="5"/>
      <c r="B644" s="6" t="str">
        <f t="array" ref="B644">IF(ISBLANK(A644),"",IF(A644="PROREP (L)",VLOOKUP(LEFT($A644,6),'Data Feed (40C)'!$A$1:$G$10,2,FALSE),IF(A644="PROREP (S)", INDEX('Data Feed (40C)'!B:B, MATCH(LEFT($A644,6), 'Data Feed (40C)'!$A$1:$A$10, 0) + 1), VLOOKUP($A644,'Data Feed (40C)'!$A$1:$G$10,2,FALSE))))</f>
        <v/>
      </c>
      <c r="C644" s="6" t="str">
        <f t="array" ref="C644">IF(ISBLANK(A644),"",IF(A644="PROREP (L)",VLOOKUP(LEFT($A644,6),'Data Feed (40C)'!$A$1:$G$10,3,FALSE),IF(A644="PROREP (S)", INDEX('Data Feed (40C)'!C:C, MATCH(LEFT($A644,6), 'Data Feed (40C)'!$A$1:$A$10, 0) + 1, +1), VLOOKUP($A644,'Data Feed (40C)'!$A$1:$G$10,3,FALSE))))</f>
        <v/>
      </c>
      <c r="D644" s="6" t="str">
        <f t="array" ref="D644">IF(ISBLANK(A644),"",IF(A644="PROREP (L)",VLOOKUP(LEFT($A644,6),'Data Feed (40C)'!$A$1:$G$10,4,FALSE),IF(A644="PROREP (S)", INDEX('Data Feed (40C)'!D:D, MATCH(LEFT($A644,6), 'Data Feed (40C)'!$A$1:$A$10, 0) + 1, +1), VLOOKUP($A644,'Data Feed (40C)'!$A$1:$G$10,4,FALSE))))</f>
        <v/>
      </c>
      <c r="E644" s="6" t="str">
        <f t="array" ref="E644">IF(ISBLANK(A644),"",IF(A644="PROREP (L)",VLOOKUP(LEFT($A644,6),'Data Feed (40C)'!$A$1:$G$10,7,FALSE),IF(A644="PROREP (S)", INDEX('Data Feed (40C)'!G:G, MATCH(LEFT($A644,6), 'Data Feed (40C)'!$A$1:$A$10, 0) + 1, +1), VLOOKUP($A644,'Data Feed (40C)'!$A$1:$G$10,7,FALSE))))</f>
        <v/>
      </c>
      <c r="F644" s="7"/>
      <c r="G644" s="8"/>
    </row>
    <row r="645">
      <c r="A645" s="9" t="str">
        <f t="shared" ref="A645:A649" si="751">A644</f>
        <v/>
      </c>
      <c r="B645" s="9" t="str">
        <f>IF(ISBLANK(A644),"",LEFT(B644,27)&amp;VALUE(RIGHT(B644,1)+1))</f>
        <v/>
      </c>
      <c r="C645" s="6" t="str">
        <f t="shared" ref="C645:D645" si="750">C644</f>
        <v/>
      </c>
      <c r="D645" s="6" t="str">
        <f t="shared" si="750"/>
        <v/>
      </c>
      <c r="E645" s="10" t="str">
        <f>IF(ISBLANK(A644),"",E644+1)</f>
        <v/>
      </c>
      <c r="F645" s="11" t="str">
        <f t="shared" ref="F645:F649" si="753">F644</f>
        <v/>
      </c>
      <c r="G645" s="8"/>
    </row>
    <row r="646">
      <c r="A646" s="9" t="str">
        <f t="shared" si="751"/>
        <v/>
      </c>
      <c r="B646" s="9" t="str">
        <f>IF(ISBLANK(A644),"",LEFT(B645,27)&amp;VALUE(RIGHT(B645,1)+1))</f>
        <v/>
      </c>
      <c r="C646" s="6" t="str">
        <f t="shared" ref="C646:D646" si="752">C645</f>
        <v/>
      </c>
      <c r="D646" s="6" t="str">
        <f t="shared" si="752"/>
        <v/>
      </c>
      <c r="E646" s="10" t="str">
        <f>IF(ISBLANK(A644),"",E645+1)</f>
        <v/>
      </c>
      <c r="F646" s="11" t="str">
        <f t="shared" si="753"/>
        <v/>
      </c>
      <c r="G646" s="8"/>
    </row>
    <row r="647">
      <c r="A647" s="9" t="str">
        <f t="shared" si="751"/>
        <v/>
      </c>
      <c r="B647" s="9" t="str">
        <f>IF(ISBLANK(A644),"",LEFT(B646,27)&amp;VALUE(RIGHT(B646,1)+1))</f>
        <v/>
      </c>
      <c r="C647" s="6" t="str">
        <f t="shared" ref="C647:D647" si="754">C646</f>
        <v/>
      </c>
      <c r="D647" s="6" t="str">
        <f t="shared" si="754"/>
        <v/>
      </c>
      <c r="E647" s="10" t="str">
        <f>IF(ISBLANK(A644),"",E646+1)</f>
        <v/>
      </c>
      <c r="F647" s="11" t="str">
        <f t="shared" si="753"/>
        <v/>
      </c>
      <c r="G647" s="8"/>
    </row>
    <row r="648">
      <c r="A648" s="9" t="str">
        <f t="shared" si="751"/>
        <v/>
      </c>
      <c r="B648" s="9" t="str">
        <f>IF(ISBLANK(A644),"",LEFT(B647,27)&amp;VALUE(RIGHT(B647,1)+1))</f>
        <v/>
      </c>
      <c r="C648" s="6" t="str">
        <f t="shared" ref="C648:D648" si="755">C647</f>
        <v/>
      </c>
      <c r="D648" s="6" t="str">
        <f t="shared" si="755"/>
        <v/>
      </c>
      <c r="E648" s="10" t="str">
        <f>IF(ISBLANK(A644),"",E647+1)</f>
        <v/>
      </c>
      <c r="F648" s="11" t="str">
        <f t="shared" si="753"/>
        <v/>
      </c>
      <c r="G648" s="8"/>
    </row>
    <row r="649">
      <c r="A649" s="12" t="str">
        <f t="shared" si="751"/>
        <v/>
      </c>
      <c r="B649" s="12" t="str">
        <f>IF(ISBLANK(A644),"",LEFT(B648,27)&amp;VALUE(RIGHT(B648,1)+1))</f>
        <v/>
      </c>
      <c r="C649" s="13" t="str">
        <f t="shared" ref="C649:D649" si="756">C648</f>
        <v/>
      </c>
      <c r="D649" s="13" t="str">
        <f t="shared" si="756"/>
        <v/>
      </c>
      <c r="E649" s="14" t="str">
        <f>IF(ISBLANK(A644),"",E648+1)</f>
        <v/>
      </c>
      <c r="F649" s="15" t="str">
        <f t="shared" si="753"/>
        <v/>
      </c>
      <c r="G649" s="16"/>
    </row>
    <row r="650">
      <c r="A650" s="5"/>
      <c r="B650" s="6" t="str">
        <f t="array" ref="B650">IF(ISBLANK(A650),"",IF(A650="PROREP (L)",VLOOKUP(LEFT($A650,6),'Data Feed (40C)'!$A$1:$G$10,2,FALSE),IF(A650="PROREP (S)", INDEX('Data Feed (40C)'!B:B, MATCH(LEFT($A650,6), 'Data Feed (40C)'!$A$1:$A$10, 0) + 1), VLOOKUP($A650,'Data Feed (40C)'!$A$1:$G$10,2,FALSE))))</f>
        <v/>
      </c>
      <c r="C650" s="6" t="str">
        <f t="array" ref="C650">IF(ISBLANK(A650),"",IF(A650="PROREP (L)",VLOOKUP(LEFT($A650,6),'Data Feed (40C)'!$A$1:$G$10,3,FALSE),IF(A650="PROREP (S)", INDEX('Data Feed (40C)'!C:C, MATCH(LEFT($A650,6), 'Data Feed (40C)'!$A$1:$A$10, 0) + 1, +1), VLOOKUP($A650,'Data Feed (40C)'!$A$1:$G$10,3,FALSE))))</f>
        <v/>
      </c>
      <c r="D650" s="6" t="str">
        <f t="array" ref="D650">IF(ISBLANK(A650),"",IF(A650="PROREP (L)",VLOOKUP(LEFT($A650,6),'Data Feed (40C)'!$A$1:$G$10,4,FALSE),IF(A650="PROREP (S)", INDEX('Data Feed (40C)'!D:D, MATCH(LEFT($A650,6), 'Data Feed (40C)'!$A$1:$A$10, 0) + 1, +1), VLOOKUP($A650,'Data Feed (40C)'!$A$1:$G$10,4,FALSE))))</f>
        <v/>
      </c>
      <c r="E650" s="6" t="str">
        <f t="array" ref="E650">IF(ISBLANK(A650),"",IF(A650="PROREP (L)",VLOOKUP(LEFT($A650,6),'Data Feed (40C)'!$A$1:$G$10,7,FALSE),IF(A650="PROREP (S)", INDEX('Data Feed (40C)'!G:G, MATCH(LEFT($A650,6), 'Data Feed (40C)'!$A$1:$A$10, 0) + 1, +1), VLOOKUP($A650,'Data Feed (40C)'!$A$1:$G$10,7,FALSE))))</f>
        <v/>
      </c>
      <c r="F650" s="7"/>
      <c r="G650" s="8"/>
    </row>
    <row r="651">
      <c r="A651" s="9" t="str">
        <f t="shared" ref="A651:A655" si="758">A650</f>
        <v/>
      </c>
      <c r="B651" s="9" t="str">
        <f>IF(ISBLANK(A650),"",LEFT(B650,27)&amp;VALUE(RIGHT(B650,1)+1))</f>
        <v/>
      </c>
      <c r="C651" s="6" t="str">
        <f t="shared" ref="C651:D651" si="757">C650</f>
        <v/>
      </c>
      <c r="D651" s="6" t="str">
        <f t="shared" si="757"/>
        <v/>
      </c>
      <c r="E651" s="10" t="str">
        <f>IF(ISBLANK(A650),"",E650+1)</f>
        <v/>
      </c>
      <c r="F651" s="11" t="str">
        <f t="shared" ref="F651:F655" si="760">F650</f>
        <v/>
      </c>
      <c r="G651" s="8"/>
    </row>
    <row r="652">
      <c r="A652" s="9" t="str">
        <f t="shared" si="758"/>
        <v/>
      </c>
      <c r="B652" s="9" t="str">
        <f>IF(ISBLANK(A650),"",LEFT(B651,27)&amp;VALUE(RIGHT(B651,1)+1))</f>
        <v/>
      </c>
      <c r="C652" s="6" t="str">
        <f t="shared" ref="C652:D652" si="759">C651</f>
        <v/>
      </c>
      <c r="D652" s="6" t="str">
        <f t="shared" si="759"/>
        <v/>
      </c>
      <c r="E652" s="10" t="str">
        <f>IF(ISBLANK(A650),"",E651+1)</f>
        <v/>
      </c>
      <c r="F652" s="11" t="str">
        <f t="shared" si="760"/>
        <v/>
      </c>
      <c r="G652" s="8"/>
    </row>
    <row r="653">
      <c r="A653" s="9" t="str">
        <f t="shared" si="758"/>
        <v/>
      </c>
      <c r="B653" s="9" t="str">
        <f>IF(ISBLANK(A650),"",LEFT(B652,27)&amp;VALUE(RIGHT(B652,1)+1))</f>
        <v/>
      </c>
      <c r="C653" s="6" t="str">
        <f t="shared" ref="C653:D653" si="761">C652</f>
        <v/>
      </c>
      <c r="D653" s="6" t="str">
        <f t="shared" si="761"/>
        <v/>
      </c>
      <c r="E653" s="10" t="str">
        <f>IF(ISBLANK(A650),"",E652+1)</f>
        <v/>
      </c>
      <c r="F653" s="11" t="str">
        <f t="shared" si="760"/>
        <v/>
      </c>
      <c r="G653" s="8"/>
    </row>
    <row r="654">
      <c r="A654" s="9" t="str">
        <f t="shared" si="758"/>
        <v/>
      </c>
      <c r="B654" s="9" t="str">
        <f>IF(ISBLANK(A650),"",LEFT(B653,27)&amp;VALUE(RIGHT(B653,1)+1))</f>
        <v/>
      </c>
      <c r="C654" s="6" t="str">
        <f t="shared" ref="C654:D654" si="762">C653</f>
        <v/>
      </c>
      <c r="D654" s="6" t="str">
        <f t="shared" si="762"/>
        <v/>
      </c>
      <c r="E654" s="10" t="str">
        <f>IF(ISBLANK(A650),"",E653+1)</f>
        <v/>
      </c>
      <c r="F654" s="11" t="str">
        <f t="shared" si="760"/>
        <v/>
      </c>
      <c r="G654" s="8"/>
    </row>
    <row r="655">
      <c r="A655" s="12" t="str">
        <f t="shared" si="758"/>
        <v/>
      </c>
      <c r="B655" s="12" t="str">
        <f>IF(ISBLANK(A650),"",LEFT(B654,27)&amp;VALUE(RIGHT(B654,1)+1))</f>
        <v/>
      </c>
      <c r="C655" s="13" t="str">
        <f t="shared" ref="C655:D655" si="763">C654</f>
        <v/>
      </c>
      <c r="D655" s="13" t="str">
        <f t="shared" si="763"/>
        <v/>
      </c>
      <c r="E655" s="14" t="str">
        <f>IF(ISBLANK(A650),"",E654+1)</f>
        <v/>
      </c>
      <c r="F655" s="15" t="str">
        <f t="shared" si="760"/>
        <v/>
      </c>
      <c r="G655" s="16"/>
    </row>
    <row r="656">
      <c r="A656" s="5"/>
      <c r="B656" s="6" t="str">
        <f t="array" ref="B656">IF(ISBLANK(A656),"",IF(A656="PROREP (L)",VLOOKUP(LEFT($A656,6),'Data Feed (40C)'!$A$1:$G$10,2,FALSE),IF(A656="PROREP (S)", INDEX('Data Feed (40C)'!B:B, MATCH(LEFT($A656,6), 'Data Feed (40C)'!$A$1:$A$10, 0) + 1), VLOOKUP($A656,'Data Feed (40C)'!$A$1:$G$10,2,FALSE))))</f>
        <v/>
      </c>
      <c r="C656" s="6" t="str">
        <f t="array" ref="C656">IF(ISBLANK(A656),"",IF(A656="PROREP (L)",VLOOKUP(LEFT($A656,6),'Data Feed (40C)'!$A$1:$G$10,3,FALSE),IF(A656="PROREP (S)", INDEX('Data Feed (40C)'!C:C, MATCH(LEFT($A656,6), 'Data Feed (40C)'!$A$1:$A$10, 0) + 1, +1), VLOOKUP($A656,'Data Feed (40C)'!$A$1:$G$10,3,FALSE))))</f>
        <v/>
      </c>
      <c r="D656" s="6" t="str">
        <f t="array" ref="D656">IF(ISBLANK(A656),"",IF(A656="PROREP (L)",VLOOKUP(LEFT($A656,6),'Data Feed (40C)'!$A$1:$G$10,4,FALSE),IF(A656="PROREP (S)", INDEX('Data Feed (40C)'!D:D, MATCH(LEFT($A656,6), 'Data Feed (40C)'!$A$1:$A$10, 0) + 1, +1), VLOOKUP($A656,'Data Feed (40C)'!$A$1:$G$10,4,FALSE))))</f>
        <v/>
      </c>
      <c r="E656" s="6" t="str">
        <f t="array" ref="E656">IF(ISBLANK(A656),"",IF(A656="PROREP (L)",VLOOKUP(LEFT($A656,6),'Data Feed (40C)'!$A$1:$G$10,7,FALSE),IF(A656="PROREP (S)", INDEX('Data Feed (40C)'!G:G, MATCH(LEFT($A656,6), 'Data Feed (40C)'!$A$1:$A$10, 0) + 1, +1), VLOOKUP($A656,'Data Feed (40C)'!$A$1:$G$10,7,FALSE))))</f>
        <v/>
      </c>
      <c r="F656" s="7"/>
      <c r="G656" s="8"/>
    </row>
    <row r="657">
      <c r="A657" s="9" t="str">
        <f t="shared" ref="A657:A661" si="765">A656</f>
        <v/>
      </c>
      <c r="B657" s="9" t="str">
        <f>IF(ISBLANK(A656),"",LEFT(B656,27)&amp;VALUE(RIGHT(B656,1)+1))</f>
        <v/>
      </c>
      <c r="C657" s="6" t="str">
        <f t="shared" ref="C657:D657" si="764">C656</f>
        <v/>
      </c>
      <c r="D657" s="6" t="str">
        <f t="shared" si="764"/>
        <v/>
      </c>
      <c r="E657" s="10" t="str">
        <f>IF(ISBLANK(A656),"",E656+1)</f>
        <v/>
      </c>
      <c r="F657" s="11" t="str">
        <f t="shared" ref="F657:F661" si="767">F656</f>
        <v/>
      </c>
      <c r="G657" s="8"/>
    </row>
    <row r="658">
      <c r="A658" s="9" t="str">
        <f t="shared" si="765"/>
        <v/>
      </c>
      <c r="B658" s="9" t="str">
        <f>IF(ISBLANK(A656),"",LEFT(B657,27)&amp;VALUE(RIGHT(B657,1)+1))</f>
        <v/>
      </c>
      <c r="C658" s="6" t="str">
        <f t="shared" ref="C658:D658" si="766">C657</f>
        <v/>
      </c>
      <c r="D658" s="6" t="str">
        <f t="shared" si="766"/>
        <v/>
      </c>
      <c r="E658" s="10" t="str">
        <f>IF(ISBLANK(A656),"",E657+1)</f>
        <v/>
      </c>
      <c r="F658" s="11" t="str">
        <f t="shared" si="767"/>
        <v/>
      </c>
      <c r="G658" s="8"/>
    </row>
    <row r="659">
      <c r="A659" s="9" t="str">
        <f t="shared" si="765"/>
        <v/>
      </c>
      <c r="B659" s="9" t="str">
        <f>IF(ISBLANK(A656),"",LEFT(B658,27)&amp;VALUE(RIGHT(B658,1)+1))</f>
        <v/>
      </c>
      <c r="C659" s="6" t="str">
        <f t="shared" ref="C659:D659" si="768">C658</f>
        <v/>
      </c>
      <c r="D659" s="6" t="str">
        <f t="shared" si="768"/>
        <v/>
      </c>
      <c r="E659" s="10" t="str">
        <f>IF(ISBLANK(A656),"",E658+1)</f>
        <v/>
      </c>
      <c r="F659" s="11" t="str">
        <f t="shared" si="767"/>
        <v/>
      </c>
      <c r="G659" s="8"/>
    </row>
    <row r="660">
      <c r="A660" s="9" t="str">
        <f t="shared" si="765"/>
        <v/>
      </c>
      <c r="B660" s="9" t="str">
        <f>IF(ISBLANK(A656),"",LEFT(B659,27)&amp;VALUE(RIGHT(B659,1)+1))</f>
        <v/>
      </c>
      <c r="C660" s="6" t="str">
        <f t="shared" ref="C660:D660" si="769">C659</f>
        <v/>
      </c>
      <c r="D660" s="6" t="str">
        <f t="shared" si="769"/>
        <v/>
      </c>
      <c r="E660" s="10" t="str">
        <f>IF(ISBLANK(A656),"",E659+1)</f>
        <v/>
      </c>
      <c r="F660" s="11" t="str">
        <f t="shared" si="767"/>
        <v/>
      </c>
      <c r="G660" s="8"/>
    </row>
    <row r="661">
      <c r="A661" s="12" t="str">
        <f t="shared" si="765"/>
        <v/>
      </c>
      <c r="B661" s="12" t="str">
        <f>IF(ISBLANK(A656),"",LEFT(B660,27)&amp;VALUE(RIGHT(B660,1)+1))</f>
        <v/>
      </c>
      <c r="C661" s="13" t="str">
        <f t="shared" ref="C661:D661" si="770">C660</f>
        <v/>
      </c>
      <c r="D661" s="13" t="str">
        <f t="shared" si="770"/>
        <v/>
      </c>
      <c r="E661" s="14" t="str">
        <f>IF(ISBLANK(A656),"",E660+1)</f>
        <v/>
      </c>
      <c r="F661" s="15" t="str">
        <f t="shared" si="767"/>
        <v/>
      </c>
      <c r="G661" s="16"/>
    </row>
    <row r="662">
      <c r="A662" s="5"/>
      <c r="B662" s="6" t="str">
        <f t="array" ref="B662">IF(ISBLANK(A662),"",IF(A662="PROREP (L)",VLOOKUP(LEFT($A662,6),'Data Feed (40C)'!$A$1:$G$10,2,FALSE),IF(A662="PROREP (S)", INDEX('Data Feed (40C)'!B:B, MATCH(LEFT($A662,6), 'Data Feed (40C)'!$A$1:$A$10, 0) + 1), VLOOKUP($A662,'Data Feed (40C)'!$A$1:$G$10,2,FALSE))))</f>
        <v/>
      </c>
      <c r="C662" s="6" t="str">
        <f t="array" ref="C662">IF(ISBLANK(A662),"",IF(A662="PROREP (L)",VLOOKUP(LEFT($A662,6),'Data Feed (40C)'!$A$1:$G$10,3,FALSE),IF(A662="PROREP (S)", INDEX('Data Feed (40C)'!C:C, MATCH(LEFT($A662,6), 'Data Feed (40C)'!$A$1:$A$10, 0) + 1, +1), VLOOKUP($A662,'Data Feed (40C)'!$A$1:$G$10,3,FALSE))))</f>
        <v/>
      </c>
      <c r="D662" s="6" t="str">
        <f t="array" ref="D662">IF(ISBLANK(A662),"",IF(A662="PROREP (L)",VLOOKUP(LEFT($A662,6),'Data Feed (40C)'!$A$1:$G$10,4,FALSE),IF(A662="PROREP (S)", INDEX('Data Feed (40C)'!D:D, MATCH(LEFT($A662,6), 'Data Feed (40C)'!$A$1:$A$10, 0) + 1, +1), VLOOKUP($A662,'Data Feed (40C)'!$A$1:$G$10,4,FALSE))))</f>
        <v/>
      </c>
      <c r="E662" s="6" t="str">
        <f t="array" ref="E662">IF(ISBLANK(A662),"",IF(A662="PROREP (L)",VLOOKUP(LEFT($A662,6),'Data Feed (40C)'!$A$1:$G$10,7,FALSE),IF(A662="PROREP (S)", INDEX('Data Feed (40C)'!G:G, MATCH(LEFT($A662,6), 'Data Feed (40C)'!$A$1:$A$10, 0) + 1, +1), VLOOKUP($A662,'Data Feed (40C)'!$A$1:$G$10,7,FALSE))))</f>
        <v/>
      </c>
      <c r="F662" s="7"/>
      <c r="G662" s="8"/>
    </row>
    <row r="663">
      <c r="A663" s="9" t="str">
        <f t="shared" ref="A663:A667" si="772">A662</f>
        <v/>
      </c>
      <c r="B663" s="9" t="str">
        <f>IF(ISBLANK(A662),"",LEFT(B662,27)&amp;VALUE(RIGHT(B662,1)+1))</f>
        <v/>
      </c>
      <c r="C663" s="6" t="str">
        <f t="shared" ref="C663:D663" si="771">C662</f>
        <v/>
      </c>
      <c r="D663" s="6" t="str">
        <f t="shared" si="771"/>
        <v/>
      </c>
      <c r="E663" s="10" t="str">
        <f>IF(ISBLANK(A662),"",E662+1)</f>
        <v/>
      </c>
      <c r="F663" s="11" t="str">
        <f t="shared" ref="F663:F667" si="774">F662</f>
        <v/>
      </c>
      <c r="G663" s="8"/>
    </row>
    <row r="664">
      <c r="A664" s="9" t="str">
        <f t="shared" si="772"/>
        <v/>
      </c>
      <c r="B664" s="9" t="str">
        <f>IF(ISBLANK(A662),"",LEFT(B663,27)&amp;VALUE(RIGHT(B663,1)+1))</f>
        <v/>
      </c>
      <c r="C664" s="6" t="str">
        <f t="shared" ref="C664:D664" si="773">C663</f>
        <v/>
      </c>
      <c r="D664" s="6" t="str">
        <f t="shared" si="773"/>
        <v/>
      </c>
      <c r="E664" s="10" t="str">
        <f>IF(ISBLANK(A662),"",E663+1)</f>
        <v/>
      </c>
      <c r="F664" s="11" t="str">
        <f t="shared" si="774"/>
        <v/>
      </c>
      <c r="G664" s="8"/>
    </row>
    <row r="665">
      <c r="A665" s="9" t="str">
        <f t="shared" si="772"/>
        <v/>
      </c>
      <c r="B665" s="9" t="str">
        <f>IF(ISBLANK(A662),"",LEFT(B664,27)&amp;VALUE(RIGHT(B664,1)+1))</f>
        <v/>
      </c>
      <c r="C665" s="6" t="str">
        <f t="shared" ref="C665:D665" si="775">C664</f>
        <v/>
      </c>
      <c r="D665" s="6" t="str">
        <f t="shared" si="775"/>
        <v/>
      </c>
      <c r="E665" s="10" t="str">
        <f>IF(ISBLANK(A662),"",E664+1)</f>
        <v/>
      </c>
      <c r="F665" s="11" t="str">
        <f t="shared" si="774"/>
        <v/>
      </c>
      <c r="G665" s="8"/>
    </row>
    <row r="666">
      <c r="A666" s="9" t="str">
        <f t="shared" si="772"/>
        <v/>
      </c>
      <c r="B666" s="9" t="str">
        <f>IF(ISBLANK(A662),"",LEFT(B665,27)&amp;VALUE(RIGHT(B665,1)+1))</f>
        <v/>
      </c>
      <c r="C666" s="6" t="str">
        <f t="shared" ref="C666:D666" si="776">C665</f>
        <v/>
      </c>
      <c r="D666" s="6" t="str">
        <f t="shared" si="776"/>
        <v/>
      </c>
      <c r="E666" s="10" t="str">
        <f>IF(ISBLANK(A662),"",E665+1)</f>
        <v/>
      </c>
      <c r="F666" s="11" t="str">
        <f t="shared" si="774"/>
        <v/>
      </c>
      <c r="G666" s="8"/>
    </row>
    <row r="667">
      <c r="A667" s="12" t="str">
        <f t="shared" si="772"/>
        <v/>
      </c>
      <c r="B667" s="12" t="str">
        <f>IF(ISBLANK(A662),"",LEFT(B666,27)&amp;VALUE(RIGHT(B666,1)+1))</f>
        <v/>
      </c>
      <c r="C667" s="13" t="str">
        <f t="shared" ref="C667:D667" si="777">C666</f>
        <v/>
      </c>
      <c r="D667" s="13" t="str">
        <f t="shared" si="777"/>
        <v/>
      </c>
      <c r="E667" s="14" t="str">
        <f>IF(ISBLANK(A662),"",E666+1)</f>
        <v/>
      </c>
      <c r="F667" s="15" t="str">
        <f t="shared" si="774"/>
        <v/>
      </c>
      <c r="G667" s="16"/>
    </row>
    <row r="668">
      <c r="A668" s="5"/>
      <c r="B668" s="6" t="str">
        <f t="array" ref="B668">IF(ISBLANK(A668),"",IF(A668="PROREP (L)",VLOOKUP(LEFT($A668,6),'Data Feed (40C)'!$A$1:$G$10,2,FALSE),IF(A668="PROREP (S)", INDEX('Data Feed (40C)'!B:B, MATCH(LEFT($A668,6), 'Data Feed (40C)'!$A$1:$A$10, 0) + 1), VLOOKUP($A668,'Data Feed (40C)'!$A$1:$G$10,2,FALSE))))</f>
        <v/>
      </c>
      <c r="C668" s="6" t="str">
        <f t="array" ref="C668">IF(ISBLANK(A668),"",IF(A668="PROREP (L)",VLOOKUP(LEFT($A668,6),'Data Feed (40C)'!$A$1:$G$10,3,FALSE),IF(A668="PROREP (S)", INDEX('Data Feed (40C)'!C:C, MATCH(LEFT($A668,6), 'Data Feed (40C)'!$A$1:$A$10, 0) + 1, +1), VLOOKUP($A668,'Data Feed (40C)'!$A$1:$G$10,3,FALSE))))</f>
        <v/>
      </c>
      <c r="D668" s="6" t="str">
        <f t="array" ref="D668">IF(ISBLANK(A668),"",IF(A668="PROREP (L)",VLOOKUP(LEFT($A668,6),'Data Feed (40C)'!$A$1:$G$10,4,FALSE),IF(A668="PROREP (S)", INDEX('Data Feed (40C)'!D:D, MATCH(LEFT($A668,6), 'Data Feed (40C)'!$A$1:$A$10, 0) + 1, +1), VLOOKUP($A668,'Data Feed (40C)'!$A$1:$G$10,4,FALSE))))</f>
        <v/>
      </c>
      <c r="E668" s="6" t="str">
        <f t="array" ref="E668">IF(ISBLANK(A668),"",IF(A668="PROREP (L)",VLOOKUP(LEFT($A668,6),'Data Feed (40C)'!$A$1:$G$10,7,FALSE),IF(A668="PROREP (S)", INDEX('Data Feed (40C)'!G:G, MATCH(LEFT($A668,6), 'Data Feed (40C)'!$A$1:$A$10, 0) + 1, +1), VLOOKUP($A668,'Data Feed (40C)'!$A$1:$G$10,7,FALSE))))</f>
        <v/>
      </c>
      <c r="F668" s="7"/>
      <c r="G668" s="8"/>
    </row>
    <row r="669">
      <c r="A669" s="9" t="str">
        <f t="shared" ref="A669:A673" si="779">A668</f>
        <v/>
      </c>
      <c r="B669" s="9" t="str">
        <f>IF(ISBLANK(A668),"",LEFT(B668,27)&amp;VALUE(RIGHT(B668,1)+1))</f>
        <v/>
      </c>
      <c r="C669" s="6" t="str">
        <f t="shared" ref="C669:D669" si="778">C668</f>
        <v/>
      </c>
      <c r="D669" s="6" t="str">
        <f t="shared" si="778"/>
        <v/>
      </c>
      <c r="E669" s="10" t="str">
        <f>IF(ISBLANK(A668),"",E668+1)</f>
        <v/>
      </c>
      <c r="F669" s="11" t="str">
        <f t="shared" ref="F669:F673" si="781">F668</f>
        <v/>
      </c>
      <c r="G669" s="8"/>
    </row>
    <row r="670">
      <c r="A670" s="9" t="str">
        <f t="shared" si="779"/>
        <v/>
      </c>
      <c r="B670" s="9" t="str">
        <f>IF(ISBLANK(A668),"",LEFT(B669,27)&amp;VALUE(RIGHT(B669,1)+1))</f>
        <v/>
      </c>
      <c r="C670" s="6" t="str">
        <f t="shared" ref="C670:D670" si="780">C669</f>
        <v/>
      </c>
      <c r="D670" s="6" t="str">
        <f t="shared" si="780"/>
        <v/>
      </c>
      <c r="E670" s="10" t="str">
        <f>IF(ISBLANK(A668),"",E669+1)</f>
        <v/>
      </c>
      <c r="F670" s="11" t="str">
        <f t="shared" si="781"/>
        <v/>
      </c>
      <c r="G670" s="8"/>
    </row>
    <row r="671">
      <c r="A671" s="9" t="str">
        <f t="shared" si="779"/>
        <v/>
      </c>
      <c r="B671" s="9" t="str">
        <f>IF(ISBLANK(A668),"",LEFT(B670,27)&amp;VALUE(RIGHT(B670,1)+1))</f>
        <v/>
      </c>
      <c r="C671" s="6" t="str">
        <f t="shared" ref="C671:D671" si="782">C670</f>
        <v/>
      </c>
      <c r="D671" s="6" t="str">
        <f t="shared" si="782"/>
        <v/>
      </c>
      <c r="E671" s="10" t="str">
        <f>IF(ISBLANK(A668),"",E670+1)</f>
        <v/>
      </c>
      <c r="F671" s="11" t="str">
        <f t="shared" si="781"/>
        <v/>
      </c>
      <c r="G671" s="8"/>
    </row>
    <row r="672">
      <c r="A672" s="9" t="str">
        <f t="shared" si="779"/>
        <v/>
      </c>
      <c r="B672" s="9" t="str">
        <f>IF(ISBLANK(A668),"",LEFT(B671,27)&amp;VALUE(RIGHT(B671,1)+1))</f>
        <v/>
      </c>
      <c r="C672" s="6" t="str">
        <f t="shared" ref="C672:D672" si="783">C671</f>
        <v/>
      </c>
      <c r="D672" s="6" t="str">
        <f t="shared" si="783"/>
        <v/>
      </c>
      <c r="E672" s="10" t="str">
        <f>IF(ISBLANK(A668),"",E671+1)</f>
        <v/>
      </c>
      <c r="F672" s="11" t="str">
        <f t="shared" si="781"/>
        <v/>
      </c>
      <c r="G672" s="8"/>
    </row>
    <row r="673">
      <c r="A673" s="12" t="str">
        <f t="shared" si="779"/>
        <v/>
      </c>
      <c r="B673" s="12" t="str">
        <f>IF(ISBLANK(A668),"",LEFT(B672,27)&amp;VALUE(RIGHT(B672,1)+1))</f>
        <v/>
      </c>
      <c r="C673" s="13" t="str">
        <f t="shared" ref="C673:D673" si="784">C672</f>
        <v/>
      </c>
      <c r="D673" s="13" t="str">
        <f t="shared" si="784"/>
        <v/>
      </c>
      <c r="E673" s="14" t="str">
        <f>IF(ISBLANK(A668),"",E672+1)</f>
        <v/>
      </c>
      <c r="F673" s="15" t="str">
        <f t="shared" si="781"/>
        <v/>
      </c>
      <c r="G673" s="16"/>
    </row>
    <row r="674">
      <c r="A674" s="5"/>
      <c r="B674" s="6" t="str">
        <f t="array" ref="B674">IF(ISBLANK(A674),"",IF(A674="PROREP (L)",VLOOKUP(LEFT($A674,6),'Data Feed (40C)'!$A$1:$G$10,2,FALSE),IF(A674="PROREP (S)", INDEX('Data Feed (40C)'!B:B, MATCH(LEFT($A674,6), 'Data Feed (40C)'!$A$1:$A$10, 0) + 1), VLOOKUP($A674,'Data Feed (40C)'!$A$1:$G$10,2,FALSE))))</f>
        <v/>
      </c>
      <c r="C674" s="6" t="str">
        <f t="array" ref="C674">IF(ISBLANK(A674),"",IF(A674="PROREP (L)",VLOOKUP(LEFT($A674,6),'Data Feed (40C)'!$A$1:$G$10,3,FALSE),IF(A674="PROREP (S)", INDEX('Data Feed (40C)'!C:C, MATCH(LEFT($A674,6), 'Data Feed (40C)'!$A$1:$A$10, 0) + 1, +1), VLOOKUP($A674,'Data Feed (40C)'!$A$1:$G$10,3,FALSE))))</f>
        <v/>
      </c>
      <c r="D674" s="6" t="str">
        <f t="array" ref="D674">IF(ISBLANK(A674),"",IF(A674="PROREP (L)",VLOOKUP(LEFT($A674,6),'Data Feed (40C)'!$A$1:$G$10,4,FALSE),IF(A674="PROREP (S)", INDEX('Data Feed (40C)'!D:D, MATCH(LEFT($A674,6), 'Data Feed (40C)'!$A$1:$A$10, 0) + 1, +1), VLOOKUP($A674,'Data Feed (40C)'!$A$1:$G$10,4,FALSE))))</f>
        <v/>
      </c>
      <c r="E674" s="6" t="str">
        <f t="array" ref="E674">IF(ISBLANK(A674),"",IF(A674="PROREP (L)",VLOOKUP(LEFT($A674,6),'Data Feed (40C)'!$A$1:$G$10,7,FALSE),IF(A674="PROREP (S)", INDEX('Data Feed (40C)'!G:G, MATCH(LEFT($A674,6), 'Data Feed (40C)'!$A$1:$A$10, 0) + 1, +1), VLOOKUP($A674,'Data Feed (40C)'!$A$1:$G$10,7,FALSE))))</f>
        <v/>
      </c>
      <c r="F674" s="7"/>
      <c r="G674" s="8"/>
    </row>
    <row r="675">
      <c r="A675" s="9" t="str">
        <f t="shared" ref="A675:A679" si="786">A674</f>
        <v/>
      </c>
      <c r="B675" s="9" t="str">
        <f>IF(ISBLANK(A674),"",LEFT(B674,27)&amp;VALUE(RIGHT(B674,1)+1))</f>
        <v/>
      </c>
      <c r="C675" s="6" t="str">
        <f t="shared" ref="C675:D675" si="785">C674</f>
        <v/>
      </c>
      <c r="D675" s="6" t="str">
        <f t="shared" si="785"/>
        <v/>
      </c>
      <c r="E675" s="10" t="str">
        <f>IF(ISBLANK(A674),"",E674+1)</f>
        <v/>
      </c>
      <c r="F675" s="11" t="str">
        <f t="shared" ref="F675:F679" si="788">F674</f>
        <v/>
      </c>
      <c r="G675" s="8"/>
    </row>
    <row r="676">
      <c r="A676" s="9" t="str">
        <f t="shared" si="786"/>
        <v/>
      </c>
      <c r="B676" s="9" t="str">
        <f>IF(ISBLANK(A674),"",LEFT(B675,27)&amp;VALUE(RIGHT(B675,1)+1))</f>
        <v/>
      </c>
      <c r="C676" s="6" t="str">
        <f t="shared" ref="C676:D676" si="787">C675</f>
        <v/>
      </c>
      <c r="D676" s="6" t="str">
        <f t="shared" si="787"/>
        <v/>
      </c>
      <c r="E676" s="10" t="str">
        <f>IF(ISBLANK(A674),"",E675+1)</f>
        <v/>
      </c>
      <c r="F676" s="11" t="str">
        <f t="shared" si="788"/>
        <v/>
      </c>
      <c r="G676" s="8"/>
    </row>
    <row r="677">
      <c r="A677" s="9" t="str">
        <f t="shared" si="786"/>
        <v/>
      </c>
      <c r="B677" s="9" t="str">
        <f>IF(ISBLANK(A674),"",LEFT(B676,27)&amp;VALUE(RIGHT(B676,1)+1))</f>
        <v/>
      </c>
      <c r="C677" s="6" t="str">
        <f t="shared" ref="C677:D677" si="789">C676</f>
        <v/>
      </c>
      <c r="D677" s="6" t="str">
        <f t="shared" si="789"/>
        <v/>
      </c>
      <c r="E677" s="10" t="str">
        <f>IF(ISBLANK(A674),"",E676+1)</f>
        <v/>
      </c>
      <c r="F677" s="11" t="str">
        <f t="shared" si="788"/>
        <v/>
      </c>
      <c r="G677" s="8"/>
    </row>
    <row r="678">
      <c r="A678" s="9" t="str">
        <f t="shared" si="786"/>
        <v/>
      </c>
      <c r="B678" s="9" t="str">
        <f>IF(ISBLANK(A674),"",LEFT(B677,27)&amp;VALUE(RIGHT(B677,1)+1))</f>
        <v/>
      </c>
      <c r="C678" s="6" t="str">
        <f t="shared" ref="C678:D678" si="790">C677</f>
        <v/>
      </c>
      <c r="D678" s="6" t="str">
        <f t="shared" si="790"/>
        <v/>
      </c>
      <c r="E678" s="10" t="str">
        <f>IF(ISBLANK(A674),"",E677+1)</f>
        <v/>
      </c>
      <c r="F678" s="11" t="str">
        <f t="shared" si="788"/>
        <v/>
      </c>
      <c r="G678" s="8"/>
    </row>
    <row r="679">
      <c r="A679" s="12" t="str">
        <f t="shared" si="786"/>
        <v/>
      </c>
      <c r="B679" s="12" t="str">
        <f>IF(ISBLANK(A674),"",LEFT(B678,27)&amp;VALUE(RIGHT(B678,1)+1))</f>
        <v/>
      </c>
      <c r="C679" s="13" t="str">
        <f t="shared" ref="C679:D679" si="791">C678</f>
        <v/>
      </c>
      <c r="D679" s="13" t="str">
        <f t="shared" si="791"/>
        <v/>
      </c>
      <c r="E679" s="14" t="str">
        <f>IF(ISBLANK(A674),"",E678+1)</f>
        <v/>
      </c>
      <c r="F679" s="15" t="str">
        <f t="shared" si="788"/>
        <v/>
      </c>
      <c r="G679" s="16"/>
    </row>
    <row r="680">
      <c r="A680" s="5"/>
      <c r="B680" s="6" t="str">
        <f t="array" ref="B680">IF(ISBLANK(A680),"",IF(A680="PROREP (L)",VLOOKUP(LEFT($A680,6),'Data Feed (40C)'!$A$1:$G$10,2,FALSE),IF(A680="PROREP (S)", INDEX('Data Feed (40C)'!B:B, MATCH(LEFT($A680,6), 'Data Feed (40C)'!$A$1:$A$10, 0) + 1), VLOOKUP($A680,'Data Feed (40C)'!$A$1:$G$10,2,FALSE))))</f>
        <v/>
      </c>
      <c r="C680" s="6" t="str">
        <f t="array" ref="C680">IF(ISBLANK(A680),"",IF(A680="PROREP (L)",VLOOKUP(LEFT($A680,6),'Data Feed (40C)'!$A$1:$G$10,3,FALSE),IF(A680="PROREP (S)", INDEX('Data Feed (40C)'!C:C, MATCH(LEFT($A680,6), 'Data Feed (40C)'!$A$1:$A$10, 0) + 1, +1), VLOOKUP($A680,'Data Feed (40C)'!$A$1:$G$10,3,FALSE))))</f>
        <v/>
      </c>
      <c r="D680" s="6" t="str">
        <f t="array" ref="D680">IF(ISBLANK(A680),"",IF(A680="PROREP (L)",VLOOKUP(LEFT($A680,6),'Data Feed (40C)'!$A$1:$G$10,4,FALSE),IF(A680="PROREP (S)", INDEX('Data Feed (40C)'!D:D, MATCH(LEFT($A680,6), 'Data Feed (40C)'!$A$1:$A$10, 0) + 1, +1), VLOOKUP($A680,'Data Feed (40C)'!$A$1:$G$10,4,FALSE))))</f>
        <v/>
      </c>
      <c r="E680" s="6" t="str">
        <f t="array" ref="E680">IF(ISBLANK(A680),"",IF(A680="PROREP (L)",VLOOKUP(LEFT($A680,6),'Data Feed (40C)'!$A$1:$G$10,7,FALSE),IF(A680="PROREP (S)", INDEX('Data Feed (40C)'!G:G, MATCH(LEFT($A680,6), 'Data Feed (40C)'!$A$1:$A$10, 0) + 1, +1), VLOOKUP($A680,'Data Feed (40C)'!$A$1:$G$10,7,FALSE))))</f>
        <v/>
      </c>
      <c r="F680" s="7"/>
      <c r="G680" s="8"/>
    </row>
    <row r="681">
      <c r="A681" s="9" t="str">
        <f t="shared" ref="A681:A685" si="793">A680</f>
        <v/>
      </c>
      <c r="B681" s="9" t="str">
        <f>IF(ISBLANK(A680),"",LEFT(B680,27)&amp;VALUE(RIGHT(B680,1)+1))</f>
        <v/>
      </c>
      <c r="C681" s="6" t="str">
        <f t="shared" ref="C681:D681" si="792">C680</f>
        <v/>
      </c>
      <c r="D681" s="6" t="str">
        <f t="shared" si="792"/>
        <v/>
      </c>
      <c r="E681" s="10" t="str">
        <f>IF(ISBLANK(A680),"",E680+1)</f>
        <v/>
      </c>
      <c r="F681" s="11" t="str">
        <f t="shared" ref="F681:F685" si="795">F680</f>
        <v/>
      </c>
      <c r="G681" s="8"/>
    </row>
    <row r="682">
      <c r="A682" s="9" t="str">
        <f t="shared" si="793"/>
        <v/>
      </c>
      <c r="B682" s="9" t="str">
        <f>IF(ISBLANK(A680),"",LEFT(B681,27)&amp;VALUE(RIGHT(B681,1)+1))</f>
        <v/>
      </c>
      <c r="C682" s="6" t="str">
        <f t="shared" ref="C682:D682" si="794">C681</f>
        <v/>
      </c>
      <c r="D682" s="6" t="str">
        <f t="shared" si="794"/>
        <v/>
      </c>
      <c r="E682" s="10" t="str">
        <f>IF(ISBLANK(A680),"",E681+1)</f>
        <v/>
      </c>
      <c r="F682" s="11" t="str">
        <f t="shared" si="795"/>
        <v/>
      </c>
      <c r="G682" s="8"/>
    </row>
    <row r="683">
      <c r="A683" s="9" t="str">
        <f t="shared" si="793"/>
        <v/>
      </c>
      <c r="B683" s="9" t="str">
        <f>IF(ISBLANK(A680),"",LEFT(B682,27)&amp;VALUE(RIGHT(B682,1)+1))</f>
        <v/>
      </c>
      <c r="C683" s="6" t="str">
        <f t="shared" ref="C683:D683" si="796">C682</f>
        <v/>
      </c>
      <c r="D683" s="6" t="str">
        <f t="shared" si="796"/>
        <v/>
      </c>
      <c r="E683" s="10" t="str">
        <f>IF(ISBLANK(A680),"",E682+1)</f>
        <v/>
      </c>
      <c r="F683" s="11" t="str">
        <f t="shared" si="795"/>
        <v/>
      </c>
      <c r="G683" s="8"/>
    </row>
    <row r="684">
      <c r="A684" s="9" t="str">
        <f t="shared" si="793"/>
        <v/>
      </c>
      <c r="B684" s="9" t="str">
        <f>IF(ISBLANK(A680),"",LEFT(B683,27)&amp;VALUE(RIGHT(B683,1)+1))</f>
        <v/>
      </c>
      <c r="C684" s="6" t="str">
        <f t="shared" ref="C684:D684" si="797">C683</f>
        <v/>
      </c>
      <c r="D684" s="6" t="str">
        <f t="shared" si="797"/>
        <v/>
      </c>
      <c r="E684" s="10" t="str">
        <f>IF(ISBLANK(A680),"",E683+1)</f>
        <v/>
      </c>
      <c r="F684" s="11" t="str">
        <f t="shared" si="795"/>
        <v/>
      </c>
      <c r="G684" s="8"/>
    </row>
    <row r="685">
      <c r="A685" s="12" t="str">
        <f t="shared" si="793"/>
        <v/>
      </c>
      <c r="B685" s="12" t="str">
        <f>IF(ISBLANK(A680),"",LEFT(B684,27)&amp;VALUE(RIGHT(B684,1)+1))</f>
        <v/>
      </c>
      <c r="C685" s="13" t="str">
        <f t="shared" ref="C685:D685" si="798">C684</f>
        <v/>
      </c>
      <c r="D685" s="13" t="str">
        <f t="shared" si="798"/>
        <v/>
      </c>
      <c r="E685" s="14" t="str">
        <f>IF(ISBLANK(A680),"",E684+1)</f>
        <v/>
      </c>
      <c r="F685" s="15" t="str">
        <f t="shared" si="795"/>
        <v/>
      </c>
      <c r="G685" s="16"/>
    </row>
    <row r="686">
      <c r="A686" s="5"/>
      <c r="B686" s="6" t="str">
        <f t="array" ref="B686">IF(ISBLANK(A686),"",IF(A686="PROREP (L)",VLOOKUP(LEFT($A686,6),'Data Feed (40C)'!$A$1:$G$10,2,FALSE),IF(A686="PROREP (S)", INDEX('Data Feed (40C)'!B:B, MATCH(LEFT($A686,6), 'Data Feed (40C)'!$A$1:$A$10, 0) + 1), VLOOKUP($A686,'Data Feed (40C)'!$A$1:$G$10,2,FALSE))))</f>
        <v/>
      </c>
      <c r="C686" s="6" t="str">
        <f t="array" ref="C686">IF(ISBLANK(A686),"",IF(A686="PROREP (L)",VLOOKUP(LEFT($A686,6),'Data Feed (40C)'!$A$1:$G$10,3,FALSE),IF(A686="PROREP (S)", INDEX('Data Feed (40C)'!C:C, MATCH(LEFT($A686,6), 'Data Feed (40C)'!$A$1:$A$10, 0) + 1, +1), VLOOKUP($A686,'Data Feed (40C)'!$A$1:$G$10,3,FALSE))))</f>
        <v/>
      </c>
      <c r="D686" s="6" t="str">
        <f t="array" ref="D686">IF(ISBLANK(A686),"",IF(A686="PROREP (L)",VLOOKUP(LEFT($A686,6),'Data Feed (40C)'!$A$1:$G$10,4,FALSE),IF(A686="PROREP (S)", INDEX('Data Feed (40C)'!D:D, MATCH(LEFT($A686,6), 'Data Feed (40C)'!$A$1:$A$10, 0) + 1, +1), VLOOKUP($A686,'Data Feed (40C)'!$A$1:$G$10,4,FALSE))))</f>
        <v/>
      </c>
      <c r="E686" s="6" t="str">
        <f t="array" ref="E686">IF(ISBLANK(A686),"",IF(A686="PROREP (L)",VLOOKUP(LEFT($A686,6),'Data Feed (40C)'!$A$1:$G$10,7,FALSE),IF(A686="PROREP (S)", INDEX('Data Feed (40C)'!G:G, MATCH(LEFT($A686,6), 'Data Feed (40C)'!$A$1:$A$10, 0) + 1, +1), VLOOKUP($A686,'Data Feed (40C)'!$A$1:$G$10,7,FALSE))))</f>
        <v/>
      </c>
      <c r="F686" s="7"/>
      <c r="G686" s="8"/>
    </row>
    <row r="687">
      <c r="A687" s="9" t="str">
        <f t="shared" ref="A687:A691" si="800">A686</f>
        <v/>
      </c>
      <c r="B687" s="9" t="str">
        <f>IF(ISBLANK(A686),"",LEFT(B686,27)&amp;VALUE(RIGHT(B686,1)+1))</f>
        <v/>
      </c>
      <c r="C687" s="6" t="str">
        <f t="shared" ref="C687:D687" si="799">C686</f>
        <v/>
      </c>
      <c r="D687" s="6" t="str">
        <f t="shared" si="799"/>
        <v/>
      </c>
      <c r="E687" s="10" t="str">
        <f>IF(ISBLANK(A686),"",E686+1)</f>
        <v/>
      </c>
      <c r="F687" s="11" t="str">
        <f t="shared" ref="F687:F691" si="802">F686</f>
        <v/>
      </c>
      <c r="G687" s="8"/>
    </row>
    <row r="688">
      <c r="A688" s="9" t="str">
        <f t="shared" si="800"/>
        <v/>
      </c>
      <c r="B688" s="9" t="str">
        <f>IF(ISBLANK(A686),"",LEFT(B687,27)&amp;VALUE(RIGHT(B687,1)+1))</f>
        <v/>
      </c>
      <c r="C688" s="6" t="str">
        <f t="shared" ref="C688:D688" si="801">C687</f>
        <v/>
      </c>
      <c r="D688" s="6" t="str">
        <f t="shared" si="801"/>
        <v/>
      </c>
      <c r="E688" s="10" t="str">
        <f>IF(ISBLANK(A686),"",E687+1)</f>
        <v/>
      </c>
      <c r="F688" s="11" t="str">
        <f t="shared" si="802"/>
        <v/>
      </c>
      <c r="G688" s="8"/>
    </row>
    <row r="689">
      <c r="A689" s="9" t="str">
        <f t="shared" si="800"/>
        <v/>
      </c>
      <c r="B689" s="9" t="str">
        <f>IF(ISBLANK(A686),"",LEFT(B688,27)&amp;VALUE(RIGHT(B688,1)+1))</f>
        <v/>
      </c>
      <c r="C689" s="6" t="str">
        <f t="shared" ref="C689:D689" si="803">C688</f>
        <v/>
      </c>
      <c r="D689" s="6" t="str">
        <f t="shared" si="803"/>
        <v/>
      </c>
      <c r="E689" s="10" t="str">
        <f>IF(ISBLANK(A686),"",E688+1)</f>
        <v/>
      </c>
      <c r="F689" s="11" t="str">
        <f t="shared" si="802"/>
        <v/>
      </c>
      <c r="G689" s="8"/>
    </row>
    <row r="690">
      <c r="A690" s="9" t="str">
        <f t="shared" si="800"/>
        <v/>
      </c>
      <c r="B690" s="9" t="str">
        <f>IF(ISBLANK(A686),"",LEFT(B689,27)&amp;VALUE(RIGHT(B689,1)+1))</f>
        <v/>
      </c>
      <c r="C690" s="6" t="str">
        <f t="shared" ref="C690:D690" si="804">C689</f>
        <v/>
      </c>
      <c r="D690" s="6" t="str">
        <f t="shared" si="804"/>
        <v/>
      </c>
      <c r="E690" s="10" t="str">
        <f>IF(ISBLANK(A686),"",E689+1)</f>
        <v/>
      </c>
      <c r="F690" s="11" t="str">
        <f t="shared" si="802"/>
        <v/>
      </c>
      <c r="G690" s="8"/>
    </row>
    <row r="691">
      <c r="A691" s="12" t="str">
        <f t="shared" si="800"/>
        <v/>
      </c>
      <c r="B691" s="12" t="str">
        <f>IF(ISBLANK(A686),"",LEFT(B690,27)&amp;VALUE(RIGHT(B690,1)+1))</f>
        <v/>
      </c>
      <c r="C691" s="13" t="str">
        <f t="shared" ref="C691:D691" si="805">C690</f>
        <v/>
      </c>
      <c r="D691" s="13" t="str">
        <f t="shared" si="805"/>
        <v/>
      </c>
      <c r="E691" s="14" t="str">
        <f>IF(ISBLANK(A686),"",E690+1)</f>
        <v/>
      </c>
      <c r="F691" s="15" t="str">
        <f t="shared" si="802"/>
        <v/>
      </c>
      <c r="G691" s="16"/>
    </row>
    <row r="692">
      <c r="A692" s="5"/>
      <c r="B692" s="6" t="str">
        <f t="array" ref="B692">IF(ISBLANK(A692),"",IF(A692="PROREP (L)",VLOOKUP(LEFT($A692,6),'Data Feed (40C)'!$A$1:$G$10,2,FALSE),IF(A692="PROREP (S)", INDEX('Data Feed (40C)'!B:B, MATCH(LEFT($A692,6), 'Data Feed (40C)'!$A$1:$A$10, 0) + 1), VLOOKUP($A692,'Data Feed (40C)'!$A$1:$G$10,2,FALSE))))</f>
        <v/>
      </c>
      <c r="C692" s="6" t="str">
        <f t="array" ref="C692">IF(ISBLANK(A692),"",IF(A692="PROREP (L)",VLOOKUP(LEFT($A692,6),'Data Feed (40C)'!$A$1:$G$10,3,FALSE),IF(A692="PROREP (S)", INDEX('Data Feed (40C)'!C:C, MATCH(LEFT($A692,6), 'Data Feed (40C)'!$A$1:$A$10, 0) + 1, +1), VLOOKUP($A692,'Data Feed (40C)'!$A$1:$G$10,3,FALSE))))</f>
        <v/>
      </c>
      <c r="D692" s="6" t="str">
        <f t="array" ref="D692">IF(ISBLANK(A692),"",IF(A692="PROREP (L)",VLOOKUP(LEFT($A692,6),'Data Feed (40C)'!$A$1:$G$10,4,FALSE),IF(A692="PROREP (S)", INDEX('Data Feed (40C)'!D:D, MATCH(LEFT($A692,6), 'Data Feed (40C)'!$A$1:$A$10, 0) + 1, +1), VLOOKUP($A692,'Data Feed (40C)'!$A$1:$G$10,4,FALSE))))</f>
        <v/>
      </c>
      <c r="E692" s="6" t="str">
        <f t="array" ref="E692">IF(ISBLANK(A692),"",IF(A692="PROREP (L)",VLOOKUP(LEFT($A692,6),'Data Feed (40C)'!$A$1:$G$10,7,FALSE),IF(A692="PROREP (S)", INDEX('Data Feed (40C)'!G:G, MATCH(LEFT($A692,6), 'Data Feed (40C)'!$A$1:$A$10, 0) + 1, +1), VLOOKUP($A692,'Data Feed (40C)'!$A$1:$G$10,7,FALSE))))</f>
        <v/>
      </c>
      <c r="F692" s="7"/>
      <c r="G692" s="8"/>
    </row>
    <row r="693">
      <c r="A693" s="9" t="str">
        <f t="shared" ref="A693:A697" si="807">A692</f>
        <v/>
      </c>
      <c r="B693" s="9" t="str">
        <f>IF(ISBLANK(A692),"",LEFT(B692,27)&amp;VALUE(RIGHT(B692,1)+1))</f>
        <v/>
      </c>
      <c r="C693" s="6" t="str">
        <f t="shared" ref="C693:D693" si="806">C692</f>
        <v/>
      </c>
      <c r="D693" s="6" t="str">
        <f t="shared" si="806"/>
        <v/>
      </c>
      <c r="E693" s="10" t="str">
        <f>IF(ISBLANK(A692),"",E692+1)</f>
        <v/>
      </c>
      <c r="F693" s="11" t="str">
        <f t="shared" ref="F693:F697" si="809">F692</f>
        <v/>
      </c>
      <c r="G693" s="8"/>
    </row>
    <row r="694">
      <c r="A694" s="9" t="str">
        <f t="shared" si="807"/>
        <v/>
      </c>
      <c r="B694" s="9" t="str">
        <f>IF(ISBLANK(A692),"",LEFT(B693,27)&amp;VALUE(RIGHT(B693,1)+1))</f>
        <v/>
      </c>
      <c r="C694" s="6" t="str">
        <f t="shared" ref="C694:D694" si="808">C693</f>
        <v/>
      </c>
      <c r="D694" s="6" t="str">
        <f t="shared" si="808"/>
        <v/>
      </c>
      <c r="E694" s="10" t="str">
        <f>IF(ISBLANK(A692),"",E693+1)</f>
        <v/>
      </c>
      <c r="F694" s="11" t="str">
        <f t="shared" si="809"/>
        <v/>
      </c>
      <c r="G694" s="8"/>
    </row>
    <row r="695">
      <c r="A695" s="9" t="str">
        <f t="shared" si="807"/>
        <v/>
      </c>
      <c r="B695" s="9" t="str">
        <f>IF(ISBLANK(A692),"",LEFT(B694,27)&amp;VALUE(RIGHT(B694,1)+1))</f>
        <v/>
      </c>
      <c r="C695" s="6" t="str">
        <f t="shared" ref="C695:D695" si="810">C694</f>
        <v/>
      </c>
      <c r="D695" s="6" t="str">
        <f t="shared" si="810"/>
        <v/>
      </c>
      <c r="E695" s="10" t="str">
        <f>IF(ISBLANK(A692),"",E694+1)</f>
        <v/>
      </c>
      <c r="F695" s="11" t="str">
        <f t="shared" si="809"/>
        <v/>
      </c>
      <c r="G695" s="8"/>
    </row>
    <row r="696">
      <c r="A696" s="9" t="str">
        <f t="shared" si="807"/>
        <v/>
      </c>
      <c r="B696" s="9" t="str">
        <f>IF(ISBLANK(A692),"",LEFT(B695,27)&amp;VALUE(RIGHT(B695,1)+1))</f>
        <v/>
      </c>
      <c r="C696" s="6" t="str">
        <f t="shared" ref="C696:D696" si="811">C695</f>
        <v/>
      </c>
      <c r="D696" s="6" t="str">
        <f t="shared" si="811"/>
        <v/>
      </c>
      <c r="E696" s="10" t="str">
        <f>IF(ISBLANK(A692),"",E695+1)</f>
        <v/>
      </c>
      <c r="F696" s="11" t="str">
        <f t="shared" si="809"/>
        <v/>
      </c>
      <c r="G696" s="8"/>
    </row>
    <row r="697">
      <c r="A697" s="12" t="str">
        <f t="shared" si="807"/>
        <v/>
      </c>
      <c r="B697" s="12" t="str">
        <f>IF(ISBLANK(A692),"",LEFT(B696,27)&amp;VALUE(RIGHT(B696,1)+1))</f>
        <v/>
      </c>
      <c r="C697" s="13" t="str">
        <f t="shared" ref="C697:D697" si="812">C696</f>
        <v/>
      </c>
      <c r="D697" s="13" t="str">
        <f t="shared" si="812"/>
        <v/>
      </c>
      <c r="E697" s="14" t="str">
        <f>IF(ISBLANK(A692),"",E696+1)</f>
        <v/>
      </c>
      <c r="F697" s="15" t="str">
        <f t="shared" si="809"/>
        <v/>
      </c>
      <c r="G697" s="16"/>
    </row>
    <row r="698">
      <c r="A698" s="5"/>
      <c r="B698" s="6" t="str">
        <f t="array" ref="B698">IF(ISBLANK(A698),"",IF(A698="PROREP (L)",VLOOKUP(LEFT($A698,6),'Data Feed (40C)'!$A$1:$G$10,2,FALSE),IF(A698="PROREP (S)", INDEX('Data Feed (40C)'!B:B, MATCH(LEFT($A698,6), 'Data Feed (40C)'!$A$1:$A$10, 0) + 1), VLOOKUP($A698,'Data Feed (40C)'!$A$1:$G$10,2,FALSE))))</f>
        <v/>
      </c>
      <c r="C698" s="6" t="str">
        <f t="array" ref="C698">IF(ISBLANK(A698),"",IF(A698="PROREP (L)",VLOOKUP(LEFT($A698,6),'Data Feed (40C)'!$A$1:$G$10,3,FALSE),IF(A698="PROREP (S)", INDEX('Data Feed (40C)'!C:C, MATCH(LEFT($A698,6), 'Data Feed (40C)'!$A$1:$A$10, 0) + 1, +1), VLOOKUP($A698,'Data Feed (40C)'!$A$1:$G$10,3,FALSE))))</f>
        <v/>
      </c>
      <c r="D698" s="6" t="str">
        <f t="array" ref="D698">IF(ISBLANK(A698),"",IF(A698="PROREP (L)",VLOOKUP(LEFT($A698,6),'Data Feed (40C)'!$A$1:$G$10,4,FALSE),IF(A698="PROREP (S)", INDEX('Data Feed (40C)'!D:D, MATCH(LEFT($A698,6), 'Data Feed (40C)'!$A$1:$A$10, 0) + 1, +1), VLOOKUP($A698,'Data Feed (40C)'!$A$1:$G$10,4,FALSE))))</f>
        <v/>
      </c>
      <c r="E698" s="6" t="str">
        <f t="array" ref="E698">IF(ISBLANK(A698),"",IF(A698="PROREP (L)",VLOOKUP(LEFT($A698,6),'Data Feed (40C)'!$A$1:$G$10,7,FALSE),IF(A698="PROREP (S)", INDEX('Data Feed (40C)'!G:G, MATCH(LEFT($A698,6), 'Data Feed (40C)'!$A$1:$A$10, 0) + 1, +1), VLOOKUP($A698,'Data Feed (40C)'!$A$1:$G$10,7,FALSE))))</f>
        <v/>
      </c>
      <c r="F698" s="7"/>
      <c r="G698" s="8"/>
    </row>
    <row r="699">
      <c r="A699" s="9" t="str">
        <f t="shared" ref="A699:A703" si="814">A698</f>
        <v/>
      </c>
      <c r="B699" s="9" t="str">
        <f>IF(ISBLANK(A698),"",LEFT(B698,27)&amp;VALUE(RIGHT(B698,1)+1))</f>
        <v/>
      </c>
      <c r="C699" s="6" t="str">
        <f t="shared" ref="C699:D699" si="813">C698</f>
        <v/>
      </c>
      <c r="D699" s="6" t="str">
        <f t="shared" si="813"/>
        <v/>
      </c>
      <c r="E699" s="10" t="str">
        <f>IF(ISBLANK(A698),"",E698+1)</f>
        <v/>
      </c>
      <c r="F699" s="11" t="str">
        <f t="shared" ref="F699:F703" si="816">F698</f>
        <v/>
      </c>
      <c r="G699" s="8"/>
    </row>
    <row r="700">
      <c r="A700" s="9" t="str">
        <f t="shared" si="814"/>
        <v/>
      </c>
      <c r="B700" s="9" t="str">
        <f>IF(ISBLANK(A698),"",LEFT(B699,27)&amp;VALUE(RIGHT(B699,1)+1))</f>
        <v/>
      </c>
      <c r="C700" s="6" t="str">
        <f t="shared" ref="C700:D700" si="815">C699</f>
        <v/>
      </c>
      <c r="D700" s="6" t="str">
        <f t="shared" si="815"/>
        <v/>
      </c>
      <c r="E700" s="10" t="str">
        <f>IF(ISBLANK(A698),"",E699+1)</f>
        <v/>
      </c>
      <c r="F700" s="11" t="str">
        <f t="shared" si="816"/>
        <v/>
      </c>
      <c r="G700" s="8"/>
    </row>
    <row r="701">
      <c r="A701" s="9" t="str">
        <f t="shared" si="814"/>
        <v/>
      </c>
      <c r="B701" s="9" t="str">
        <f>IF(ISBLANK(A698),"",LEFT(B700,27)&amp;VALUE(RIGHT(B700,1)+1))</f>
        <v/>
      </c>
      <c r="C701" s="6" t="str">
        <f t="shared" ref="C701:D701" si="817">C700</f>
        <v/>
      </c>
      <c r="D701" s="6" t="str">
        <f t="shared" si="817"/>
        <v/>
      </c>
      <c r="E701" s="10" t="str">
        <f>IF(ISBLANK(A698),"",E700+1)</f>
        <v/>
      </c>
      <c r="F701" s="11" t="str">
        <f t="shared" si="816"/>
        <v/>
      </c>
      <c r="G701" s="8"/>
    </row>
    <row r="702">
      <c r="A702" s="9" t="str">
        <f t="shared" si="814"/>
        <v/>
      </c>
      <c r="B702" s="9" t="str">
        <f>IF(ISBLANK(A698),"",LEFT(B701,27)&amp;VALUE(RIGHT(B701,1)+1))</f>
        <v/>
      </c>
      <c r="C702" s="6" t="str">
        <f t="shared" ref="C702:D702" si="818">C701</f>
        <v/>
      </c>
      <c r="D702" s="6" t="str">
        <f t="shared" si="818"/>
        <v/>
      </c>
      <c r="E702" s="10" t="str">
        <f>IF(ISBLANK(A698),"",E701+1)</f>
        <v/>
      </c>
      <c r="F702" s="11" t="str">
        <f t="shared" si="816"/>
        <v/>
      </c>
      <c r="G702" s="8"/>
    </row>
    <row r="703">
      <c r="A703" s="12" t="str">
        <f t="shared" si="814"/>
        <v/>
      </c>
      <c r="B703" s="12" t="str">
        <f>IF(ISBLANK(A698),"",LEFT(B702,27)&amp;VALUE(RIGHT(B702,1)+1))</f>
        <v/>
      </c>
      <c r="C703" s="13" t="str">
        <f t="shared" ref="C703:D703" si="819">C702</f>
        <v/>
      </c>
      <c r="D703" s="13" t="str">
        <f t="shared" si="819"/>
        <v/>
      </c>
      <c r="E703" s="14" t="str">
        <f>IF(ISBLANK(A698),"",E702+1)</f>
        <v/>
      </c>
      <c r="F703" s="15" t="str">
        <f t="shared" si="816"/>
        <v/>
      </c>
      <c r="G703" s="16"/>
    </row>
    <row r="704">
      <c r="A704" s="5"/>
      <c r="B704" s="6" t="str">
        <f t="array" ref="B704">IF(ISBLANK(A704),"",IF(A704="PROREP (L)",VLOOKUP(LEFT($A704,6),'Data Feed (40C)'!$A$1:$G$10,2,FALSE),IF(A704="PROREP (S)", INDEX('Data Feed (40C)'!B:B, MATCH(LEFT($A704,6), 'Data Feed (40C)'!$A$1:$A$10, 0) + 1), VLOOKUP($A704,'Data Feed (40C)'!$A$1:$G$10,2,FALSE))))</f>
        <v/>
      </c>
      <c r="C704" s="6" t="str">
        <f t="array" ref="C704">IF(ISBLANK(A704),"",IF(A704="PROREP (L)",VLOOKUP(LEFT($A704,6),'Data Feed (40C)'!$A$1:$G$10,3,FALSE),IF(A704="PROREP (S)", INDEX('Data Feed (40C)'!C:C, MATCH(LEFT($A704,6), 'Data Feed (40C)'!$A$1:$A$10, 0) + 1, +1), VLOOKUP($A704,'Data Feed (40C)'!$A$1:$G$10,3,FALSE))))</f>
        <v/>
      </c>
      <c r="D704" s="6" t="str">
        <f t="array" ref="D704">IF(ISBLANK(A704),"",IF(A704="PROREP (L)",VLOOKUP(LEFT($A704,6),'Data Feed (40C)'!$A$1:$G$10,4,FALSE),IF(A704="PROREP (S)", INDEX('Data Feed (40C)'!D:D, MATCH(LEFT($A704,6), 'Data Feed (40C)'!$A$1:$A$10, 0) + 1, +1), VLOOKUP($A704,'Data Feed (40C)'!$A$1:$G$10,4,FALSE))))</f>
        <v/>
      </c>
      <c r="E704" s="6" t="str">
        <f t="array" ref="E704">IF(ISBLANK(A704),"",IF(A704="PROREP (L)",VLOOKUP(LEFT($A704,6),'Data Feed (40C)'!$A$1:$G$10,7,FALSE),IF(A704="PROREP (S)", INDEX('Data Feed (40C)'!G:G, MATCH(LEFT($A704,6), 'Data Feed (40C)'!$A$1:$A$10, 0) + 1, +1), VLOOKUP($A704,'Data Feed (40C)'!$A$1:$G$10,7,FALSE))))</f>
        <v/>
      </c>
      <c r="F704" s="7"/>
      <c r="G704" s="8"/>
    </row>
    <row r="705">
      <c r="A705" s="9" t="str">
        <f t="shared" ref="A705:A709" si="821">A704</f>
        <v/>
      </c>
      <c r="B705" s="9" t="str">
        <f>IF(ISBLANK(A704),"",LEFT(B704,27)&amp;VALUE(RIGHT(B704,1)+1))</f>
        <v/>
      </c>
      <c r="C705" s="6" t="str">
        <f t="shared" ref="C705:D705" si="820">C704</f>
        <v/>
      </c>
      <c r="D705" s="6" t="str">
        <f t="shared" si="820"/>
        <v/>
      </c>
      <c r="E705" s="10" t="str">
        <f>IF(ISBLANK(A704),"",E704+1)</f>
        <v/>
      </c>
      <c r="F705" s="11" t="str">
        <f t="shared" ref="F705:F709" si="823">F704</f>
        <v/>
      </c>
      <c r="G705" s="8"/>
    </row>
    <row r="706">
      <c r="A706" s="9" t="str">
        <f t="shared" si="821"/>
        <v/>
      </c>
      <c r="B706" s="9" t="str">
        <f>IF(ISBLANK(A704),"",LEFT(B705,27)&amp;VALUE(RIGHT(B705,1)+1))</f>
        <v/>
      </c>
      <c r="C706" s="6" t="str">
        <f t="shared" ref="C706:D706" si="822">C705</f>
        <v/>
      </c>
      <c r="D706" s="6" t="str">
        <f t="shared" si="822"/>
        <v/>
      </c>
      <c r="E706" s="10" t="str">
        <f>IF(ISBLANK(A704),"",E705+1)</f>
        <v/>
      </c>
      <c r="F706" s="11" t="str">
        <f t="shared" si="823"/>
        <v/>
      </c>
      <c r="G706" s="8"/>
    </row>
    <row r="707">
      <c r="A707" s="9" t="str">
        <f t="shared" si="821"/>
        <v/>
      </c>
      <c r="B707" s="9" t="str">
        <f>IF(ISBLANK(A704),"",LEFT(B706,27)&amp;VALUE(RIGHT(B706,1)+1))</f>
        <v/>
      </c>
      <c r="C707" s="6" t="str">
        <f t="shared" ref="C707:D707" si="824">C706</f>
        <v/>
      </c>
      <c r="D707" s="6" t="str">
        <f t="shared" si="824"/>
        <v/>
      </c>
      <c r="E707" s="10" t="str">
        <f>IF(ISBLANK(A704),"",E706+1)</f>
        <v/>
      </c>
      <c r="F707" s="11" t="str">
        <f t="shared" si="823"/>
        <v/>
      </c>
      <c r="G707" s="8"/>
    </row>
    <row r="708">
      <c r="A708" s="9" t="str">
        <f t="shared" si="821"/>
        <v/>
      </c>
      <c r="B708" s="9" t="str">
        <f>IF(ISBLANK(A704),"",LEFT(B707,27)&amp;VALUE(RIGHT(B707,1)+1))</f>
        <v/>
      </c>
      <c r="C708" s="6" t="str">
        <f t="shared" ref="C708:D708" si="825">C707</f>
        <v/>
      </c>
      <c r="D708" s="6" t="str">
        <f t="shared" si="825"/>
        <v/>
      </c>
      <c r="E708" s="10" t="str">
        <f>IF(ISBLANK(A704),"",E707+1)</f>
        <v/>
      </c>
      <c r="F708" s="11" t="str">
        <f t="shared" si="823"/>
        <v/>
      </c>
      <c r="G708" s="8"/>
    </row>
    <row r="709">
      <c r="A709" s="12" t="str">
        <f t="shared" si="821"/>
        <v/>
      </c>
      <c r="B709" s="12" t="str">
        <f>IF(ISBLANK(A704),"",LEFT(B708,27)&amp;VALUE(RIGHT(B708,1)+1))</f>
        <v/>
      </c>
      <c r="C709" s="13" t="str">
        <f t="shared" ref="C709:D709" si="826">C708</f>
        <v/>
      </c>
      <c r="D709" s="13" t="str">
        <f t="shared" si="826"/>
        <v/>
      </c>
      <c r="E709" s="14" t="str">
        <f>IF(ISBLANK(A704),"",E708+1)</f>
        <v/>
      </c>
      <c r="F709" s="15" t="str">
        <f t="shared" si="823"/>
        <v/>
      </c>
      <c r="G709" s="16"/>
    </row>
    <row r="710">
      <c r="A710" s="5"/>
      <c r="B710" s="6" t="str">
        <f t="array" ref="B710">IF(ISBLANK(A710),"",IF(A710="PROREP (L)",VLOOKUP(LEFT($A710,6),'Data Feed (40C)'!$A$1:$G$10,2,FALSE),IF(A710="PROREP (S)", INDEX('Data Feed (40C)'!B:B, MATCH(LEFT($A710,6), 'Data Feed (40C)'!$A$1:$A$10, 0) + 1), VLOOKUP($A710,'Data Feed (40C)'!$A$1:$G$10,2,FALSE))))</f>
        <v/>
      </c>
      <c r="C710" s="6" t="str">
        <f t="array" ref="C710">IF(ISBLANK(A710),"",IF(A710="PROREP (L)",VLOOKUP(LEFT($A710,6),'Data Feed (40C)'!$A$1:$G$10,3,FALSE),IF(A710="PROREP (S)", INDEX('Data Feed (40C)'!C:C, MATCH(LEFT($A710,6), 'Data Feed (40C)'!$A$1:$A$10, 0) + 1, +1), VLOOKUP($A710,'Data Feed (40C)'!$A$1:$G$10,3,FALSE))))</f>
        <v/>
      </c>
      <c r="D710" s="6" t="str">
        <f t="array" ref="D710">IF(ISBLANK(A710),"",IF(A710="PROREP (L)",VLOOKUP(LEFT($A710,6),'Data Feed (40C)'!$A$1:$G$10,4,FALSE),IF(A710="PROREP (S)", INDEX('Data Feed (40C)'!D:D, MATCH(LEFT($A710,6), 'Data Feed (40C)'!$A$1:$A$10, 0) + 1, +1), VLOOKUP($A710,'Data Feed (40C)'!$A$1:$G$10,4,FALSE))))</f>
        <v/>
      </c>
      <c r="E710" s="6" t="str">
        <f t="array" ref="E710">IF(ISBLANK(A710),"",IF(A710="PROREP (L)",VLOOKUP(LEFT($A710,6),'Data Feed (40C)'!$A$1:$G$10,7,FALSE),IF(A710="PROREP (S)", INDEX('Data Feed (40C)'!G:G, MATCH(LEFT($A710,6), 'Data Feed (40C)'!$A$1:$A$10, 0) + 1, +1), VLOOKUP($A710,'Data Feed (40C)'!$A$1:$G$10,7,FALSE))))</f>
        <v/>
      </c>
      <c r="F710" s="7"/>
      <c r="G710" s="8"/>
    </row>
    <row r="711">
      <c r="A711" s="9" t="str">
        <f t="shared" ref="A711:A715" si="828">A710</f>
        <v/>
      </c>
      <c r="B711" s="9" t="str">
        <f>IF(ISBLANK(A710),"",LEFT(B710,27)&amp;VALUE(RIGHT(B710,1)+1))</f>
        <v/>
      </c>
      <c r="C711" s="6" t="str">
        <f t="shared" ref="C711:D711" si="827">C710</f>
        <v/>
      </c>
      <c r="D711" s="6" t="str">
        <f t="shared" si="827"/>
        <v/>
      </c>
      <c r="E711" s="10" t="str">
        <f>IF(ISBLANK(A710),"",E710+1)</f>
        <v/>
      </c>
      <c r="F711" s="11" t="str">
        <f t="shared" ref="F711:F715" si="830">F710</f>
        <v/>
      </c>
      <c r="G711" s="8"/>
    </row>
    <row r="712">
      <c r="A712" s="9" t="str">
        <f t="shared" si="828"/>
        <v/>
      </c>
      <c r="B712" s="9" t="str">
        <f>IF(ISBLANK(A710),"",LEFT(B711,27)&amp;VALUE(RIGHT(B711,1)+1))</f>
        <v/>
      </c>
      <c r="C712" s="6" t="str">
        <f t="shared" ref="C712:D712" si="829">C711</f>
        <v/>
      </c>
      <c r="D712" s="6" t="str">
        <f t="shared" si="829"/>
        <v/>
      </c>
      <c r="E712" s="10" t="str">
        <f>IF(ISBLANK(A710),"",E711+1)</f>
        <v/>
      </c>
      <c r="F712" s="11" t="str">
        <f t="shared" si="830"/>
        <v/>
      </c>
      <c r="G712" s="8"/>
    </row>
    <row r="713">
      <c r="A713" s="9" t="str">
        <f t="shared" si="828"/>
        <v/>
      </c>
      <c r="B713" s="9" t="str">
        <f>IF(ISBLANK(A710),"",LEFT(B712,27)&amp;VALUE(RIGHT(B712,1)+1))</f>
        <v/>
      </c>
      <c r="C713" s="6" t="str">
        <f t="shared" ref="C713:D713" si="831">C712</f>
        <v/>
      </c>
      <c r="D713" s="6" t="str">
        <f t="shared" si="831"/>
        <v/>
      </c>
      <c r="E713" s="10" t="str">
        <f>IF(ISBLANK(A710),"",E712+1)</f>
        <v/>
      </c>
      <c r="F713" s="11" t="str">
        <f t="shared" si="830"/>
        <v/>
      </c>
      <c r="G713" s="8"/>
    </row>
    <row r="714">
      <c r="A714" s="9" t="str">
        <f t="shared" si="828"/>
        <v/>
      </c>
      <c r="B714" s="9" t="str">
        <f>IF(ISBLANK(A710),"",LEFT(B713,27)&amp;VALUE(RIGHT(B713,1)+1))</f>
        <v/>
      </c>
      <c r="C714" s="6" t="str">
        <f t="shared" ref="C714:D714" si="832">C713</f>
        <v/>
      </c>
      <c r="D714" s="6" t="str">
        <f t="shared" si="832"/>
        <v/>
      </c>
      <c r="E714" s="10" t="str">
        <f>IF(ISBLANK(A710),"",E713+1)</f>
        <v/>
      </c>
      <c r="F714" s="11" t="str">
        <f t="shared" si="830"/>
        <v/>
      </c>
      <c r="G714" s="8"/>
    </row>
    <row r="715">
      <c r="A715" s="12" t="str">
        <f t="shared" si="828"/>
        <v/>
      </c>
      <c r="B715" s="12" t="str">
        <f>IF(ISBLANK(A710),"",LEFT(B714,27)&amp;VALUE(RIGHT(B714,1)+1))</f>
        <v/>
      </c>
      <c r="C715" s="13" t="str">
        <f t="shared" ref="C715:D715" si="833">C714</f>
        <v/>
      </c>
      <c r="D715" s="13" t="str">
        <f t="shared" si="833"/>
        <v/>
      </c>
      <c r="E715" s="14" t="str">
        <f>IF(ISBLANK(A710),"",E714+1)</f>
        <v/>
      </c>
      <c r="F715" s="15" t="str">
        <f t="shared" si="830"/>
        <v/>
      </c>
      <c r="G715" s="16"/>
    </row>
    <row r="716">
      <c r="A716" s="5"/>
      <c r="B716" s="6" t="str">
        <f t="array" ref="B716">IF(ISBLANK(A716),"",IF(A716="PROREP (L)",VLOOKUP(LEFT($A716,6),'Data Feed (40C)'!$A$1:$G$10,2,FALSE),IF(A716="PROREP (S)", INDEX('Data Feed (40C)'!B:B, MATCH(LEFT($A716,6), 'Data Feed (40C)'!$A$1:$A$10, 0) + 1), VLOOKUP($A716,'Data Feed (40C)'!$A$1:$G$10,2,FALSE))))</f>
        <v/>
      </c>
      <c r="C716" s="6" t="str">
        <f t="array" ref="C716">IF(ISBLANK(A716),"",IF(A716="PROREP (L)",VLOOKUP(LEFT($A716,6),'Data Feed (40C)'!$A$1:$G$10,3,FALSE),IF(A716="PROREP (S)", INDEX('Data Feed (40C)'!C:C, MATCH(LEFT($A716,6), 'Data Feed (40C)'!$A$1:$A$10, 0) + 1, +1), VLOOKUP($A716,'Data Feed (40C)'!$A$1:$G$10,3,FALSE))))</f>
        <v/>
      </c>
      <c r="D716" s="6" t="str">
        <f t="array" ref="D716">IF(ISBLANK(A716),"",IF(A716="PROREP (L)",VLOOKUP(LEFT($A716,6),'Data Feed (40C)'!$A$1:$G$10,4,FALSE),IF(A716="PROREP (S)", INDEX('Data Feed (40C)'!D:D, MATCH(LEFT($A716,6), 'Data Feed (40C)'!$A$1:$A$10, 0) + 1, +1), VLOOKUP($A716,'Data Feed (40C)'!$A$1:$G$10,4,FALSE))))</f>
        <v/>
      </c>
      <c r="E716" s="6" t="str">
        <f t="array" ref="E716">IF(ISBLANK(A716),"",IF(A716="PROREP (L)",VLOOKUP(LEFT($A716,6),'Data Feed (40C)'!$A$1:$G$10,7,FALSE),IF(A716="PROREP (S)", INDEX('Data Feed (40C)'!G:G, MATCH(LEFT($A716,6), 'Data Feed (40C)'!$A$1:$A$10, 0) + 1, +1), VLOOKUP($A716,'Data Feed (40C)'!$A$1:$G$10,7,FALSE))))</f>
        <v/>
      </c>
      <c r="F716" s="7"/>
      <c r="G716" s="8"/>
    </row>
    <row r="717">
      <c r="A717" s="9" t="str">
        <f t="shared" ref="A717:A721" si="835">A716</f>
        <v/>
      </c>
      <c r="B717" s="9" t="str">
        <f>IF(ISBLANK(A716),"",LEFT(B716,27)&amp;VALUE(RIGHT(B716,1)+1))</f>
        <v/>
      </c>
      <c r="C717" s="6" t="str">
        <f t="shared" ref="C717:D717" si="834">C716</f>
        <v/>
      </c>
      <c r="D717" s="6" t="str">
        <f t="shared" si="834"/>
        <v/>
      </c>
      <c r="E717" s="10" t="str">
        <f>IF(ISBLANK(A716),"",E716+1)</f>
        <v/>
      </c>
      <c r="F717" s="11" t="str">
        <f t="shared" ref="F717:F721" si="837">F716</f>
        <v/>
      </c>
      <c r="G717" s="8"/>
    </row>
    <row r="718">
      <c r="A718" s="9" t="str">
        <f t="shared" si="835"/>
        <v/>
      </c>
      <c r="B718" s="9" t="str">
        <f>IF(ISBLANK(A716),"",LEFT(B717,27)&amp;VALUE(RIGHT(B717,1)+1))</f>
        <v/>
      </c>
      <c r="C718" s="6" t="str">
        <f t="shared" ref="C718:D718" si="836">C717</f>
        <v/>
      </c>
      <c r="D718" s="6" t="str">
        <f t="shared" si="836"/>
        <v/>
      </c>
      <c r="E718" s="10" t="str">
        <f>IF(ISBLANK(A716),"",E717+1)</f>
        <v/>
      </c>
      <c r="F718" s="11" t="str">
        <f t="shared" si="837"/>
        <v/>
      </c>
      <c r="G718" s="8"/>
    </row>
    <row r="719">
      <c r="A719" s="9" t="str">
        <f t="shared" si="835"/>
        <v/>
      </c>
      <c r="B719" s="9" t="str">
        <f>IF(ISBLANK(A716),"",LEFT(B718,27)&amp;VALUE(RIGHT(B718,1)+1))</f>
        <v/>
      </c>
      <c r="C719" s="6" t="str">
        <f t="shared" ref="C719:D719" si="838">C718</f>
        <v/>
      </c>
      <c r="D719" s="6" t="str">
        <f t="shared" si="838"/>
        <v/>
      </c>
      <c r="E719" s="10" t="str">
        <f>IF(ISBLANK(A716),"",E718+1)</f>
        <v/>
      </c>
      <c r="F719" s="11" t="str">
        <f t="shared" si="837"/>
        <v/>
      </c>
      <c r="G719" s="8"/>
    </row>
    <row r="720">
      <c r="A720" s="9" t="str">
        <f t="shared" si="835"/>
        <v/>
      </c>
      <c r="B720" s="9" t="str">
        <f>IF(ISBLANK(A716),"",LEFT(B719,27)&amp;VALUE(RIGHT(B719,1)+1))</f>
        <v/>
      </c>
      <c r="C720" s="6" t="str">
        <f t="shared" ref="C720:D720" si="839">C719</f>
        <v/>
      </c>
      <c r="D720" s="6" t="str">
        <f t="shared" si="839"/>
        <v/>
      </c>
      <c r="E720" s="10" t="str">
        <f>IF(ISBLANK(A716),"",E719+1)</f>
        <v/>
      </c>
      <c r="F720" s="11" t="str">
        <f t="shared" si="837"/>
        <v/>
      </c>
      <c r="G720" s="8"/>
    </row>
    <row r="721">
      <c r="A721" s="12" t="str">
        <f t="shared" si="835"/>
        <v/>
      </c>
      <c r="B721" s="12" t="str">
        <f>IF(ISBLANK(A716),"",LEFT(B720,27)&amp;VALUE(RIGHT(B720,1)+1))</f>
        <v/>
      </c>
      <c r="C721" s="13" t="str">
        <f t="shared" ref="C721:D721" si="840">C720</f>
        <v/>
      </c>
      <c r="D721" s="13" t="str">
        <f t="shared" si="840"/>
        <v/>
      </c>
      <c r="E721" s="14" t="str">
        <f>IF(ISBLANK(A716),"",E720+1)</f>
        <v/>
      </c>
      <c r="F721" s="15" t="str">
        <f t="shared" si="837"/>
        <v/>
      </c>
      <c r="G721" s="16"/>
    </row>
    <row r="722">
      <c r="A722" s="5"/>
      <c r="B722" s="6" t="str">
        <f t="array" ref="B722">IF(ISBLANK(A722),"",IF(A722="PROREP (L)",VLOOKUP(LEFT($A722,6),'Data Feed (40C)'!$A$1:$G$10,2,FALSE),IF(A722="PROREP (S)", INDEX('Data Feed (40C)'!B:B, MATCH(LEFT($A722,6), 'Data Feed (40C)'!$A$1:$A$10, 0) + 1), VLOOKUP($A722,'Data Feed (40C)'!$A$1:$G$10,2,FALSE))))</f>
        <v/>
      </c>
      <c r="C722" s="6" t="str">
        <f t="array" ref="C722">IF(ISBLANK(A722),"",IF(A722="PROREP (L)",VLOOKUP(LEFT($A722,6),'Data Feed (40C)'!$A$1:$G$10,3,FALSE),IF(A722="PROREP (S)", INDEX('Data Feed (40C)'!C:C, MATCH(LEFT($A722,6), 'Data Feed (40C)'!$A$1:$A$10, 0) + 1, +1), VLOOKUP($A722,'Data Feed (40C)'!$A$1:$G$10,3,FALSE))))</f>
        <v/>
      </c>
      <c r="D722" s="6" t="str">
        <f t="array" ref="D722">IF(ISBLANK(A722),"",IF(A722="PROREP (L)",VLOOKUP(LEFT($A722,6),'Data Feed (40C)'!$A$1:$G$10,4,FALSE),IF(A722="PROREP (S)", INDEX('Data Feed (40C)'!D:D, MATCH(LEFT($A722,6), 'Data Feed (40C)'!$A$1:$A$10, 0) + 1, +1), VLOOKUP($A722,'Data Feed (40C)'!$A$1:$G$10,4,FALSE))))</f>
        <v/>
      </c>
      <c r="E722" s="6" t="str">
        <f t="array" ref="E722">IF(ISBLANK(A722),"",IF(A722="PROREP (L)",VLOOKUP(LEFT($A722,6),'Data Feed (40C)'!$A$1:$G$10,7,FALSE),IF(A722="PROREP (S)", INDEX('Data Feed (40C)'!G:G, MATCH(LEFT($A722,6), 'Data Feed (40C)'!$A$1:$A$10, 0) + 1, +1), VLOOKUP($A722,'Data Feed (40C)'!$A$1:$G$10,7,FALSE))))</f>
        <v/>
      </c>
      <c r="F722" s="7"/>
      <c r="G722" s="8"/>
    </row>
    <row r="723">
      <c r="A723" s="9" t="str">
        <f t="shared" ref="A723:A727" si="842">A722</f>
        <v/>
      </c>
      <c r="B723" s="9" t="str">
        <f>IF(ISBLANK(A722),"",LEFT(B722,27)&amp;VALUE(RIGHT(B722,1)+1))</f>
        <v/>
      </c>
      <c r="C723" s="6" t="str">
        <f t="shared" ref="C723:D723" si="841">C722</f>
        <v/>
      </c>
      <c r="D723" s="6" t="str">
        <f t="shared" si="841"/>
        <v/>
      </c>
      <c r="E723" s="10" t="str">
        <f>IF(ISBLANK(A722),"",E722+1)</f>
        <v/>
      </c>
      <c r="F723" s="11" t="str">
        <f t="shared" ref="F723:F727" si="844">F722</f>
        <v/>
      </c>
      <c r="G723" s="8"/>
    </row>
    <row r="724">
      <c r="A724" s="9" t="str">
        <f t="shared" si="842"/>
        <v/>
      </c>
      <c r="B724" s="9" t="str">
        <f>IF(ISBLANK(A722),"",LEFT(B723,27)&amp;VALUE(RIGHT(B723,1)+1))</f>
        <v/>
      </c>
      <c r="C724" s="6" t="str">
        <f t="shared" ref="C724:D724" si="843">C723</f>
        <v/>
      </c>
      <c r="D724" s="6" t="str">
        <f t="shared" si="843"/>
        <v/>
      </c>
      <c r="E724" s="10" t="str">
        <f>IF(ISBLANK(A722),"",E723+1)</f>
        <v/>
      </c>
      <c r="F724" s="11" t="str">
        <f t="shared" si="844"/>
        <v/>
      </c>
      <c r="G724" s="8"/>
    </row>
    <row r="725">
      <c r="A725" s="9" t="str">
        <f t="shared" si="842"/>
        <v/>
      </c>
      <c r="B725" s="9" t="str">
        <f>IF(ISBLANK(A722),"",LEFT(B724,27)&amp;VALUE(RIGHT(B724,1)+1))</f>
        <v/>
      </c>
      <c r="C725" s="6" t="str">
        <f t="shared" ref="C725:D725" si="845">C724</f>
        <v/>
      </c>
      <c r="D725" s="6" t="str">
        <f t="shared" si="845"/>
        <v/>
      </c>
      <c r="E725" s="10" t="str">
        <f>IF(ISBLANK(A722),"",E724+1)</f>
        <v/>
      </c>
      <c r="F725" s="11" t="str">
        <f t="shared" si="844"/>
        <v/>
      </c>
      <c r="G725" s="8"/>
    </row>
    <row r="726">
      <c r="A726" s="9" t="str">
        <f t="shared" si="842"/>
        <v/>
      </c>
      <c r="B726" s="9" t="str">
        <f>IF(ISBLANK(A722),"",LEFT(B725,27)&amp;VALUE(RIGHT(B725,1)+1))</f>
        <v/>
      </c>
      <c r="C726" s="6" t="str">
        <f t="shared" ref="C726:D726" si="846">C725</f>
        <v/>
      </c>
      <c r="D726" s="6" t="str">
        <f t="shared" si="846"/>
        <v/>
      </c>
      <c r="E726" s="10" t="str">
        <f>IF(ISBLANK(A722),"",E725+1)</f>
        <v/>
      </c>
      <c r="F726" s="11" t="str">
        <f t="shared" si="844"/>
        <v/>
      </c>
      <c r="G726" s="8"/>
    </row>
    <row r="727">
      <c r="A727" s="12" t="str">
        <f t="shared" si="842"/>
        <v/>
      </c>
      <c r="B727" s="12" t="str">
        <f>IF(ISBLANK(A722),"",LEFT(B726,27)&amp;VALUE(RIGHT(B726,1)+1))</f>
        <v/>
      </c>
      <c r="C727" s="13" t="str">
        <f t="shared" ref="C727:D727" si="847">C726</f>
        <v/>
      </c>
      <c r="D727" s="13" t="str">
        <f t="shared" si="847"/>
        <v/>
      </c>
      <c r="E727" s="14" t="str">
        <f>IF(ISBLANK(A722),"",E726+1)</f>
        <v/>
      </c>
      <c r="F727" s="15" t="str">
        <f t="shared" si="844"/>
        <v/>
      </c>
      <c r="G727" s="16"/>
    </row>
    <row r="728">
      <c r="A728" s="5"/>
      <c r="B728" s="6" t="str">
        <f t="array" ref="B728">IF(ISBLANK(A728),"",IF(A728="PROREP (L)",VLOOKUP(LEFT($A728,6),'Data Feed (40C)'!$A$1:$G$10,2,FALSE),IF(A728="PROREP (S)", INDEX('Data Feed (40C)'!B:B, MATCH(LEFT($A728,6), 'Data Feed (40C)'!$A$1:$A$10, 0) + 1), VLOOKUP($A728,'Data Feed (40C)'!$A$1:$G$10,2,FALSE))))</f>
        <v/>
      </c>
      <c r="C728" s="6" t="str">
        <f t="array" ref="C728">IF(ISBLANK(A728),"",IF(A728="PROREP (L)",VLOOKUP(LEFT($A728,6),'Data Feed (40C)'!$A$1:$G$10,3,FALSE),IF(A728="PROREP (S)", INDEX('Data Feed (40C)'!C:C, MATCH(LEFT($A728,6), 'Data Feed (40C)'!$A$1:$A$10, 0) + 1, +1), VLOOKUP($A728,'Data Feed (40C)'!$A$1:$G$10,3,FALSE))))</f>
        <v/>
      </c>
      <c r="D728" s="6" t="str">
        <f t="array" ref="D728">IF(ISBLANK(A728),"",IF(A728="PROREP (L)",VLOOKUP(LEFT($A728,6),'Data Feed (40C)'!$A$1:$G$10,4,FALSE),IF(A728="PROREP (S)", INDEX('Data Feed (40C)'!D:D, MATCH(LEFT($A728,6), 'Data Feed (40C)'!$A$1:$A$10, 0) + 1, +1), VLOOKUP($A728,'Data Feed (40C)'!$A$1:$G$10,4,FALSE))))</f>
        <v/>
      </c>
      <c r="E728" s="6" t="str">
        <f t="array" ref="E728">IF(ISBLANK(A728),"",IF(A728="PROREP (L)",VLOOKUP(LEFT($A728,6),'Data Feed (40C)'!$A$1:$G$10,7,FALSE),IF(A728="PROREP (S)", INDEX('Data Feed (40C)'!G:G, MATCH(LEFT($A728,6), 'Data Feed (40C)'!$A$1:$A$10, 0) + 1, +1), VLOOKUP($A728,'Data Feed (40C)'!$A$1:$G$10,7,FALSE))))</f>
        <v/>
      </c>
      <c r="F728" s="7"/>
      <c r="G728" s="8"/>
    </row>
    <row r="729">
      <c r="A729" s="9" t="str">
        <f t="shared" ref="A729:A733" si="849">A728</f>
        <v/>
      </c>
      <c r="B729" s="9" t="str">
        <f>IF(ISBLANK(A728),"",LEFT(B728,27)&amp;VALUE(RIGHT(B728,1)+1))</f>
        <v/>
      </c>
      <c r="C729" s="6" t="str">
        <f t="shared" ref="C729:D729" si="848">C728</f>
        <v/>
      </c>
      <c r="D729" s="6" t="str">
        <f t="shared" si="848"/>
        <v/>
      </c>
      <c r="E729" s="10" t="str">
        <f>IF(ISBLANK(A728),"",E728+1)</f>
        <v/>
      </c>
      <c r="F729" s="11" t="str">
        <f t="shared" ref="F729:F733" si="851">F728</f>
        <v/>
      </c>
      <c r="G729" s="8"/>
    </row>
    <row r="730">
      <c r="A730" s="9" t="str">
        <f t="shared" si="849"/>
        <v/>
      </c>
      <c r="B730" s="9" t="str">
        <f>IF(ISBLANK(A728),"",LEFT(B729,27)&amp;VALUE(RIGHT(B729,1)+1))</f>
        <v/>
      </c>
      <c r="C730" s="6" t="str">
        <f t="shared" ref="C730:D730" si="850">C729</f>
        <v/>
      </c>
      <c r="D730" s="6" t="str">
        <f t="shared" si="850"/>
        <v/>
      </c>
      <c r="E730" s="10" t="str">
        <f>IF(ISBLANK(A728),"",E729+1)</f>
        <v/>
      </c>
      <c r="F730" s="11" t="str">
        <f t="shared" si="851"/>
        <v/>
      </c>
      <c r="G730" s="8"/>
    </row>
    <row r="731">
      <c r="A731" s="9" t="str">
        <f t="shared" si="849"/>
        <v/>
      </c>
      <c r="B731" s="9" t="str">
        <f>IF(ISBLANK(A728),"",LEFT(B730,27)&amp;VALUE(RIGHT(B730,1)+1))</f>
        <v/>
      </c>
      <c r="C731" s="6" t="str">
        <f t="shared" ref="C731:D731" si="852">C730</f>
        <v/>
      </c>
      <c r="D731" s="6" t="str">
        <f t="shared" si="852"/>
        <v/>
      </c>
      <c r="E731" s="10" t="str">
        <f>IF(ISBLANK(A728),"",E730+1)</f>
        <v/>
      </c>
      <c r="F731" s="11" t="str">
        <f t="shared" si="851"/>
        <v/>
      </c>
      <c r="G731" s="8"/>
    </row>
    <row r="732">
      <c r="A732" s="9" t="str">
        <f t="shared" si="849"/>
        <v/>
      </c>
      <c r="B732" s="9" t="str">
        <f>IF(ISBLANK(A728),"",LEFT(B731,27)&amp;VALUE(RIGHT(B731,1)+1))</f>
        <v/>
      </c>
      <c r="C732" s="6" t="str">
        <f t="shared" ref="C732:D732" si="853">C731</f>
        <v/>
      </c>
      <c r="D732" s="6" t="str">
        <f t="shared" si="853"/>
        <v/>
      </c>
      <c r="E732" s="10" t="str">
        <f>IF(ISBLANK(A728),"",E731+1)</f>
        <v/>
      </c>
      <c r="F732" s="11" t="str">
        <f t="shared" si="851"/>
        <v/>
      </c>
      <c r="G732" s="8"/>
    </row>
    <row r="733">
      <c r="A733" s="12" t="str">
        <f t="shared" si="849"/>
        <v/>
      </c>
      <c r="B733" s="12" t="str">
        <f>IF(ISBLANK(A728),"",LEFT(B732,27)&amp;VALUE(RIGHT(B732,1)+1))</f>
        <v/>
      </c>
      <c r="C733" s="13" t="str">
        <f t="shared" ref="C733:D733" si="854">C732</f>
        <v/>
      </c>
      <c r="D733" s="13" t="str">
        <f t="shared" si="854"/>
        <v/>
      </c>
      <c r="E733" s="14" t="str">
        <f>IF(ISBLANK(A728),"",E732+1)</f>
        <v/>
      </c>
      <c r="F733" s="15" t="str">
        <f t="shared" si="851"/>
        <v/>
      </c>
      <c r="G733" s="16"/>
    </row>
    <row r="734">
      <c r="A734" s="5"/>
      <c r="B734" s="6" t="str">
        <f t="array" ref="B734">IF(ISBLANK(A734),"",IF(A734="PROREP (L)",VLOOKUP(LEFT($A734,6),'Data Feed (40C)'!$A$1:$G$10,2,FALSE),IF(A734="PROREP (S)", INDEX('Data Feed (40C)'!B:B, MATCH(LEFT($A734,6), 'Data Feed (40C)'!$A$1:$A$10, 0) + 1), VLOOKUP($A734,'Data Feed (40C)'!$A$1:$G$10,2,FALSE))))</f>
        <v/>
      </c>
      <c r="C734" s="6" t="str">
        <f t="array" ref="C734">IF(ISBLANK(A734),"",IF(A734="PROREP (L)",VLOOKUP(LEFT($A734,6),'Data Feed (40C)'!$A$1:$G$10,3,FALSE),IF(A734="PROREP (S)", INDEX('Data Feed (40C)'!C:C, MATCH(LEFT($A734,6), 'Data Feed (40C)'!$A$1:$A$10, 0) + 1, +1), VLOOKUP($A734,'Data Feed (40C)'!$A$1:$G$10,3,FALSE))))</f>
        <v/>
      </c>
      <c r="D734" s="6" t="str">
        <f t="array" ref="D734">IF(ISBLANK(A734),"",IF(A734="PROREP (L)",VLOOKUP(LEFT($A734,6),'Data Feed (40C)'!$A$1:$G$10,4,FALSE),IF(A734="PROREP (S)", INDEX('Data Feed (40C)'!D:D, MATCH(LEFT($A734,6), 'Data Feed (40C)'!$A$1:$A$10, 0) + 1, +1), VLOOKUP($A734,'Data Feed (40C)'!$A$1:$G$10,4,FALSE))))</f>
        <v/>
      </c>
      <c r="E734" s="6" t="str">
        <f t="array" ref="E734">IF(ISBLANK(A734),"",IF(A734="PROREP (L)",VLOOKUP(LEFT($A734,6),'Data Feed (40C)'!$A$1:$G$10,7,FALSE),IF(A734="PROREP (S)", INDEX('Data Feed (40C)'!G:G, MATCH(LEFT($A734,6), 'Data Feed (40C)'!$A$1:$A$10, 0) + 1, +1), VLOOKUP($A734,'Data Feed (40C)'!$A$1:$G$10,7,FALSE))))</f>
        <v/>
      </c>
      <c r="F734" s="7"/>
      <c r="G734" s="8"/>
    </row>
    <row r="735">
      <c r="A735" s="9" t="str">
        <f t="shared" ref="A735:A739" si="856">A734</f>
        <v/>
      </c>
      <c r="B735" s="9" t="str">
        <f>IF(ISBLANK(A734),"",LEFT(B734,27)&amp;VALUE(RIGHT(B734,1)+1))</f>
        <v/>
      </c>
      <c r="C735" s="6" t="str">
        <f t="shared" ref="C735:D735" si="855">C734</f>
        <v/>
      </c>
      <c r="D735" s="6" t="str">
        <f t="shared" si="855"/>
        <v/>
      </c>
      <c r="E735" s="10" t="str">
        <f>IF(ISBLANK(A734),"",E734+1)</f>
        <v/>
      </c>
      <c r="F735" s="11" t="str">
        <f t="shared" ref="F735:F739" si="858">F734</f>
        <v/>
      </c>
      <c r="G735" s="8"/>
    </row>
    <row r="736">
      <c r="A736" s="9" t="str">
        <f t="shared" si="856"/>
        <v/>
      </c>
      <c r="B736" s="9" t="str">
        <f>IF(ISBLANK(A734),"",LEFT(B735,27)&amp;VALUE(RIGHT(B735,1)+1))</f>
        <v/>
      </c>
      <c r="C736" s="6" t="str">
        <f t="shared" ref="C736:D736" si="857">C735</f>
        <v/>
      </c>
      <c r="D736" s="6" t="str">
        <f t="shared" si="857"/>
        <v/>
      </c>
      <c r="E736" s="10" t="str">
        <f>IF(ISBLANK(A734),"",E735+1)</f>
        <v/>
      </c>
      <c r="F736" s="11" t="str">
        <f t="shared" si="858"/>
        <v/>
      </c>
      <c r="G736" s="8"/>
    </row>
    <row r="737">
      <c r="A737" s="9" t="str">
        <f t="shared" si="856"/>
        <v/>
      </c>
      <c r="B737" s="9" t="str">
        <f>IF(ISBLANK(A734),"",LEFT(B736,27)&amp;VALUE(RIGHT(B736,1)+1))</f>
        <v/>
      </c>
      <c r="C737" s="6" t="str">
        <f t="shared" ref="C737:D737" si="859">C736</f>
        <v/>
      </c>
      <c r="D737" s="6" t="str">
        <f t="shared" si="859"/>
        <v/>
      </c>
      <c r="E737" s="10" t="str">
        <f>IF(ISBLANK(A734),"",E736+1)</f>
        <v/>
      </c>
      <c r="F737" s="11" t="str">
        <f t="shared" si="858"/>
        <v/>
      </c>
      <c r="G737" s="8"/>
    </row>
    <row r="738">
      <c r="A738" s="9" t="str">
        <f t="shared" si="856"/>
        <v/>
      </c>
      <c r="B738" s="9" t="str">
        <f>IF(ISBLANK(A734),"",LEFT(B737,27)&amp;VALUE(RIGHT(B737,1)+1))</f>
        <v/>
      </c>
      <c r="C738" s="6" t="str">
        <f t="shared" ref="C738:D738" si="860">C737</f>
        <v/>
      </c>
      <c r="D738" s="6" t="str">
        <f t="shared" si="860"/>
        <v/>
      </c>
      <c r="E738" s="10" t="str">
        <f>IF(ISBLANK(A734),"",E737+1)</f>
        <v/>
      </c>
      <c r="F738" s="11" t="str">
        <f t="shared" si="858"/>
        <v/>
      </c>
      <c r="G738" s="8"/>
    </row>
    <row r="739">
      <c r="A739" s="12" t="str">
        <f t="shared" si="856"/>
        <v/>
      </c>
      <c r="B739" s="12" t="str">
        <f>IF(ISBLANK(A734),"",LEFT(B738,27)&amp;VALUE(RIGHT(B738,1)+1))</f>
        <v/>
      </c>
      <c r="C739" s="13" t="str">
        <f t="shared" ref="C739:D739" si="861">C738</f>
        <v/>
      </c>
      <c r="D739" s="13" t="str">
        <f t="shared" si="861"/>
        <v/>
      </c>
      <c r="E739" s="14" t="str">
        <f>IF(ISBLANK(A734),"",E738+1)</f>
        <v/>
      </c>
      <c r="F739" s="15" t="str">
        <f t="shared" si="858"/>
        <v/>
      </c>
      <c r="G739" s="16"/>
    </row>
    <row r="740">
      <c r="A740" s="5"/>
      <c r="B740" s="6" t="str">
        <f t="array" ref="B740">IF(ISBLANK(A740),"",IF(A740="PROREP (L)",VLOOKUP(LEFT($A740,6),'Data Feed (40C)'!$A$1:$G$10,2,FALSE),IF(A740="PROREP (S)", INDEX('Data Feed (40C)'!B:B, MATCH(LEFT($A740,6), 'Data Feed (40C)'!$A$1:$A$10, 0) + 1), VLOOKUP($A740,'Data Feed (40C)'!$A$1:$G$10,2,FALSE))))</f>
        <v/>
      </c>
      <c r="C740" s="6" t="str">
        <f t="array" ref="C740">IF(ISBLANK(A740),"",IF(A740="PROREP (L)",VLOOKUP(LEFT($A740,6),'Data Feed (40C)'!$A$1:$G$10,3,FALSE),IF(A740="PROREP (S)", INDEX('Data Feed (40C)'!C:C, MATCH(LEFT($A740,6), 'Data Feed (40C)'!$A$1:$A$10, 0) + 1, +1), VLOOKUP($A740,'Data Feed (40C)'!$A$1:$G$10,3,FALSE))))</f>
        <v/>
      </c>
      <c r="D740" s="6" t="str">
        <f t="array" ref="D740">IF(ISBLANK(A740),"",IF(A740="PROREP (L)",VLOOKUP(LEFT($A740,6),'Data Feed (40C)'!$A$1:$G$10,4,FALSE),IF(A740="PROREP (S)", INDEX('Data Feed (40C)'!D:D, MATCH(LEFT($A740,6), 'Data Feed (40C)'!$A$1:$A$10, 0) + 1, +1), VLOOKUP($A740,'Data Feed (40C)'!$A$1:$G$10,4,FALSE))))</f>
        <v/>
      </c>
      <c r="E740" s="6" t="str">
        <f t="array" ref="E740">IF(ISBLANK(A740),"",IF(A740="PROREP (L)",VLOOKUP(LEFT($A740,6),'Data Feed (40C)'!$A$1:$G$10,7,FALSE),IF(A740="PROREP (S)", INDEX('Data Feed (40C)'!G:G, MATCH(LEFT($A740,6), 'Data Feed (40C)'!$A$1:$A$10, 0) + 1, +1), VLOOKUP($A740,'Data Feed (40C)'!$A$1:$G$10,7,FALSE))))</f>
        <v/>
      </c>
      <c r="F740" s="7"/>
      <c r="G740" s="8"/>
    </row>
    <row r="741">
      <c r="A741" s="9" t="str">
        <f t="shared" ref="A741:A745" si="863">A740</f>
        <v/>
      </c>
      <c r="B741" s="9" t="str">
        <f>IF(ISBLANK(A740),"",LEFT(B740,27)&amp;VALUE(RIGHT(B740,1)+1))</f>
        <v/>
      </c>
      <c r="C741" s="6" t="str">
        <f t="shared" ref="C741:D741" si="862">C740</f>
        <v/>
      </c>
      <c r="D741" s="6" t="str">
        <f t="shared" si="862"/>
        <v/>
      </c>
      <c r="E741" s="10" t="str">
        <f>IF(ISBLANK(A740),"",E740+1)</f>
        <v/>
      </c>
      <c r="F741" s="11" t="str">
        <f t="shared" ref="F741:F745" si="865">F740</f>
        <v/>
      </c>
      <c r="G741" s="8"/>
    </row>
    <row r="742">
      <c r="A742" s="9" t="str">
        <f t="shared" si="863"/>
        <v/>
      </c>
      <c r="B742" s="9" t="str">
        <f>IF(ISBLANK(A740),"",LEFT(B741,27)&amp;VALUE(RIGHT(B741,1)+1))</f>
        <v/>
      </c>
      <c r="C742" s="6" t="str">
        <f t="shared" ref="C742:D742" si="864">C741</f>
        <v/>
      </c>
      <c r="D742" s="6" t="str">
        <f t="shared" si="864"/>
        <v/>
      </c>
      <c r="E742" s="10" t="str">
        <f>IF(ISBLANK(A740),"",E741+1)</f>
        <v/>
      </c>
      <c r="F742" s="11" t="str">
        <f t="shared" si="865"/>
        <v/>
      </c>
      <c r="G742" s="8"/>
    </row>
    <row r="743">
      <c r="A743" s="9" t="str">
        <f t="shared" si="863"/>
        <v/>
      </c>
      <c r="B743" s="9" t="str">
        <f>IF(ISBLANK(A740),"",LEFT(B742,27)&amp;VALUE(RIGHT(B742,1)+1))</f>
        <v/>
      </c>
      <c r="C743" s="6" t="str">
        <f t="shared" ref="C743:D743" si="866">C742</f>
        <v/>
      </c>
      <c r="D743" s="6" t="str">
        <f t="shared" si="866"/>
        <v/>
      </c>
      <c r="E743" s="10" t="str">
        <f>IF(ISBLANK(A740),"",E742+1)</f>
        <v/>
      </c>
      <c r="F743" s="11" t="str">
        <f t="shared" si="865"/>
        <v/>
      </c>
      <c r="G743" s="8"/>
    </row>
    <row r="744">
      <c r="A744" s="9" t="str">
        <f t="shared" si="863"/>
        <v/>
      </c>
      <c r="B744" s="9" t="str">
        <f>IF(ISBLANK(A740),"",LEFT(B743,27)&amp;VALUE(RIGHT(B743,1)+1))</f>
        <v/>
      </c>
      <c r="C744" s="6" t="str">
        <f t="shared" ref="C744:D744" si="867">C743</f>
        <v/>
      </c>
      <c r="D744" s="6" t="str">
        <f t="shared" si="867"/>
        <v/>
      </c>
      <c r="E744" s="10" t="str">
        <f>IF(ISBLANK(A740),"",E743+1)</f>
        <v/>
      </c>
      <c r="F744" s="11" t="str">
        <f t="shared" si="865"/>
        <v/>
      </c>
      <c r="G744" s="8"/>
    </row>
    <row r="745">
      <c r="A745" s="12" t="str">
        <f t="shared" si="863"/>
        <v/>
      </c>
      <c r="B745" s="12" t="str">
        <f>IF(ISBLANK(A740),"",LEFT(B744,27)&amp;VALUE(RIGHT(B744,1)+1))</f>
        <v/>
      </c>
      <c r="C745" s="13" t="str">
        <f t="shared" ref="C745:D745" si="868">C744</f>
        <v/>
      </c>
      <c r="D745" s="13" t="str">
        <f t="shared" si="868"/>
        <v/>
      </c>
      <c r="E745" s="14" t="str">
        <f>IF(ISBLANK(A740),"",E744+1)</f>
        <v/>
      </c>
      <c r="F745" s="15" t="str">
        <f t="shared" si="865"/>
        <v/>
      </c>
      <c r="G745" s="16"/>
    </row>
    <row r="746">
      <c r="A746" s="5"/>
      <c r="B746" s="6" t="str">
        <f t="array" ref="B746">IF(ISBLANK(A746),"",IF(A746="PROREP (L)",VLOOKUP(LEFT($A746,6),'Data Feed (40C)'!$A$1:$G$10,2,FALSE),IF(A746="PROREP (S)", INDEX('Data Feed (40C)'!B:B, MATCH(LEFT($A746,6), 'Data Feed (40C)'!$A$1:$A$10, 0) + 1), VLOOKUP($A746,'Data Feed (40C)'!$A$1:$G$10,2,FALSE))))</f>
        <v/>
      </c>
      <c r="C746" s="6" t="str">
        <f t="array" ref="C746">IF(ISBLANK(A746),"",IF(A746="PROREP (L)",VLOOKUP(LEFT($A746,6),'Data Feed (40C)'!$A$1:$G$10,3,FALSE),IF(A746="PROREP (S)", INDEX('Data Feed (40C)'!C:C, MATCH(LEFT($A746,6), 'Data Feed (40C)'!$A$1:$A$10, 0) + 1, +1), VLOOKUP($A746,'Data Feed (40C)'!$A$1:$G$10,3,FALSE))))</f>
        <v/>
      </c>
      <c r="D746" s="6" t="str">
        <f t="array" ref="D746">IF(ISBLANK(A746),"",IF(A746="PROREP (L)",VLOOKUP(LEFT($A746,6),'Data Feed (40C)'!$A$1:$G$10,4,FALSE),IF(A746="PROREP (S)", INDEX('Data Feed (40C)'!D:D, MATCH(LEFT($A746,6), 'Data Feed (40C)'!$A$1:$A$10, 0) + 1, +1), VLOOKUP($A746,'Data Feed (40C)'!$A$1:$G$10,4,FALSE))))</f>
        <v/>
      </c>
      <c r="E746" s="6" t="str">
        <f t="array" ref="E746">IF(ISBLANK(A746),"",IF(A746="PROREP (L)",VLOOKUP(LEFT($A746,6),'Data Feed (40C)'!$A$1:$G$10,7,FALSE),IF(A746="PROREP (S)", INDEX('Data Feed (40C)'!G:G, MATCH(LEFT($A746,6), 'Data Feed (40C)'!$A$1:$A$10, 0) + 1, +1), VLOOKUP($A746,'Data Feed (40C)'!$A$1:$G$10,7,FALSE))))</f>
        <v/>
      </c>
      <c r="F746" s="7"/>
      <c r="G746" s="8"/>
    </row>
    <row r="747">
      <c r="A747" s="9" t="str">
        <f t="shared" ref="A747:A751" si="870">A746</f>
        <v/>
      </c>
      <c r="B747" s="9" t="str">
        <f>IF(ISBLANK(A746),"",LEFT(B746,27)&amp;VALUE(RIGHT(B746,1)+1))</f>
        <v/>
      </c>
      <c r="C747" s="6" t="str">
        <f t="shared" ref="C747:D747" si="869">C746</f>
        <v/>
      </c>
      <c r="D747" s="6" t="str">
        <f t="shared" si="869"/>
        <v/>
      </c>
      <c r="E747" s="10" t="str">
        <f>IF(ISBLANK(A746),"",E746+1)</f>
        <v/>
      </c>
      <c r="F747" s="11" t="str">
        <f t="shared" ref="F747:F751" si="872">F746</f>
        <v/>
      </c>
      <c r="G747" s="8"/>
    </row>
    <row r="748">
      <c r="A748" s="9" t="str">
        <f t="shared" si="870"/>
        <v/>
      </c>
      <c r="B748" s="9" t="str">
        <f>IF(ISBLANK(A746),"",LEFT(B747,27)&amp;VALUE(RIGHT(B747,1)+1))</f>
        <v/>
      </c>
      <c r="C748" s="6" t="str">
        <f t="shared" ref="C748:D748" si="871">C747</f>
        <v/>
      </c>
      <c r="D748" s="6" t="str">
        <f t="shared" si="871"/>
        <v/>
      </c>
      <c r="E748" s="10" t="str">
        <f>IF(ISBLANK(A746),"",E747+1)</f>
        <v/>
      </c>
      <c r="F748" s="11" t="str">
        <f t="shared" si="872"/>
        <v/>
      </c>
      <c r="G748" s="8"/>
    </row>
    <row r="749">
      <c r="A749" s="9" t="str">
        <f t="shared" si="870"/>
        <v/>
      </c>
      <c r="B749" s="9" t="str">
        <f>IF(ISBLANK(A746),"",LEFT(B748,27)&amp;VALUE(RIGHT(B748,1)+1))</f>
        <v/>
      </c>
      <c r="C749" s="6" t="str">
        <f t="shared" ref="C749:D749" si="873">C748</f>
        <v/>
      </c>
      <c r="D749" s="6" t="str">
        <f t="shared" si="873"/>
        <v/>
      </c>
      <c r="E749" s="10" t="str">
        <f>IF(ISBLANK(A746),"",E748+1)</f>
        <v/>
      </c>
      <c r="F749" s="11" t="str">
        <f t="shared" si="872"/>
        <v/>
      </c>
      <c r="G749" s="8"/>
    </row>
    <row r="750">
      <c r="A750" s="9" t="str">
        <f t="shared" si="870"/>
        <v/>
      </c>
      <c r="B750" s="9" t="str">
        <f>IF(ISBLANK(A746),"",LEFT(B749,27)&amp;VALUE(RIGHT(B749,1)+1))</f>
        <v/>
      </c>
      <c r="C750" s="6" t="str">
        <f t="shared" ref="C750:D750" si="874">C749</f>
        <v/>
      </c>
      <c r="D750" s="6" t="str">
        <f t="shared" si="874"/>
        <v/>
      </c>
      <c r="E750" s="10" t="str">
        <f>IF(ISBLANK(A746),"",E749+1)</f>
        <v/>
      </c>
      <c r="F750" s="11" t="str">
        <f t="shared" si="872"/>
        <v/>
      </c>
      <c r="G750" s="8"/>
    </row>
    <row r="751">
      <c r="A751" s="12" t="str">
        <f t="shared" si="870"/>
        <v/>
      </c>
      <c r="B751" s="12" t="str">
        <f>IF(ISBLANK(A746),"",LEFT(B750,27)&amp;VALUE(RIGHT(B750,1)+1))</f>
        <v/>
      </c>
      <c r="C751" s="13" t="str">
        <f t="shared" ref="C751:D751" si="875">C750</f>
        <v/>
      </c>
      <c r="D751" s="13" t="str">
        <f t="shared" si="875"/>
        <v/>
      </c>
      <c r="E751" s="14" t="str">
        <f>IF(ISBLANK(A746),"",E750+1)</f>
        <v/>
      </c>
      <c r="F751" s="15" t="str">
        <f t="shared" si="872"/>
        <v/>
      </c>
      <c r="G751" s="16"/>
    </row>
    <row r="752">
      <c r="A752" s="5"/>
      <c r="B752" s="6" t="str">
        <f t="array" ref="B752">IF(ISBLANK(A752),"",IF(A752="PROREP (L)",VLOOKUP(LEFT($A752,6),'Data Feed (40C)'!$A$1:$G$10,2,FALSE),IF(A752="PROREP (S)", INDEX('Data Feed (40C)'!B:B, MATCH(LEFT($A752,6), 'Data Feed (40C)'!$A$1:$A$10, 0) + 1), VLOOKUP($A752,'Data Feed (40C)'!$A$1:$G$10,2,FALSE))))</f>
        <v/>
      </c>
      <c r="C752" s="6" t="str">
        <f t="array" ref="C752">IF(ISBLANK(A752),"",IF(A752="PROREP (L)",VLOOKUP(LEFT($A752,6),'Data Feed (40C)'!$A$1:$G$10,3,FALSE),IF(A752="PROREP (S)", INDEX('Data Feed (40C)'!C:C, MATCH(LEFT($A752,6), 'Data Feed (40C)'!$A$1:$A$10, 0) + 1, +1), VLOOKUP($A752,'Data Feed (40C)'!$A$1:$G$10,3,FALSE))))</f>
        <v/>
      </c>
      <c r="D752" s="6" t="str">
        <f t="array" ref="D752">IF(ISBLANK(A752),"",IF(A752="PROREP (L)",VLOOKUP(LEFT($A752,6),'Data Feed (40C)'!$A$1:$G$10,4,FALSE),IF(A752="PROREP (S)", INDEX('Data Feed (40C)'!D:D, MATCH(LEFT($A752,6), 'Data Feed (40C)'!$A$1:$A$10, 0) + 1, +1), VLOOKUP($A752,'Data Feed (40C)'!$A$1:$G$10,4,FALSE))))</f>
        <v/>
      </c>
      <c r="E752" s="6" t="str">
        <f t="array" ref="E752">IF(ISBLANK(A752),"",IF(A752="PROREP (L)",VLOOKUP(LEFT($A752,6),'Data Feed (40C)'!$A$1:$G$10,7,FALSE),IF(A752="PROREP (S)", INDEX('Data Feed (40C)'!G:G, MATCH(LEFT($A752,6), 'Data Feed (40C)'!$A$1:$A$10, 0) + 1, +1), VLOOKUP($A752,'Data Feed (40C)'!$A$1:$G$10,7,FALSE))))</f>
        <v/>
      </c>
      <c r="F752" s="7"/>
      <c r="G752" s="8"/>
    </row>
    <row r="753">
      <c r="A753" s="9" t="str">
        <f t="shared" ref="A753:A757" si="877">A752</f>
        <v/>
      </c>
      <c r="B753" s="9" t="str">
        <f>IF(ISBLANK(A752),"",LEFT(B752,27)&amp;VALUE(RIGHT(B752,1)+1))</f>
        <v/>
      </c>
      <c r="C753" s="6" t="str">
        <f t="shared" ref="C753:D753" si="876">C752</f>
        <v/>
      </c>
      <c r="D753" s="6" t="str">
        <f t="shared" si="876"/>
        <v/>
      </c>
      <c r="E753" s="10" t="str">
        <f>IF(ISBLANK(A752),"",E752+1)</f>
        <v/>
      </c>
      <c r="F753" s="11" t="str">
        <f t="shared" ref="F753:F757" si="879">F752</f>
        <v/>
      </c>
      <c r="G753" s="8"/>
    </row>
    <row r="754">
      <c r="A754" s="9" t="str">
        <f t="shared" si="877"/>
        <v/>
      </c>
      <c r="B754" s="9" t="str">
        <f>IF(ISBLANK(A752),"",LEFT(B753,27)&amp;VALUE(RIGHT(B753,1)+1))</f>
        <v/>
      </c>
      <c r="C754" s="6" t="str">
        <f t="shared" ref="C754:D754" si="878">C753</f>
        <v/>
      </c>
      <c r="D754" s="6" t="str">
        <f t="shared" si="878"/>
        <v/>
      </c>
      <c r="E754" s="10" t="str">
        <f>IF(ISBLANK(A752),"",E753+1)</f>
        <v/>
      </c>
      <c r="F754" s="11" t="str">
        <f t="shared" si="879"/>
        <v/>
      </c>
      <c r="G754" s="8"/>
    </row>
    <row r="755">
      <c r="A755" s="9" t="str">
        <f t="shared" si="877"/>
        <v/>
      </c>
      <c r="B755" s="9" t="str">
        <f>IF(ISBLANK(A752),"",LEFT(B754,27)&amp;VALUE(RIGHT(B754,1)+1))</f>
        <v/>
      </c>
      <c r="C755" s="6" t="str">
        <f t="shared" ref="C755:D755" si="880">C754</f>
        <v/>
      </c>
      <c r="D755" s="6" t="str">
        <f t="shared" si="880"/>
        <v/>
      </c>
      <c r="E755" s="10" t="str">
        <f>IF(ISBLANK(A752),"",E754+1)</f>
        <v/>
      </c>
      <c r="F755" s="11" t="str">
        <f t="shared" si="879"/>
        <v/>
      </c>
      <c r="G755" s="8"/>
    </row>
    <row r="756">
      <c r="A756" s="9" t="str">
        <f t="shared" si="877"/>
        <v/>
      </c>
      <c r="B756" s="9" t="str">
        <f>IF(ISBLANK(A752),"",LEFT(B755,27)&amp;VALUE(RIGHT(B755,1)+1))</f>
        <v/>
      </c>
      <c r="C756" s="6" t="str">
        <f t="shared" ref="C756:D756" si="881">C755</f>
        <v/>
      </c>
      <c r="D756" s="6" t="str">
        <f t="shared" si="881"/>
        <v/>
      </c>
      <c r="E756" s="10" t="str">
        <f>IF(ISBLANK(A752),"",E755+1)</f>
        <v/>
      </c>
      <c r="F756" s="11" t="str">
        <f t="shared" si="879"/>
        <v/>
      </c>
      <c r="G756" s="8"/>
    </row>
    <row r="757">
      <c r="A757" s="12" t="str">
        <f t="shared" si="877"/>
        <v/>
      </c>
      <c r="B757" s="12" t="str">
        <f>IF(ISBLANK(A752),"",LEFT(B756,27)&amp;VALUE(RIGHT(B756,1)+1))</f>
        <v/>
      </c>
      <c r="C757" s="13" t="str">
        <f t="shared" ref="C757:D757" si="882">C756</f>
        <v/>
      </c>
      <c r="D757" s="13" t="str">
        <f t="shared" si="882"/>
        <v/>
      </c>
      <c r="E757" s="14" t="str">
        <f>IF(ISBLANK(A752),"",E756+1)</f>
        <v/>
      </c>
      <c r="F757" s="15" t="str">
        <f t="shared" si="879"/>
        <v/>
      </c>
      <c r="G757" s="16"/>
    </row>
    <row r="758">
      <c r="A758" s="5"/>
      <c r="B758" s="6" t="str">
        <f t="array" ref="B758">IF(ISBLANK(A758),"",IF(A758="PROREP (L)",VLOOKUP(LEFT($A758,6),'Data Feed (40C)'!$A$1:$G$10,2,FALSE),IF(A758="PROREP (S)", INDEX('Data Feed (40C)'!B:B, MATCH(LEFT($A758,6), 'Data Feed (40C)'!$A$1:$A$10, 0) + 1), VLOOKUP($A758,'Data Feed (40C)'!$A$1:$G$10,2,FALSE))))</f>
        <v/>
      </c>
      <c r="C758" s="6" t="str">
        <f t="array" ref="C758">IF(ISBLANK(A758),"",IF(A758="PROREP (L)",VLOOKUP(LEFT($A758,6),'Data Feed (40C)'!$A$1:$G$10,3,FALSE),IF(A758="PROREP (S)", INDEX('Data Feed (40C)'!C:C, MATCH(LEFT($A758,6), 'Data Feed (40C)'!$A$1:$A$10, 0) + 1, +1), VLOOKUP($A758,'Data Feed (40C)'!$A$1:$G$10,3,FALSE))))</f>
        <v/>
      </c>
      <c r="D758" s="6" t="str">
        <f t="array" ref="D758">IF(ISBLANK(A758),"",IF(A758="PROREP (L)",VLOOKUP(LEFT($A758,6),'Data Feed (40C)'!$A$1:$G$10,4,FALSE),IF(A758="PROREP (S)", INDEX('Data Feed (40C)'!D:D, MATCH(LEFT($A758,6), 'Data Feed (40C)'!$A$1:$A$10, 0) + 1, +1), VLOOKUP($A758,'Data Feed (40C)'!$A$1:$G$10,4,FALSE))))</f>
        <v/>
      </c>
      <c r="E758" s="6" t="str">
        <f t="array" ref="E758">IF(ISBLANK(A758),"",IF(A758="PROREP (L)",VLOOKUP(LEFT($A758,6),'Data Feed (40C)'!$A$1:$G$10,7,FALSE),IF(A758="PROREP (S)", INDEX('Data Feed (40C)'!G:G, MATCH(LEFT($A758,6), 'Data Feed (40C)'!$A$1:$A$10, 0) + 1, +1), VLOOKUP($A758,'Data Feed (40C)'!$A$1:$G$10,7,FALSE))))</f>
        <v/>
      </c>
      <c r="F758" s="7"/>
      <c r="G758" s="8"/>
    </row>
    <row r="759">
      <c r="A759" s="9" t="str">
        <f t="shared" ref="A759:A763" si="884">A758</f>
        <v/>
      </c>
      <c r="B759" s="9" t="str">
        <f>IF(ISBLANK(A758),"",LEFT(B758,27)&amp;VALUE(RIGHT(B758,1)+1))</f>
        <v/>
      </c>
      <c r="C759" s="6" t="str">
        <f t="shared" ref="C759:D759" si="883">C758</f>
        <v/>
      </c>
      <c r="D759" s="6" t="str">
        <f t="shared" si="883"/>
        <v/>
      </c>
      <c r="E759" s="10" t="str">
        <f>IF(ISBLANK(A758),"",E758+1)</f>
        <v/>
      </c>
      <c r="F759" s="11" t="str">
        <f t="shared" ref="F759:F763" si="886">F758</f>
        <v/>
      </c>
      <c r="G759" s="8"/>
    </row>
    <row r="760">
      <c r="A760" s="9" t="str">
        <f t="shared" si="884"/>
        <v/>
      </c>
      <c r="B760" s="9" t="str">
        <f>IF(ISBLANK(A758),"",LEFT(B759,27)&amp;VALUE(RIGHT(B759,1)+1))</f>
        <v/>
      </c>
      <c r="C760" s="6" t="str">
        <f t="shared" ref="C760:D760" si="885">C759</f>
        <v/>
      </c>
      <c r="D760" s="6" t="str">
        <f t="shared" si="885"/>
        <v/>
      </c>
      <c r="E760" s="10" t="str">
        <f>IF(ISBLANK(A758),"",E759+1)</f>
        <v/>
      </c>
      <c r="F760" s="11" t="str">
        <f t="shared" si="886"/>
        <v/>
      </c>
      <c r="G760" s="8"/>
    </row>
    <row r="761">
      <c r="A761" s="9" t="str">
        <f t="shared" si="884"/>
        <v/>
      </c>
      <c r="B761" s="9" t="str">
        <f>IF(ISBLANK(A758),"",LEFT(B760,27)&amp;VALUE(RIGHT(B760,1)+1))</f>
        <v/>
      </c>
      <c r="C761" s="6" t="str">
        <f t="shared" ref="C761:D761" si="887">C760</f>
        <v/>
      </c>
      <c r="D761" s="6" t="str">
        <f t="shared" si="887"/>
        <v/>
      </c>
      <c r="E761" s="10" t="str">
        <f>IF(ISBLANK(A758),"",E760+1)</f>
        <v/>
      </c>
      <c r="F761" s="11" t="str">
        <f t="shared" si="886"/>
        <v/>
      </c>
      <c r="G761" s="8"/>
    </row>
    <row r="762">
      <c r="A762" s="9" t="str">
        <f t="shared" si="884"/>
        <v/>
      </c>
      <c r="B762" s="9" t="str">
        <f>IF(ISBLANK(A758),"",LEFT(B761,27)&amp;VALUE(RIGHT(B761,1)+1))</f>
        <v/>
      </c>
      <c r="C762" s="6" t="str">
        <f t="shared" ref="C762:D762" si="888">C761</f>
        <v/>
      </c>
      <c r="D762" s="6" t="str">
        <f t="shared" si="888"/>
        <v/>
      </c>
      <c r="E762" s="10" t="str">
        <f>IF(ISBLANK(A758),"",E761+1)</f>
        <v/>
      </c>
      <c r="F762" s="11" t="str">
        <f t="shared" si="886"/>
        <v/>
      </c>
      <c r="G762" s="8"/>
    </row>
    <row r="763">
      <c r="A763" s="12" t="str">
        <f t="shared" si="884"/>
        <v/>
      </c>
      <c r="B763" s="12" t="str">
        <f>IF(ISBLANK(A758),"",LEFT(B762,27)&amp;VALUE(RIGHT(B762,1)+1))</f>
        <v/>
      </c>
      <c r="C763" s="13" t="str">
        <f t="shared" ref="C763:D763" si="889">C762</f>
        <v/>
      </c>
      <c r="D763" s="13" t="str">
        <f t="shared" si="889"/>
        <v/>
      </c>
      <c r="E763" s="14" t="str">
        <f>IF(ISBLANK(A758),"",E762+1)</f>
        <v/>
      </c>
      <c r="F763" s="15" t="str">
        <f t="shared" si="886"/>
        <v/>
      </c>
      <c r="G763" s="16"/>
    </row>
    <row r="764">
      <c r="A764" s="5"/>
      <c r="B764" s="6" t="str">
        <f t="array" ref="B764">IF(ISBLANK(A764),"",IF(A764="PROREP (L)",VLOOKUP(LEFT($A764,6),'Data Feed (40C)'!$A$1:$G$10,2,FALSE),IF(A764="PROREP (S)", INDEX('Data Feed (40C)'!B:B, MATCH(LEFT($A764,6), 'Data Feed (40C)'!$A$1:$A$10, 0) + 1), VLOOKUP($A764,'Data Feed (40C)'!$A$1:$G$10,2,FALSE))))</f>
        <v/>
      </c>
      <c r="C764" s="6" t="str">
        <f t="array" ref="C764">IF(ISBLANK(A764),"",IF(A764="PROREP (L)",VLOOKUP(LEFT($A764,6),'Data Feed (40C)'!$A$1:$G$10,3,FALSE),IF(A764="PROREP (S)", INDEX('Data Feed (40C)'!C:C, MATCH(LEFT($A764,6), 'Data Feed (40C)'!$A$1:$A$10, 0) + 1, +1), VLOOKUP($A764,'Data Feed (40C)'!$A$1:$G$10,3,FALSE))))</f>
        <v/>
      </c>
      <c r="D764" s="6" t="str">
        <f t="array" ref="D764">IF(ISBLANK(A764),"",IF(A764="PROREP (L)",VLOOKUP(LEFT($A764,6),'Data Feed (40C)'!$A$1:$G$10,4,FALSE),IF(A764="PROREP (S)", INDEX('Data Feed (40C)'!D:D, MATCH(LEFT($A764,6), 'Data Feed (40C)'!$A$1:$A$10, 0) + 1, +1), VLOOKUP($A764,'Data Feed (40C)'!$A$1:$G$10,4,FALSE))))</f>
        <v/>
      </c>
      <c r="E764" s="6" t="str">
        <f t="array" ref="E764">IF(ISBLANK(A764),"",IF(A764="PROREP (L)",VLOOKUP(LEFT($A764,6),'Data Feed (40C)'!$A$1:$G$10,7,FALSE),IF(A764="PROREP (S)", INDEX('Data Feed (40C)'!G:G, MATCH(LEFT($A764,6), 'Data Feed (40C)'!$A$1:$A$10, 0) + 1, +1), VLOOKUP($A764,'Data Feed (40C)'!$A$1:$G$10,7,FALSE))))</f>
        <v/>
      </c>
      <c r="F764" s="7"/>
      <c r="G764" s="8"/>
    </row>
    <row r="765">
      <c r="A765" s="9" t="str">
        <f t="shared" ref="A765:A769" si="891">A764</f>
        <v/>
      </c>
      <c r="B765" s="9" t="str">
        <f>IF(ISBLANK(A764),"",LEFT(B764,27)&amp;VALUE(RIGHT(B764,1)+1))</f>
        <v/>
      </c>
      <c r="C765" s="6" t="str">
        <f t="shared" ref="C765:D765" si="890">C764</f>
        <v/>
      </c>
      <c r="D765" s="6" t="str">
        <f t="shared" si="890"/>
        <v/>
      </c>
      <c r="E765" s="10" t="str">
        <f>IF(ISBLANK(A764),"",E764+1)</f>
        <v/>
      </c>
      <c r="F765" s="11" t="str">
        <f t="shared" ref="F765:F769" si="893">F764</f>
        <v/>
      </c>
      <c r="G765" s="8"/>
    </row>
    <row r="766">
      <c r="A766" s="9" t="str">
        <f t="shared" si="891"/>
        <v/>
      </c>
      <c r="B766" s="9" t="str">
        <f>IF(ISBLANK(A764),"",LEFT(B765,27)&amp;VALUE(RIGHT(B765,1)+1))</f>
        <v/>
      </c>
      <c r="C766" s="6" t="str">
        <f t="shared" ref="C766:D766" si="892">C765</f>
        <v/>
      </c>
      <c r="D766" s="6" t="str">
        <f t="shared" si="892"/>
        <v/>
      </c>
      <c r="E766" s="10" t="str">
        <f>IF(ISBLANK(A764),"",E765+1)</f>
        <v/>
      </c>
      <c r="F766" s="11" t="str">
        <f t="shared" si="893"/>
        <v/>
      </c>
      <c r="G766" s="8"/>
    </row>
    <row r="767">
      <c r="A767" s="9" t="str">
        <f t="shared" si="891"/>
        <v/>
      </c>
      <c r="B767" s="9" t="str">
        <f>IF(ISBLANK(A764),"",LEFT(B766,27)&amp;VALUE(RIGHT(B766,1)+1))</f>
        <v/>
      </c>
      <c r="C767" s="6" t="str">
        <f t="shared" ref="C767:D767" si="894">C766</f>
        <v/>
      </c>
      <c r="D767" s="6" t="str">
        <f t="shared" si="894"/>
        <v/>
      </c>
      <c r="E767" s="10" t="str">
        <f>IF(ISBLANK(A764),"",E766+1)</f>
        <v/>
      </c>
      <c r="F767" s="11" t="str">
        <f t="shared" si="893"/>
        <v/>
      </c>
      <c r="G767" s="8"/>
    </row>
    <row r="768">
      <c r="A768" s="9" t="str">
        <f t="shared" si="891"/>
        <v/>
      </c>
      <c r="B768" s="9" t="str">
        <f>IF(ISBLANK(A764),"",LEFT(B767,27)&amp;VALUE(RIGHT(B767,1)+1))</f>
        <v/>
      </c>
      <c r="C768" s="6" t="str">
        <f t="shared" ref="C768:D768" si="895">C767</f>
        <v/>
      </c>
      <c r="D768" s="6" t="str">
        <f t="shared" si="895"/>
        <v/>
      </c>
      <c r="E768" s="10" t="str">
        <f>IF(ISBLANK(A764),"",E767+1)</f>
        <v/>
      </c>
      <c r="F768" s="11" t="str">
        <f t="shared" si="893"/>
        <v/>
      </c>
      <c r="G768" s="8"/>
    </row>
    <row r="769">
      <c r="A769" s="12" t="str">
        <f t="shared" si="891"/>
        <v/>
      </c>
      <c r="B769" s="12" t="str">
        <f>IF(ISBLANK(A764),"",LEFT(B768,27)&amp;VALUE(RIGHT(B768,1)+1))</f>
        <v/>
      </c>
      <c r="C769" s="13" t="str">
        <f t="shared" ref="C769:D769" si="896">C768</f>
        <v/>
      </c>
      <c r="D769" s="13" t="str">
        <f t="shared" si="896"/>
        <v/>
      </c>
      <c r="E769" s="14" t="str">
        <f>IF(ISBLANK(A764),"",E768+1)</f>
        <v/>
      </c>
      <c r="F769" s="15" t="str">
        <f t="shared" si="893"/>
        <v/>
      </c>
      <c r="G769" s="16"/>
    </row>
    <row r="770">
      <c r="A770" s="5"/>
      <c r="B770" s="6" t="str">
        <f t="array" ref="B770">IF(ISBLANK(A770),"",IF(A770="PROREP (L)",VLOOKUP(LEFT($A770,6),'Data Feed (40C)'!$A$1:$G$10,2,FALSE),IF(A770="PROREP (S)", INDEX('Data Feed (40C)'!B:B, MATCH(LEFT($A770,6), 'Data Feed (40C)'!$A$1:$A$10, 0) + 1), VLOOKUP($A770,'Data Feed (40C)'!$A$1:$G$10,2,FALSE))))</f>
        <v/>
      </c>
      <c r="C770" s="6" t="str">
        <f t="array" ref="C770">IF(ISBLANK(A770),"",IF(A770="PROREP (L)",VLOOKUP(LEFT($A770,6),'Data Feed (40C)'!$A$1:$G$10,3,FALSE),IF(A770="PROREP (S)", INDEX('Data Feed (40C)'!C:C, MATCH(LEFT($A770,6), 'Data Feed (40C)'!$A$1:$A$10, 0) + 1, +1), VLOOKUP($A770,'Data Feed (40C)'!$A$1:$G$10,3,FALSE))))</f>
        <v/>
      </c>
      <c r="D770" s="6" t="str">
        <f t="array" ref="D770">IF(ISBLANK(A770),"",IF(A770="PROREP (L)",VLOOKUP(LEFT($A770,6),'Data Feed (40C)'!$A$1:$G$10,4,FALSE),IF(A770="PROREP (S)", INDEX('Data Feed (40C)'!D:D, MATCH(LEFT($A770,6), 'Data Feed (40C)'!$A$1:$A$10, 0) + 1, +1), VLOOKUP($A770,'Data Feed (40C)'!$A$1:$G$10,4,FALSE))))</f>
        <v/>
      </c>
      <c r="E770" s="6" t="str">
        <f t="array" ref="E770">IF(ISBLANK(A770),"",IF(A770="PROREP (L)",VLOOKUP(LEFT($A770,6),'Data Feed (40C)'!$A$1:$G$10,7,FALSE),IF(A770="PROREP (S)", INDEX('Data Feed (40C)'!G:G, MATCH(LEFT($A770,6), 'Data Feed (40C)'!$A$1:$A$10, 0) + 1, +1), VLOOKUP($A770,'Data Feed (40C)'!$A$1:$G$10,7,FALSE))))</f>
        <v/>
      </c>
      <c r="F770" s="7"/>
      <c r="G770" s="8"/>
    </row>
    <row r="771">
      <c r="A771" s="9" t="str">
        <f t="shared" ref="A771:A775" si="898">A770</f>
        <v/>
      </c>
      <c r="B771" s="9" t="str">
        <f>IF(ISBLANK(A770),"",LEFT(B770,27)&amp;VALUE(RIGHT(B770,1)+1))</f>
        <v/>
      </c>
      <c r="C771" s="6" t="str">
        <f t="shared" ref="C771:D771" si="897">C770</f>
        <v/>
      </c>
      <c r="D771" s="6" t="str">
        <f t="shared" si="897"/>
        <v/>
      </c>
      <c r="E771" s="10" t="str">
        <f>IF(ISBLANK(A770),"",E770+1)</f>
        <v/>
      </c>
      <c r="F771" s="11" t="str">
        <f t="shared" ref="F771:F775" si="900">F770</f>
        <v/>
      </c>
      <c r="G771" s="8"/>
    </row>
    <row r="772">
      <c r="A772" s="9" t="str">
        <f t="shared" si="898"/>
        <v/>
      </c>
      <c r="B772" s="9" t="str">
        <f>IF(ISBLANK(A770),"",LEFT(B771,27)&amp;VALUE(RIGHT(B771,1)+1))</f>
        <v/>
      </c>
      <c r="C772" s="6" t="str">
        <f t="shared" ref="C772:D772" si="899">C771</f>
        <v/>
      </c>
      <c r="D772" s="6" t="str">
        <f t="shared" si="899"/>
        <v/>
      </c>
      <c r="E772" s="10" t="str">
        <f>IF(ISBLANK(A770),"",E771+1)</f>
        <v/>
      </c>
      <c r="F772" s="11" t="str">
        <f t="shared" si="900"/>
        <v/>
      </c>
      <c r="G772" s="8"/>
    </row>
    <row r="773">
      <c r="A773" s="9" t="str">
        <f t="shared" si="898"/>
        <v/>
      </c>
      <c r="B773" s="9" t="str">
        <f>IF(ISBLANK(A770),"",LEFT(B772,27)&amp;VALUE(RIGHT(B772,1)+1))</f>
        <v/>
      </c>
      <c r="C773" s="6" t="str">
        <f t="shared" ref="C773:D773" si="901">C772</f>
        <v/>
      </c>
      <c r="D773" s="6" t="str">
        <f t="shared" si="901"/>
        <v/>
      </c>
      <c r="E773" s="10" t="str">
        <f>IF(ISBLANK(A770),"",E772+1)</f>
        <v/>
      </c>
      <c r="F773" s="11" t="str">
        <f t="shared" si="900"/>
        <v/>
      </c>
      <c r="G773" s="8"/>
    </row>
    <row r="774">
      <c r="A774" s="9" t="str">
        <f t="shared" si="898"/>
        <v/>
      </c>
      <c r="B774" s="9" t="str">
        <f>IF(ISBLANK(A770),"",LEFT(B773,27)&amp;VALUE(RIGHT(B773,1)+1))</f>
        <v/>
      </c>
      <c r="C774" s="6" t="str">
        <f t="shared" ref="C774:D774" si="902">C773</f>
        <v/>
      </c>
      <c r="D774" s="6" t="str">
        <f t="shared" si="902"/>
        <v/>
      </c>
      <c r="E774" s="10" t="str">
        <f>IF(ISBLANK(A770),"",E773+1)</f>
        <v/>
      </c>
      <c r="F774" s="11" t="str">
        <f t="shared" si="900"/>
        <v/>
      </c>
      <c r="G774" s="8"/>
    </row>
    <row r="775">
      <c r="A775" s="12" t="str">
        <f t="shared" si="898"/>
        <v/>
      </c>
      <c r="B775" s="12" t="str">
        <f>IF(ISBLANK(A770),"",LEFT(B774,27)&amp;VALUE(RIGHT(B774,1)+1))</f>
        <v/>
      </c>
      <c r="C775" s="13" t="str">
        <f t="shared" ref="C775:D775" si="903">C774</f>
        <v/>
      </c>
      <c r="D775" s="13" t="str">
        <f t="shared" si="903"/>
        <v/>
      </c>
      <c r="E775" s="14" t="str">
        <f>IF(ISBLANK(A770),"",E774+1)</f>
        <v/>
      </c>
      <c r="F775" s="15" t="str">
        <f t="shared" si="900"/>
        <v/>
      </c>
      <c r="G775" s="16"/>
    </row>
    <row r="776">
      <c r="A776" s="5"/>
      <c r="B776" s="6" t="str">
        <f t="array" ref="B776">IF(ISBLANK(A776),"",IF(A776="PROREP (L)",VLOOKUP(LEFT($A776,6),'Data Feed (40C)'!$A$1:$G$10,2,FALSE),IF(A776="PROREP (S)", INDEX('Data Feed (40C)'!B:B, MATCH(LEFT($A776,6), 'Data Feed (40C)'!$A$1:$A$10, 0) + 1), VLOOKUP($A776,'Data Feed (40C)'!$A$1:$G$10,2,FALSE))))</f>
        <v/>
      </c>
      <c r="C776" s="6" t="str">
        <f t="array" ref="C776">IF(ISBLANK(A776),"",IF(A776="PROREP (L)",VLOOKUP(LEFT($A776,6),'Data Feed (40C)'!$A$1:$G$10,3,FALSE),IF(A776="PROREP (S)", INDEX('Data Feed (40C)'!C:C, MATCH(LEFT($A776,6), 'Data Feed (40C)'!$A$1:$A$10, 0) + 1, +1), VLOOKUP($A776,'Data Feed (40C)'!$A$1:$G$10,3,FALSE))))</f>
        <v/>
      </c>
      <c r="D776" s="6" t="str">
        <f t="array" ref="D776">IF(ISBLANK(A776),"",IF(A776="PROREP (L)",VLOOKUP(LEFT($A776,6),'Data Feed (40C)'!$A$1:$G$10,4,FALSE),IF(A776="PROREP (S)", INDEX('Data Feed (40C)'!D:D, MATCH(LEFT($A776,6), 'Data Feed (40C)'!$A$1:$A$10, 0) + 1, +1), VLOOKUP($A776,'Data Feed (40C)'!$A$1:$G$10,4,FALSE))))</f>
        <v/>
      </c>
      <c r="E776" s="6" t="str">
        <f t="array" ref="E776">IF(ISBLANK(A776),"",IF(A776="PROREP (L)",VLOOKUP(LEFT($A776,6),'Data Feed (40C)'!$A$1:$G$10,7,FALSE),IF(A776="PROREP (S)", INDEX('Data Feed (40C)'!G:G, MATCH(LEFT($A776,6), 'Data Feed (40C)'!$A$1:$A$10, 0) + 1, +1), VLOOKUP($A776,'Data Feed (40C)'!$A$1:$G$10,7,FALSE))))</f>
        <v/>
      </c>
      <c r="F776" s="7"/>
      <c r="G776" s="8"/>
    </row>
    <row r="777">
      <c r="A777" s="9" t="str">
        <f t="shared" ref="A777:A781" si="905">A776</f>
        <v/>
      </c>
      <c r="B777" s="9" t="str">
        <f>IF(ISBLANK(A776),"",LEFT(B776,27)&amp;VALUE(RIGHT(B776,1)+1))</f>
        <v/>
      </c>
      <c r="C777" s="6" t="str">
        <f t="shared" ref="C777:D777" si="904">C776</f>
        <v/>
      </c>
      <c r="D777" s="6" t="str">
        <f t="shared" si="904"/>
        <v/>
      </c>
      <c r="E777" s="10" t="str">
        <f>IF(ISBLANK(A776),"",E776+1)</f>
        <v/>
      </c>
      <c r="F777" s="11" t="str">
        <f t="shared" ref="F777:F781" si="907">F776</f>
        <v/>
      </c>
      <c r="G777" s="8"/>
    </row>
    <row r="778">
      <c r="A778" s="9" t="str">
        <f t="shared" si="905"/>
        <v/>
      </c>
      <c r="B778" s="9" t="str">
        <f>IF(ISBLANK(A776),"",LEFT(B777,27)&amp;VALUE(RIGHT(B777,1)+1))</f>
        <v/>
      </c>
      <c r="C778" s="6" t="str">
        <f t="shared" ref="C778:D778" si="906">C777</f>
        <v/>
      </c>
      <c r="D778" s="6" t="str">
        <f t="shared" si="906"/>
        <v/>
      </c>
      <c r="E778" s="10" t="str">
        <f>IF(ISBLANK(A776),"",E777+1)</f>
        <v/>
      </c>
      <c r="F778" s="11" t="str">
        <f t="shared" si="907"/>
        <v/>
      </c>
      <c r="G778" s="8"/>
    </row>
    <row r="779">
      <c r="A779" s="9" t="str">
        <f t="shared" si="905"/>
        <v/>
      </c>
      <c r="B779" s="9" t="str">
        <f>IF(ISBLANK(A776),"",LEFT(B778,27)&amp;VALUE(RIGHT(B778,1)+1))</f>
        <v/>
      </c>
      <c r="C779" s="6" t="str">
        <f t="shared" ref="C779:D779" si="908">C778</f>
        <v/>
      </c>
      <c r="D779" s="6" t="str">
        <f t="shared" si="908"/>
        <v/>
      </c>
      <c r="E779" s="10" t="str">
        <f>IF(ISBLANK(A776),"",E778+1)</f>
        <v/>
      </c>
      <c r="F779" s="11" t="str">
        <f t="shared" si="907"/>
        <v/>
      </c>
      <c r="G779" s="8"/>
    </row>
    <row r="780">
      <c r="A780" s="9" t="str">
        <f t="shared" si="905"/>
        <v/>
      </c>
      <c r="B780" s="9" t="str">
        <f>IF(ISBLANK(A776),"",LEFT(B779,27)&amp;VALUE(RIGHT(B779,1)+1))</f>
        <v/>
      </c>
      <c r="C780" s="6" t="str">
        <f t="shared" ref="C780:D780" si="909">C779</f>
        <v/>
      </c>
      <c r="D780" s="6" t="str">
        <f t="shared" si="909"/>
        <v/>
      </c>
      <c r="E780" s="10" t="str">
        <f>IF(ISBLANK(A776),"",E779+1)</f>
        <v/>
      </c>
      <c r="F780" s="11" t="str">
        <f t="shared" si="907"/>
        <v/>
      </c>
      <c r="G780" s="8"/>
    </row>
    <row r="781">
      <c r="A781" s="12" t="str">
        <f t="shared" si="905"/>
        <v/>
      </c>
      <c r="B781" s="12" t="str">
        <f>IF(ISBLANK(A776),"",LEFT(B780,27)&amp;VALUE(RIGHT(B780,1)+1))</f>
        <v/>
      </c>
      <c r="C781" s="13" t="str">
        <f t="shared" ref="C781:D781" si="910">C780</f>
        <v/>
      </c>
      <c r="D781" s="13" t="str">
        <f t="shared" si="910"/>
        <v/>
      </c>
      <c r="E781" s="14" t="str">
        <f>IF(ISBLANK(A776),"",E780+1)</f>
        <v/>
      </c>
      <c r="F781" s="15" t="str">
        <f t="shared" si="907"/>
        <v/>
      </c>
      <c r="G781" s="16"/>
    </row>
    <row r="782">
      <c r="A782" s="5"/>
      <c r="B782" s="6" t="str">
        <f t="array" ref="B782">IF(ISBLANK(A782),"",IF(A782="PROREP (L)",VLOOKUP(LEFT($A782,6),'Data Feed (40C)'!$A$1:$G$10,2,FALSE),IF(A782="PROREP (S)", INDEX('Data Feed (40C)'!B:B, MATCH(LEFT($A782,6), 'Data Feed (40C)'!$A$1:$A$10, 0) + 1), VLOOKUP($A782,'Data Feed (40C)'!$A$1:$G$10,2,FALSE))))</f>
        <v/>
      </c>
      <c r="C782" s="6" t="str">
        <f t="array" ref="C782">IF(ISBLANK(A782),"",IF(A782="PROREP (L)",VLOOKUP(LEFT($A782,6),'Data Feed (40C)'!$A$1:$G$10,3,FALSE),IF(A782="PROREP (S)", INDEX('Data Feed (40C)'!C:C, MATCH(LEFT($A782,6), 'Data Feed (40C)'!$A$1:$A$10, 0) + 1, +1), VLOOKUP($A782,'Data Feed (40C)'!$A$1:$G$10,3,FALSE))))</f>
        <v/>
      </c>
      <c r="D782" s="6" t="str">
        <f t="array" ref="D782">IF(ISBLANK(A782),"",IF(A782="PROREP (L)",VLOOKUP(LEFT($A782,6),'Data Feed (40C)'!$A$1:$G$10,4,FALSE),IF(A782="PROREP (S)", INDEX('Data Feed (40C)'!D:D, MATCH(LEFT($A782,6), 'Data Feed (40C)'!$A$1:$A$10, 0) + 1, +1), VLOOKUP($A782,'Data Feed (40C)'!$A$1:$G$10,4,FALSE))))</f>
        <v/>
      </c>
      <c r="E782" s="6" t="str">
        <f t="array" ref="E782">IF(ISBLANK(A782),"",IF(A782="PROREP (L)",VLOOKUP(LEFT($A782,6),'Data Feed (40C)'!$A$1:$G$10,7,FALSE),IF(A782="PROREP (S)", INDEX('Data Feed (40C)'!G:G, MATCH(LEFT($A782,6), 'Data Feed (40C)'!$A$1:$A$10, 0) + 1, +1), VLOOKUP($A782,'Data Feed (40C)'!$A$1:$G$10,7,FALSE))))</f>
        <v/>
      </c>
      <c r="F782" s="7"/>
      <c r="G782" s="8"/>
    </row>
    <row r="783">
      <c r="A783" s="9" t="str">
        <f t="shared" ref="A783:A787" si="912">A782</f>
        <v/>
      </c>
      <c r="B783" s="9" t="str">
        <f>IF(ISBLANK(A782),"",LEFT(B782,27)&amp;VALUE(RIGHT(B782,1)+1))</f>
        <v/>
      </c>
      <c r="C783" s="6" t="str">
        <f t="shared" ref="C783:D783" si="911">C782</f>
        <v/>
      </c>
      <c r="D783" s="6" t="str">
        <f t="shared" si="911"/>
        <v/>
      </c>
      <c r="E783" s="10" t="str">
        <f>IF(ISBLANK(A782),"",E782+1)</f>
        <v/>
      </c>
      <c r="F783" s="11" t="str">
        <f t="shared" ref="F783:F787" si="914">F782</f>
        <v/>
      </c>
      <c r="G783" s="8"/>
    </row>
    <row r="784">
      <c r="A784" s="9" t="str">
        <f t="shared" si="912"/>
        <v/>
      </c>
      <c r="B784" s="9" t="str">
        <f>IF(ISBLANK(A782),"",LEFT(B783,27)&amp;VALUE(RIGHT(B783,1)+1))</f>
        <v/>
      </c>
      <c r="C784" s="6" t="str">
        <f t="shared" ref="C784:D784" si="913">C783</f>
        <v/>
      </c>
      <c r="D784" s="6" t="str">
        <f t="shared" si="913"/>
        <v/>
      </c>
      <c r="E784" s="10" t="str">
        <f>IF(ISBLANK(A782),"",E783+1)</f>
        <v/>
      </c>
      <c r="F784" s="11" t="str">
        <f t="shared" si="914"/>
        <v/>
      </c>
      <c r="G784" s="8"/>
    </row>
    <row r="785">
      <c r="A785" s="9" t="str">
        <f t="shared" si="912"/>
        <v/>
      </c>
      <c r="B785" s="9" t="str">
        <f>IF(ISBLANK(A782),"",LEFT(B784,27)&amp;VALUE(RIGHT(B784,1)+1))</f>
        <v/>
      </c>
      <c r="C785" s="6" t="str">
        <f t="shared" ref="C785:D785" si="915">C784</f>
        <v/>
      </c>
      <c r="D785" s="6" t="str">
        <f t="shared" si="915"/>
        <v/>
      </c>
      <c r="E785" s="10" t="str">
        <f>IF(ISBLANK(A782),"",E784+1)</f>
        <v/>
      </c>
      <c r="F785" s="11" t="str">
        <f t="shared" si="914"/>
        <v/>
      </c>
      <c r="G785" s="8"/>
    </row>
    <row r="786">
      <c r="A786" s="9" t="str">
        <f t="shared" si="912"/>
        <v/>
      </c>
      <c r="B786" s="9" t="str">
        <f>IF(ISBLANK(A782),"",LEFT(B785,27)&amp;VALUE(RIGHT(B785,1)+1))</f>
        <v/>
      </c>
      <c r="C786" s="6" t="str">
        <f t="shared" ref="C786:D786" si="916">C785</f>
        <v/>
      </c>
      <c r="D786" s="6" t="str">
        <f t="shared" si="916"/>
        <v/>
      </c>
      <c r="E786" s="10" t="str">
        <f>IF(ISBLANK(A782),"",E785+1)</f>
        <v/>
      </c>
      <c r="F786" s="11" t="str">
        <f t="shared" si="914"/>
        <v/>
      </c>
      <c r="G786" s="8"/>
    </row>
    <row r="787">
      <c r="A787" s="12" t="str">
        <f t="shared" si="912"/>
        <v/>
      </c>
      <c r="B787" s="12" t="str">
        <f>IF(ISBLANK(A782),"",LEFT(B786,27)&amp;VALUE(RIGHT(B786,1)+1))</f>
        <v/>
      </c>
      <c r="C787" s="13" t="str">
        <f t="shared" ref="C787:D787" si="917">C786</f>
        <v/>
      </c>
      <c r="D787" s="13" t="str">
        <f t="shared" si="917"/>
        <v/>
      </c>
      <c r="E787" s="14" t="str">
        <f>IF(ISBLANK(A782),"",E786+1)</f>
        <v/>
      </c>
      <c r="F787" s="15" t="str">
        <f t="shared" si="914"/>
        <v/>
      </c>
      <c r="G787" s="16"/>
    </row>
    <row r="788">
      <c r="A788" s="5"/>
      <c r="B788" s="6" t="str">
        <f t="array" ref="B788">IF(ISBLANK(A788),"",IF(A788="PROREP (L)",VLOOKUP(LEFT($A788,6),'Data Feed (40C)'!$A$1:$G$10,2,FALSE),IF(A788="PROREP (S)", INDEX('Data Feed (40C)'!B:B, MATCH(LEFT($A788,6), 'Data Feed (40C)'!$A$1:$A$10, 0) + 1), VLOOKUP($A788,'Data Feed (40C)'!$A$1:$G$10,2,FALSE))))</f>
        <v/>
      </c>
      <c r="C788" s="6" t="str">
        <f t="array" ref="C788">IF(ISBLANK(A788),"",IF(A788="PROREP (L)",VLOOKUP(LEFT($A788,6),'Data Feed (40C)'!$A$1:$G$10,3,FALSE),IF(A788="PROREP (S)", INDEX('Data Feed (40C)'!C:C, MATCH(LEFT($A788,6), 'Data Feed (40C)'!$A$1:$A$10, 0) + 1, +1), VLOOKUP($A788,'Data Feed (40C)'!$A$1:$G$10,3,FALSE))))</f>
        <v/>
      </c>
      <c r="D788" s="6" t="str">
        <f t="array" ref="D788">IF(ISBLANK(A788),"",IF(A788="PROREP (L)",VLOOKUP(LEFT($A788,6),'Data Feed (40C)'!$A$1:$G$10,4,FALSE),IF(A788="PROREP (S)", INDEX('Data Feed (40C)'!D:D, MATCH(LEFT($A788,6), 'Data Feed (40C)'!$A$1:$A$10, 0) + 1, +1), VLOOKUP($A788,'Data Feed (40C)'!$A$1:$G$10,4,FALSE))))</f>
        <v/>
      </c>
      <c r="E788" s="6" t="str">
        <f t="array" ref="E788">IF(ISBLANK(A788),"",IF(A788="PROREP (L)",VLOOKUP(LEFT($A788,6),'Data Feed (40C)'!$A$1:$G$10,7,FALSE),IF(A788="PROREP (S)", INDEX('Data Feed (40C)'!G:G, MATCH(LEFT($A788,6), 'Data Feed (40C)'!$A$1:$A$10, 0) + 1, +1), VLOOKUP($A788,'Data Feed (40C)'!$A$1:$G$10,7,FALSE))))</f>
        <v/>
      </c>
      <c r="F788" s="7"/>
      <c r="G788" s="8"/>
    </row>
    <row r="789">
      <c r="A789" s="9" t="str">
        <f t="shared" ref="A789:A793" si="919">A788</f>
        <v/>
      </c>
      <c r="B789" s="9" t="str">
        <f>IF(ISBLANK(A788),"",LEFT(B788,27)&amp;VALUE(RIGHT(B788,1)+1))</f>
        <v/>
      </c>
      <c r="C789" s="6" t="str">
        <f t="shared" ref="C789:D789" si="918">C788</f>
        <v/>
      </c>
      <c r="D789" s="6" t="str">
        <f t="shared" si="918"/>
        <v/>
      </c>
      <c r="E789" s="10" t="str">
        <f>IF(ISBLANK(A788),"",E788+1)</f>
        <v/>
      </c>
      <c r="F789" s="11" t="str">
        <f t="shared" ref="F789:F793" si="921">F788</f>
        <v/>
      </c>
      <c r="G789" s="8"/>
    </row>
    <row r="790">
      <c r="A790" s="9" t="str">
        <f t="shared" si="919"/>
        <v/>
      </c>
      <c r="B790" s="9" t="str">
        <f>IF(ISBLANK(A788),"",LEFT(B789,27)&amp;VALUE(RIGHT(B789,1)+1))</f>
        <v/>
      </c>
      <c r="C790" s="6" t="str">
        <f t="shared" ref="C790:D790" si="920">C789</f>
        <v/>
      </c>
      <c r="D790" s="6" t="str">
        <f t="shared" si="920"/>
        <v/>
      </c>
      <c r="E790" s="10" t="str">
        <f>IF(ISBLANK(A788),"",E789+1)</f>
        <v/>
      </c>
      <c r="F790" s="11" t="str">
        <f t="shared" si="921"/>
        <v/>
      </c>
      <c r="G790" s="8"/>
    </row>
    <row r="791">
      <c r="A791" s="9" t="str">
        <f t="shared" si="919"/>
        <v/>
      </c>
      <c r="B791" s="9" t="str">
        <f>IF(ISBLANK(A788),"",LEFT(B790,27)&amp;VALUE(RIGHT(B790,1)+1))</f>
        <v/>
      </c>
      <c r="C791" s="6" t="str">
        <f t="shared" ref="C791:D791" si="922">C790</f>
        <v/>
      </c>
      <c r="D791" s="6" t="str">
        <f t="shared" si="922"/>
        <v/>
      </c>
      <c r="E791" s="10" t="str">
        <f>IF(ISBLANK(A788),"",E790+1)</f>
        <v/>
      </c>
      <c r="F791" s="11" t="str">
        <f t="shared" si="921"/>
        <v/>
      </c>
      <c r="G791" s="8"/>
    </row>
    <row r="792">
      <c r="A792" s="9" t="str">
        <f t="shared" si="919"/>
        <v/>
      </c>
      <c r="B792" s="9" t="str">
        <f>IF(ISBLANK(A788),"",LEFT(B791,27)&amp;VALUE(RIGHT(B791,1)+1))</f>
        <v/>
      </c>
      <c r="C792" s="6" t="str">
        <f t="shared" ref="C792:D792" si="923">C791</f>
        <v/>
      </c>
      <c r="D792" s="6" t="str">
        <f t="shared" si="923"/>
        <v/>
      </c>
      <c r="E792" s="10" t="str">
        <f>IF(ISBLANK(A788),"",E791+1)</f>
        <v/>
      </c>
      <c r="F792" s="11" t="str">
        <f t="shared" si="921"/>
        <v/>
      </c>
      <c r="G792" s="8"/>
    </row>
    <row r="793">
      <c r="A793" s="12" t="str">
        <f t="shared" si="919"/>
        <v/>
      </c>
      <c r="B793" s="12" t="str">
        <f>IF(ISBLANK(A788),"",LEFT(B792,27)&amp;VALUE(RIGHT(B792,1)+1))</f>
        <v/>
      </c>
      <c r="C793" s="13" t="str">
        <f t="shared" ref="C793:D793" si="924">C792</f>
        <v/>
      </c>
      <c r="D793" s="13" t="str">
        <f t="shared" si="924"/>
        <v/>
      </c>
      <c r="E793" s="14" t="str">
        <f>IF(ISBLANK(A788),"",E792+1)</f>
        <v/>
      </c>
      <c r="F793" s="15" t="str">
        <f t="shared" si="921"/>
        <v/>
      </c>
      <c r="G793" s="16"/>
    </row>
    <row r="794">
      <c r="A794" s="5"/>
      <c r="B794" s="6" t="str">
        <f t="array" ref="B794">IF(ISBLANK(A794),"",IF(A794="PROREP (L)",VLOOKUP(LEFT($A794,6),'Data Feed (40C)'!$A$1:$G$10,2,FALSE),IF(A794="PROREP (S)", INDEX('Data Feed (40C)'!B:B, MATCH(LEFT($A794,6), 'Data Feed (40C)'!$A$1:$A$10, 0) + 1), VLOOKUP($A794,'Data Feed (40C)'!$A$1:$G$10,2,FALSE))))</f>
        <v/>
      </c>
      <c r="C794" s="6" t="str">
        <f t="array" ref="C794">IF(ISBLANK(A794),"",IF(A794="PROREP (L)",VLOOKUP(LEFT($A794,6),'Data Feed (40C)'!$A$1:$G$10,3,FALSE),IF(A794="PROREP (S)", INDEX('Data Feed (40C)'!C:C, MATCH(LEFT($A794,6), 'Data Feed (40C)'!$A$1:$A$10, 0) + 1, +1), VLOOKUP($A794,'Data Feed (40C)'!$A$1:$G$10,3,FALSE))))</f>
        <v/>
      </c>
      <c r="D794" s="6" t="str">
        <f t="array" ref="D794">IF(ISBLANK(A794),"",IF(A794="PROREP (L)",VLOOKUP(LEFT($A794,6),'Data Feed (40C)'!$A$1:$G$10,4,FALSE),IF(A794="PROREP (S)", INDEX('Data Feed (40C)'!D:D, MATCH(LEFT($A794,6), 'Data Feed (40C)'!$A$1:$A$10, 0) + 1, +1), VLOOKUP($A794,'Data Feed (40C)'!$A$1:$G$10,4,FALSE))))</f>
        <v/>
      </c>
      <c r="E794" s="6" t="str">
        <f t="array" ref="E794">IF(ISBLANK(A794),"",IF(A794="PROREP (L)",VLOOKUP(LEFT($A794,6),'Data Feed (40C)'!$A$1:$G$10,7,FALSE),IF(A794="PROREP (S)", INDEX('Data Feed (40C)'!G:G, MATCH(LEFT($A794,6), 'Data Feed (40C)'!$A$1:$A$10, 0) + 1, +1), VLOOKUP($A794,'Data Feed (40C)'!$A$1:$G$10,7,FALSE))))</f>
        <v/>
      </c>
      <c r="F794" s="7"/>
      <c r="G794" s="8"/>
    </row>
    <row r="795">
      <c r="A795" s="9" t="str">
        <f t="shared" ref="A795:A799" si="926">A794</f>
        <v/>
      </c>
      <c r="B795" s="9" t="str">
        <f>IF(ISBLANK(A794),"",LEFT(B794,27)&amp;VALUE(RIGHT(B794,1)+1))</f>
        <v/>
      </c>
      <c r="C795" s="6" t="str">
        <f t="shared" ref="C795:D795" si="925">C794</f>
        <v/>
      </c>
      <c r="D795" s="6" t="str">
        <f t="shared" si="925"/>
        <v/>
      </c>
      <c r="E795" s="10" t="str">
        <f>IF(ISBLANK(A794),"",E794+1)</f>
        <v/>
      </c>
      <c r="F795" s="11" t="str">
        <f t="shared" ref="F795:F799" si="928">F794</f>
        <v/>
      </c>
      <c r="G795" s="8"/>
    </row>
    <row r="796">
      <c r="A796" s="9" t="str">
        <f t="shared" si="926"/>
        <v/>
      </c>
      <c r="B796" s="9" t="str">
        <f>IF(ISBLANK(A794),"",LEFT(B795,27)&amp;VALUE(RIGHT(B795,1)+1))</f>
        <v/>
      </c>
      <c r="C796" s="6" t="str">
        <f t="shared" ref="C796:D796" si="927">C795</f>
        <v/>
      </c>
      <c r="D796" s="6" t="str">
        <f t="shared" si="927"/>
        <v/>
      </c>
      <c r="E796" s="10" t="str">
        <f>IF(ISBLANK(A794),"",E795+1)</f>
        <v/>
      </c>
      <c r="F796" s="11" t="str">
        <f t="shared" si="928"/>
        <v/>
      </c>
      <c r="G796" s="8"/>
    </row>
    <row r="797">
      <c r="A797" s="9" t="str">
        <f t="shared" si="926"/>
        <v/>
      </c>
      <c r="B797" s="9" t="str">
        <f>IF(ISBLANK(A794),"",LEFT(B796,27)&amp;VALUE(RIGHT(B796,1)+1))</f>
        <v/>
      </c>
      <c r="C797" s="6" t="str">
        <f t="shared" ref="C797:D797" si="929">C796</f>
        <v/>
      </c>
      <c r="D797" s="6" t="str">
        <f t="shared" si="929"/>
        <v/>
      </c>
      <c r="E797" s="10" t="str">
        <f>IF(ISBLANK(A794),"",E796+1)</f>
        <v/>
      </c>
      <c r="F797" s="11" t="str">
        <f t="shared" si="928"/>
        <v/>
      </c>
      <c r="G797" s="8"/>
    </row>
    <row r="798">
      <c r="A798" s="9" t="str">
        <f t="shared" si="926"/>
        <v/>
      </c>
      <c r="B798" s="9" t="str">
        <f>IF(ISBLANK(A794),"",LEFT(B797,27)&amp;VALUE(RIGHT(B797,1)+1))</f>
        <v/>
      </c>
      <c r="C798" s="6" t="str">
        <f t="shared" ref="C798:D798" si="930">C797</f>
        <v/>
      </c>
      <c r="D798" s="6" t="str">
        <f t="shared" si="930"/>
        <v/>
      </c>
      <c r="E798" s="10" t="str">
        <f>IF(ISBLANK(A794),"",E797+1)</f>
        <v/>
      </c>
      <c r="F798" s="11" t="str">
        <f t="shared" si="928"/>
        <v/>
      </c>
      <c r="G798" s="8"/>
    </row>
    <row r="799">
      <c r="A799" s="12" t="str">
        <f t="shared" si="926"/>
        <v/>
      </c>
      <c r="B799" s="12" t="str">
        <f>IF(ISBLANK(A794),"",LEFT(B798,27)&amp;VALUE(RIGHT(B798,1)+1))</f>
        <v/>
      </c>
      <c r="C799" s="13" t="str">
        <f t="shared" ref="C799:D799" si="931">C798</f>
        <v/>
      </c>
      <c r="D799" s="13" t="str">
        <f t="shared" si="931"/>
        <v/>
      </c>
      <c r="E799" s="14" t="str">
        <f>IF(ISBLANK(A794),"",E798+1)</f>
        <v/>
      </c>
      <c r="F799" s="15" t="str">
        <f t="shared" si="928"/>
        <v/>
      </c>
      <c r="G799" s="16"/>
    </row>
    <row r="800">
      <c r="A800" s="5"/>
      <c r="B800" s="6" t="str">
        <f t="array" ref="B800">IF(ISBLANK(A800),"",IF(A800="PROREP (L)",VLOOKUP(LEFT($A800,6),'Data Feed (40C)'!$A$1:$G$10,2,FALSE),IF(A800="PROREP (S)", INDEX('Data Feed (40C)'!B:B, MATCH(LEFT($A800,6), 'Data Feed (40C)'!$A$1:$A$10, 0) + 1), VLOOKUP($A800,'Data Feed (40C)'!$A$1:$G$10,2,FALSE))))</f>
        <v/>
      </c>
      <c r="C800" s="6" t="str">
        <f t="array" ref="C800">IF(ISBLANK(A800),"",IF(A800="PROREP (L)",VLOOKUP(LEFT($A800,6),'Data Feed (40C)'!$A$1:$G$10,3,FALSE),IF(A800="PROREP (S)", INDEX('Data Feed (40C)'!C:C, MATCH(LEFT($A800,6), 'Data Feed (40C)'!$A$1:$A$10, 0) + 1, +1), VLOOKUP($A800,'Data Feed (40C)'!$A$1:$G$10,3,FALSE))))</f>
        <v/>
      </c>
      <c r="D800" s="6" t="str">
        <f t="array" ref="D800">IF(ISBLANK(A800),"",IF(A800="PROREP (L)",VLOOKUP(LEFT($A800,6),'Data Feed (40C)'!$A$1:$G$10,4,FALSE),IF(A800="PROREP (S)", INDEX('Data Feed (40C)'!D:D, MATCH(LEFT($A800,6), 'Data Feed (40C)'!$A$1:$A$10, 0) + 1, +1), VLOOKUP($A800,'Data Feed (40C)'!$A$1:$G$10,4,FALSE))))</f>
        <v/>
      </c>
      <c r="E800" s="6" t="str">
        <f t="array" ref="E800">IF(ISBLANK(A800),"",IF(A800="PROREP (L)",VLOOKUP(LEFT($A800,6),'Data Feed (40C)'!$A$1:$G$10,7,FALSE),IF(A800="PROREP (S)", INDEX('Data Feed (40C)'!G:G, MATCH(LEFT($A800,6), 'Data Feed (40C)'!$A$1:$A$10, 0) + 1, +1), VLOOKUP($A800,'Data Feed (40C)'!$A$1:$G$10,7,FALSE))))</f>
        <v/>
      </c>
      <c r="F800" s="7"/>
      <c r="G800" s="8"/>
    </row>
    <row r="801">
      <c r="A801" s="9" t="str">
        <f t="shared" ref="A801:A805" si="933">A800</f>
        <v/>
      </c>
      <c r="B801" s="9" t="str">
        <f>IF(ISBLANK(A800),"",LEFT(B800,27)&amp;VALUE(RIGHT(B800,1)+1))</f>
        <v/>
      </c>
      <c r="C801" s="6" t="str">
        <f t="shared" ref="C801:D801" si="932">C800</f>
        <v/>
      </c>
      <c r="D801" s="6" t="str">
        <f t="shared" si="932"/>
        <v/>
      </c>
      <c r="E801" s="10" t="str">
        <f>IF(ISBLANK(A800),"",E800+1)</f>
        <v/>
      </c>
      <c r="F801" s="11" t="str">
        <f t="shared" ref="F801:F805" si="935">F800</f>
        <v/>
      </c>
      <c r="G801" s="8"/>
    </row>
    <row r="802">
      <c r="A802" s="9" t="str">
        <f t="shared" si="933"/>
        <v/>
      </c>
      <c r="B802" s="9" t="str">
        <f>IF(ISBLANK(A800),"",LEFT(B801,27)&amp;VALUE(RIGHT(B801,1)+1))</f>
        <v/>
      </c>
      <c r="C802" s="6" t="str">
        <f t="shared" ref="C802:D802" si="934">C801</f>
        <v/>
      </c>
      <c r="D802" s="6" t="str">
        <f t="shared" si="934"/>
        <v/>
      </c>
      <c r="E802" s="10" t="str">
        <f>IF(ISBLANK(A800),"",E801+1)</f>
        <v/>
      </c>
      <c r="F802" s="11" t="str">
        <f t="shared" si="935"/>
        <v/>
      </c>
      <c r="G802" s="8"/>
    </row>
    <row r="803">
      <c r="A803" s="9" t="str">
        <f t="shared" si="933"/>
        <v/>
      </c>
      <c r="B803" s="9" t="str">
        <f>IF(ISBLANK(A800),"",LEFT(B802,27)&amp;VALUE(RIGHT(B802,1)+1))</f>
        <v/>
      </c>
      <c r="C803" s="6" t="str">
        <f t="shared" ref="C803:D803" si="936">C802</f>
        <v/>
      </c>
      <c r="D803" s="6" t="str">
        <f t="shared" si="936"/>
        <v/>
      </c>
      <c r="E803" s="10" t="str">
        <f>IF(ISBLANK(A800),"",E802+1)</f>
        <v/>
      </c>
      <c r="F803" s="11" t="str">
        <f t="shared" si="935"/>
        <v/>
      </c>
      <c r="G803" s="8"/>
    </row>
    <row r="804">
      <c r="A804" s="9" t="str">
        <f t="shared" si="933"/>
        <v/>
      </c>
      <c r="B804" s="9" t="str">
        <f>IF(ISBLANK(A800),"",LEFT(B803,27)&amp;VALUE(RIGHT(B803,1)+1))</f>
        <v/>
      </c>
      <c r="C804" s="6" t="str">
        <f t="shared" ref="C804:D804" si="937">C803</f>
        <v/>
      </c>
      <c r="D804" s="6" t="str">
        <f t="shared" si="937"/>
        <v/>
      </c>
      <c r="E804" s="10" t="str">
        <f>IF(ISBLANK(A800),"",E803+1)</f>
        <v/>
      </c>
      <c r="F804" s="11" t="str">
        <f t="shared" si="935"/>
        <v/>
      </c>
      <c r="G804" s="8"/>
    </row>
    <row r="805">
      <c r="A805" s="12" t="str">
        <f t="shared" si="933"/>
        <v/>
      </c>
      <c r="B805" s="12" t="str">
        <f>IF(ISBLANK(A800),"",LEFT(B804,27)&amp;VALUE(RIGHT(B804,1)+1))</f>
        <v/>
      </c>
      <c r="C805" s="13" t="str">
        <f t="shared" ref="C805:D805" si="938">C804</f>
        <v/>
      </c>
      <c r="D805" s="13" t="str">
        <f t="shared" si="938"/>
        <v/>
      </c>
      <c r="E805" s="14" t="str">
        <f>IF(ISBLANK(A800),"",E804+1)</f>
        <v/>
      </c>
      <c r="F805" s="15" t="str">
        <f t="shared" si="935"/>
        <v/>
      </c>
      <c r="G805" s="16"/>
    </row>
    <row r="806">
      <c r="A806" s="5"/>
      <c r="B806" s="6" t="str">
        <f t="array" ref="B806">IF(ISBLANK(A806),"",IF(A806="PROREP (L)",VLOOKUP(LEFT($A806,6),'Data Feed (40C)'!$A$1:$G$10,2,FALSE),IF(A806="PROREP (S)", INDEX('Data Feed (40C)'!B:B, MATCH(LEFT($A806,6), 'Data Feed (40C)'!$A$1:$A$10, 0) + 1), VLOOKUP($A806,'Data Feed (40C)'!$A$1:$G$10,2,FALSE))))</f>
        <v/>
      </c>
      <c r="C806" s="6" t="str">
        <f t="array" ref="C806">IF(ISBLANK(A806),"",IF(A806="PROREP (L)",VLOOKUP(LEFT($A806,6),'Data Feed (40C)'!$A$1:$G$10,3,FALSE),IF(A806="PROREP (S)", INDEX('Data Feed (40C)'!C:C, MATCH(LEFT($A806,6), 'Data Feed (40C)'!$A$1:$A$10, 0) + 1, +1), VLOOKUP($A806,'Data Feed (40C)'!$A$1:$G$10,3,FALSE))))</f>
        <v/>
      </c>
      <c r="D806" s="6" t="str">
        <f t="array" ref="D806">IF(ISBLANK(A806),"",IF(A806="PROREP (L)",VLOOKUP(LEFT($A806,6),'Data Feed (40C)'!$A$1:$G$10,4,FALSE),IF(A806="PROREP (S)", INDEX('Data Feed (40C)'!D:D, MATCH(LEFT($A806,6), 'Data Feed (40C)'!$A$1:$A$10, 0) + 1, +1), VLOOKUP($A806,'Data Feed (40C)'!$A$1:$G$10,4,FALSE))))</f>
        <v/>
      </c>
      <c r="E806" s="6" t="str">
        <f t="array" ref="E806">IF(ISBLANK(A806),"",IF(A806="PROREP (L)",VLOOKUP(LEFT($A806,6),'Data Feed (40C)'!$A$1:$G$10,7,FALSE),IF(A806="PROREP (S)", INDEX('Data Feed (40C)'!G:G, MATCH(LEFT($A806,6), 'Data Feed (40C)'!$A$1:$A$10, 0) + 1, +1), VLOOKUP($A806,'Data Feed (40C)'!$A$1:$G$10,7,FALSE))))</f>
        <v/>
      </c>
      <c r="F806" s="7"/>
      <c r="G806" s="8"/>
    </row>
    <row r="807">
      <c r="A807" s="9" t="str">
        <f t="shared" ref="A807:A811" si="940">A806</f>
        <v/>
      </c>
      <c r="B807" s="9" t="str">
        <f>IF(ISBLANK(A806),"",LEFT(B806,27)&amp;VALUE(RIGHT(B806,1)+1))</f>
        <v/>
      </c>
      <c r="C807" s="6" t="str">
        <f t="shared" ref="C807:D807" si="939">C806</f>
        <v/>
      </c>
      <c r="D807" s="6" t="str">
        <f t="shared" si="939"/>
        <v/>
      </c>
      <c r="E807" s="10" t="str">
        <f>IF(ISBLANK(A806),"",E806+1)</f>
        <v/>
      </c>
      <c r="F807" s="11" t="str">
        <f t="shared" ref="F807:F811" si="942">F806</f>
        <v/>
      </c>
      <c r="G807" s="8"/>
    </row>
    <row r="808">
      <c r="A808" s="9" t="str">
        <f t="shared" si="940"/>
        <v/>
      </c>
      <c r="B808" s="9" t="str">
        <f>IF(ISBLANK(A806),"",LEFT(B807,27)&amp;VALUE(RIGHT(B807,1)+1))</f>
        <v/>
      </c>
      <c r="C808" s="6" t="str">
        <f t="shared" ref="C808:D808" si="941">C807</f>
        <v/>
      </c>
      <c r="D808" s="6" t="str">
        <f t="shared" si="941"/>
        <v/>
      </c>
      <c r="E808" s="10" t="str">
        <f>IF(ISBLANK(A806),"",E807+1)</f>
        <v/>
      </c>
      <c r="F808" s="11" t="str">
        <f t="shared" si="942"/>
        <v/>
      </c>
      <c r="G808" s="8"/>
    </row>
    <row r="809">
      <c r="A809" s="9" t="str">
        <f t="shared" si="940"/>
        <v/>
      </c>
      <c r="B809" s="9" t="str">
        <f>IF(ISBLANK(A806),"",LEFT(B808,27)&amp;VALUE(RIGHT(B808,1)+1))</f>
        <v/>
      </c>
      <c r="C809" s="6" t="str">
        <f t="shared" ref="C809:D809" si="943">C808</f>
        <v/>
      </c>
      <c r="D809" s="6" t="str">
        <f t="shared" si="943"/>
        <v/>
      </c>
      <c r="E809" s="10" t="str">
        <f>IF(ISBLANK(A806),"",E808+1)</f>
        <v/>
      </c>
      <c r="F809" s="11" t="str">
        <f t="shared" si="942"/>
        <v/>
      </c>
      <c r="G809" s="8"/>
    </row>
    <row r="810">
      <c r="A810" s="9" t="str">
        <f t="shared" si="940"/>
        <v/>
      </c>
      <c r="B810" s="9" t="str">
        <f>IF(ISBLANK(A806),"",LEFT(B809,27)&amp;VALUE(RIGHT(B809,1)+1))</f>
        <v/>
      </c>
      <c r="C810" s="6" t="str">
        <f t="shared" ref="C810:D810" si="944">C809</f>
        <v/>
      </c>
      <c r="D810" s="6" t="str">
        <f t="shared" si="944"/>
        <v/>
      </c>
      <c r="E810" s="10" t="str">
        <f>IF(ISBLANK(A806),"",E809+1)</f>
        <v/>
      </c>
      <c r="F810" s="11" t="str">
        <f t="shared" si="942"/>
        <v/>
      </c>
      <c r="G810" s="8"/>
    </row>
    <row r="811">
      <c r="A811" s="12" t="str">
        <f t="shared" si="940"/>
        <v/>
      </c>
      <c r="B811" s="12" t="str">
        <f>IF(ISBLANK(A806),"",LEFT(B810,27)&amp;VALUE(RIGHT(B810,1)+1))</f>
        <v/>
      </c>
      <c r="C811" s="13" t="str">
        <f t="shared" ref="C811:D811" si="945">C810</f>
        <v/>
      </c>
      <c r="D811" s="13" t="str">
        <f t="shared" si="945"/>
        <v/>
      </c>
      <c r="E811" s="14" t="str">
        <f>IF(ISBLANK(A806),"",E810+1)</f>
        <v/>
      </c>
      <c r="F811" s="15" t="str">
        <f t="shared" si="942"/>
        <v/>
      </c>
      <c r="G811" s="16"/>
    </row>
    <row r="812">
      <c r="A812" s="5"/>
      <c r="B812" s="6" t="str">
        <f t="array" ref="B812">IF(ISBLANK(A812),"",IF(A812="PROREP (L)",VLOOKUP(LEFT($A812,6),'Data Feed (40C)'!$A$1:$G$10,2,FALSE),IF(A812="PROREP (S)", INDEX('Data Feed (40C)'!B:B, MATCH(LEFT($A812,6), 'Data Feed (40C)'!$A$1:$A$10, 0) + 1), VLOOKUP($A812,'Data Feed (40C)'!$A$1:$G$10,2,FALSE))))</f>
        <v/>
      </c>
      <c r="C812" s="6" t="str">
        <f t="array" ref="C812">IF(ISBLANK(A812),"",IF(A812="PROREP (L)",VLOOKUP(LEFT($A812,6),'Data Feed (40C)'!$A$1:$G$10,3,FALSE),IF(A812="PROREP (S)", INDEX('Data Feed (40C)'!C:C, MATCH(LEFT($A812,6), 'Data Feed (40C)'!$A$1:$A$10, 0) + 1, +1), VLOOKUP($A812,'Data Feed (40C)'!$A$1:$G$10,3,FALSE))))</f>
        <v/>
      </c>
      <c r="D812" s="6" t="str">
        <f t="array" ref="D812">IF(ISBLANK(A812),"",IF(A812="PROREP (L)",VLOOKUP(LEFT($A812,6),'Data Feed (40C)'!$A$1:$G$10,4,FALSE),IF(A812="PROREP (S)", INDEX('Data Feed (40C)'!D:D, MATCH(LEFT($A812,6), 'Data Feed (40C)'!$A$1:$A$10, 0) + 1, +1), VLOOKUP($A812,'Data Feed (40C)'!$A$1:$G$10,4,FALSE))))</f>
        <v/>
      </c>
      <c r="E812" s="6" t="str">
        <f t="array" ref="E812">IF(ISBLANK(A812),"",IF(A812="PROREP (L)",VLOOKUP(LEFT($A812,6),'Data Feed (40C)'!$A$1:$G$10,7,FALSE),IF(A812="PROREP (S)", INDEX('Data Feed (40C)'!G:G, MATCH(LEFT($A812,6), 'Data Feed (40C)'!$A$1:$A$10, 0) + 1, +1), VLOOKUP($A812,'Data Feed (40C)'!$A$1:$G$10,7,FALSE))))</f>
        <v/>
      </c>
      <c r="F812" s="7"/>
      <c r="G812" s="8"/>
    </row>
    <row r="813">
      <c r="A813" s="9" t="str">
        <f t="shared" ref="A813:A817" si="947">A812</f>
        <v/>
      </c>
      <c r="B813" s="9" t="str">
        <f>IF(ISBLANK(A812),"",LEFT(B812,27)&amp;VALUE(RIGHT(B812,1)+1))</f>
        <v/>
      </c>
      <c r="C813" s="6" t="str">
        <f t="shared" ref="C813:D813" si="946">C812</f>
        <v/>
      </c>
      <c r="D813" s="6" t="str">
        <f t="shared" si="946"/>
        <v/>
      </c>
      <c r="E813" s="10" t="str">
        <f>IF(ISBLANK(A812),"",E812+1)</f>
        <v/>
      </c>
      <c r="F813" s="11" t="str">
        <f t="shared" ref="F813:F817" si="949">F812</f>
        <v/>
      </c>
      <c r="G813" s="8"/>
    </row>
    <row r="814">
      <c r="A814" s="9" t="str">
        <f t="shared" si="947"/>
        <v/>
      </c>
      <c r="B814" s="9" t="str">
        <f>IF(ISBLANK(A812),"",LEFT(B813,27)&amp;VALUE(RIGHT(B813,1)+1))</f>
        <v/>
      </c>
      <c r="C814" s="6" t="str">
        <f t="shared" ref="C814:D814" si="948">C813</f>
        <v/>
      </c>
      <c r="D814" s="6" t="str">
        <f t="shared" si="948"/>
        <v/>
      </c>
      <c r="E814" s="10" t="str">
        <f>IF(ISBLANK(A812),"",E813+1)</f>
        <v/>
      </c>
      <c r="F814" s="11" t="str">
        <f t="shared" si="949"/>
        <v/>
      </c>
      <c r="G814" s="8"/>
    </row>
    <row r="815">
      <c r="A815" s="9" t="str">
        <f t="shared" si="947"/>
        <v/>
      </c>
      <c r="B815" s="9" t="str">
        <f>IF(ISBLANK(A812),"",LEFT(B814,27)&amp;VALUE(RIGHT(B814,1)+1))</f>
        <v/>
      </c>
      <c r="C815" s="6" t="str">
        <f t="shared" ref="C815:D815" si="950">C814</f>
        <v/>
      </c>
      <c r="D815" s="6" t="str">
        <f t="shared" si="950"/>
        <v/>
      </c>
      <c r="E815" s="10" t="str">
        <f>IF(ISBLANK(A812),"",E814+1)</f>
        <v/>
      </c>
      <c r="F815" s="11" t="str">
        <f t="shared" si="949"/>
        <v/>
      </c>
      <c r="G815" s="8"/>
    </row>
    <row r="816">
      <c r="A816" s="9" t="str">
        <f t="shared" si="947"/>
        <v/>
      </c>
      <c r="B816" s="9" t="str">
        <f>IF(ISBLANK(A812),"",LEFT(B815,27)&amp;VALUE(RIGHT(B815,1)+1))</f>
        <v/>
      </c>
      <c r="C816" s="6" t="str">
        <f t="shared" ref="C816:D816" si="951">C815</f>
        <v/>
      </c>
      <c r="D816" s="6" t="str">
        <f t="shared" si="951"/>
        <v/>
      </c>
      <c r="E816" s="10" t="str">
        <f>IF(ISBLANK(A812),"",E815+1)</f>
        <v/>
      </c>
      <c r="F816" s="11" t="str">
        <f t="shared" si="949"/>
        <v/>
      </c>
      <c r="G816" s="8"/>
    </row>
    <row r="817">
      <c r="A817" s="12" t="str">
        <f t="shared" si="947"/>
        <v/>
      </c>
      <c r="B817" s="12" t="str">
        <f>IF(ISBLANK(A812),"",LEFT(B816,27)&amp;VALUE(RIGHT(B816,1)+1))</f>
        <v/>
      </c>
      <c r="C817" s="13" t="str">
        <f t="shared" ref="C817:D817" si="952">C816</f>
        <v/>
      </c>
      <c r="D817" s="13" t="str">
        <f t="shared" si="952"/>
        <v/>
      </c>
      <c r="E817" s="14" t="str">
        <f>IF(ISBLANK(A812),"",E816+1)</f>
        <v/>
      </c>
      <c r="F817" s="15" t="str">
        <f t="shared" si="949"/>
        <v/>
      </c>
      <c r="G817" s="16"/>
    </row>
    <row r="818">
      <c r="A818" s="5"/>
      <c r="B818" s="6" t="str">
        <f t="array" ref="B818">IF(ISBLANK(A818),"",IF(A818="PROREP (L)",VLOOKUP(LEFT($A818,6),'Data Feed (40C)'!$A$1:$G$10,2,FALSE),IF(A818="PROREP (S)", INDEX('Data Feed (40C)'!B:B, MATCH(LEFT($A818,6), 'Data Feed (40C)'!$A$1:$A$10, 0) + 1), VLOOKUP($A818,'Data Feed (40C)'!$A$1:$G$10,2,FALSE))))</f>
        <v/>
      </c>
      <c r="C818" s="6" t="str">
        <f t="array" ref="C818">IF(ISBLANK(A818),"",IF(A818="PROREP (L)",VLOOKUP(LEFT($A818,6),'Data Feed (40C)'!$A$1:$G$10,3,FALSE),IF(A818="PROREP (S)", INDEX('Data Feed (40C)'!C:C, MATCH(LEFT($A818,6), 'Data Feed (40C)'!$A$1:$A$10, 0) + 1, +1), VLOOKUP($A818,'Data Feed (40C)'!$A$1:$G$10,3,FALSE))))</f>
        <v/>
      </c>
      <c r="D818" s="6" t="str">
        <f t="array" ref="D818">IF(ISBLANK(A818),"",IF(A818="PROREP (L)",VLOOKUP(LEFT($A818,6),'Data Feed (40C)'!$A$1:$G$10,4,FALSE),IF(A818="PROREP (S)", INDEX('Data Feed (40C)'!D:D, MATCH(LEFT($A818,6), 'Data Feed (40C)'!$A$1:$A$10, 0) + 1, +1), VLOOKUP($A818,'Data Feed (40C)'!$A$1:$G$10,4,FALSE))))</f>
        <v/>
      </c>
      <c r="E818" s="6" t="str">
        <f t="array" ref="E818">IF(ISBLANK(A818),"",IF(A818="PROREP (L)",VLOOKUP(LEFT($A818,6),'Data Feed (40C)'!$A$1:$G$10,7,FALSE),IF(A818="PROREP (S)", INDEX('Data Feed (40C)'!G:G, MATCH(LEFT($A818,6), 'Data Feed (40C)'!$A$1:$A$10, 0) + 1, +1), VLOOKUP($A818,'Data Feed (40C)'!$A$1:$G$10,7,FALSE))))</f>
        <v/>
      </c>
      <c r="F818" s="7"/>
      <c r="G818" s="8"/>
    </row>
    <row r="819">
      <c r="A819" s="9" t="str">
        <f t="shared" ref="A819:A823" si="954">A818</f>
        <v/>
      </c>
      <c r="B819" s="9" t="str">
        <f>IF(ISBLANK(A818),"",LEFT(B818,27)&amp;VALUE(RIGHT(B818,1)+1))</f>
        <v/>
      </c>
      <c r="C819" s="6" t="str">
        <f t="shared" ref="C819:D819" si="953">C818</f>
        <v/>
      </c>
      <c r="D819" s="6" t="str">
        <f t="shared" si="953"/>
        <v/>
      </c>
      <c r="E819" s="10" t="str">
        <f>IF(ISBLANK(A818),"",E818+1)</f>
        <v/>
      </c>
      <c r="F819" s="11" t="str">
        <f t="shared" ref="F819:F823" si="956">F818</f>
        <v/>
      </c>
      <c r="G819" s="8"/>
    </row>
    <row r="820">
      <c r="A820" s="9" t="str">
        <f t="shared" si="954"/>
        <v/>
      </c>
      <c r="B820" s="9" t="str">
        <f>IF(ISBLANK(A818),"",LEFT(B819,27)&amp;VALUE(RIGHT(B819,1)+1))</f>
        <v/>
      </c>
      <c r="C820" s="6" t="str">
        <f t="shared" ref="C820:D820" si="955">C819</f>
        <v/>
      </c>
      <c r="D820" s="6" t="str">
        <f t="shared" si="955"/>
        <v/>
      </c>
      <c r="E820" s="10" t="str">
        <f>IF(ISBLANK(A818),"",E819+1)</f>
        <v/>
      </c>
      <c r="F820" s="11" t="str">
        <f t="shared" si="956"/>
        <v/>
      </c>
      <c r="G820" s="8"/>
    </row>
    <row r="821">
      <c r="A821" s="9" t="str">
        <f t="shared" si="954"/>
        <v/>
      </c>
      <c r="B821" s="9" t="str">
        <f>IF(ISBLANK(A818),"",LEFT(B820,27)&amp;VALUE(RIGHT(B820,1)+1))</f>
        <v/>
      </c>
      <c r="C821" s="6" t="str">
        <f t="shared" ref="C821:D821" si="957">C820</f>
        <v/>
      </c>
      <c r="D821" s="6" t="str">
        <f t="shared" si="957"/>
        <v/>
      </c>
      <c r="E821" s="10" t="str">
        <f>IF(ISBLANK(A818),"",E820+1)</f>
        <v/>
      </c>
      <c r="F821" s="11" t="str">
        <f t="shared" si="956"/>
        <v/>
      </c>
      <c r="G821" s="8"/>
    </row>
    <row r="822">
      <c r="A822" s="9" t="str">
        <f t="shared" si="954"/>
        <v/>
      </c>
      <c r="B822" s="9" t="str">
        <f>IF(ISBLANK(A818),"",LEFT(B821,27)&amp;VALUE(RIGHT(B821,1)+1))</f>
        <v/>
      </c>
      <c r="C822" s="6" t="str">
        <f t="shared" ref="C822:D822" si="958">C821</f>
        <v/>
      </c>
      <c r="D822" s="6" t="str">
        <f t="shared" si="958"/>
        <v/>
      </c>
      <c r="E822" s="10" t="str">
        <f>IF(ISBLANK(A818),"",E821+1)</f>
        <v/>
      </c>
      <c r="F822" s="11" t="str">
        <f t="shared" si="956"/>
        <v/>
      </c>
      <c r="G822" s="8"/>
    </row>
    <row r="823">
      <c r="A823" s="12" t="str">
        <f t="shared" si="954"/>
        <v/>
      </c>
      <c r="B823" s="12" t="str">
        <f>IF(ISBLANK(A818),"",LEFT(B822,27)&amp;VALUE(RIGHT(B822,1)+1))</f>
        <v/>
      </c>
      <c r="C823" s="13" t="str">
        <f t="shared" ref="C823:D823" si="959">C822</f>
        <v/>
      </c>
      <c r="D823" s="13" t="str">
        <f t="shared" si="959"/>
        <v/>
      </c>
      <c r="E823" s="14" t="str">
        <f>IF(ISBLANK(A818),"",E822+1)</f>
        <v/>
      </c>
      <c r="F823" s="15" t="str">
        <f t="shared" si="956"/>
        <v/>
      </c>
      <c r="G823" s="16"/>
    </row>
    <row r="824">
      <c r="A824" s="5"/>
      <c r="B824" s="6" t="str">
        <f t="array" ref="B824">IF(ISBLANK(A824),"",IF(A824="PROREP (L)",VLOOKUP(LEFT($A824,6),'Data Feed (40C)'!$A$1:$G$10,2,FALSE),IF(A824="PROREP (S)", INDEX('Data Feed (40C)'!B:B, MATCH(LEFT($A824,6), 'Data Feed (40C)'!$A$1:$A$10, 0) + 1), VLOOKUP($A824,'Data Feed (40C)'!$A$1:$G$10,2,FALSE))))</f>
        <v/>
      </c>
      <c r="C824" s="6" t="str">
        <f t="array" ref="C824">IF(ISBLANK(A824),"",IF(A824="PROREP (L)",VLOOKUP(LEFT($A824,6),'Data Feed (40C)'!$A$1:$G$10,3,FALSE),IF(A824="PROREP (S)", INDEX('Data Feed (40C)'!C:C, MATCH(LEFT($A824,6), 'Data Feed (40C)'!$A$1:$A$10, 0) + 1, +1), VLOOKUP($A824,'Data Feed (40C)'!$A$1:$G$10,3,FALSE))))</f>
        <v/>
      </c>
      <c r="D824" s="6" t="str">
        <f t="array" ref="D824">IF(ISBLANK(A824),"",IF(A824="PROREP (L)",VLOOKUP(LEFT($A824,6),'Data Feed (40C)'!$A$1:$G$10,4,FALSE),IF(A824="PROREP (S)", INDEX('Data Feed (40C)'!D:D, MATCH(LEFT($A824,6), 'Data Feed (40C)'!$A$1:$A$10, 0) + 1, +1), VLOOKUP($A824,'Data Feed (40C)'!$A$1:$G$10,4,FALSE))))</f>
        <v/>
      </c>
      <c r="E824" s="6" t="str">
        <f t="array" ref="E824">IF(ISBLANK(A824),"",IF(A824="PROREP (L)",VLOOKUP(LEFT($A824,6),'Data Feed (40C)'!$A$1:$G$10,7,FALSE),IF(A824="PROREP (S)", INDEX('Data Feed (40C)'!G:G, MATCH(LEFT($A824,6), 'Data Feed (40C)'!$A$1:$A$10, 0) + 1, +1), VLOOKUP($A824,'Data Feed (40C)'!$A$1:$G$10,7,FALSE))))</f>
        <v/>
      </c>
      <c r="F824" s="7"/>
      <c r="G824" s="8"/>
    </row>
    <row r="825">
      <c r="A825" s="9" t="str">
        <f t="shared" ref="A825:A829" si="961">A824</f>
        <v/>
      </c>
      <c r="B825" s="9" t="str">
        <f>IF(ISBLANK(A824),"",LEFT(B824,27)&amp;VALUE(RIGHT(B824,1)+1))</f>
        <v/>
      </c>
      <c r="C825" s="6" t="str">
        <f t="shared" ref="C825:D825" si="960">C824</f>
        <v/>
      </c>
      <c r="D825" s="6" t="str">
        <f t="shared" si="960"/>
        <v/>
      </c>
      <c r="E825" s="10" t="str">
        <f>IF(ISBLANK(A824),"",E824+1)</f>
        <v/>
      </c>
      <c r="F825" s="11" t="str">
        <f t="shared" ref="F825:F829" si="963">F824</f>
        <v/>
      </c>
      <c r="G825" s="8"/>
    </row>
    <row r="826">
      <c r="A826" s="9" t="str">
        <f t="shared" si="961"/>
        <v/>
      </c>
      <c r="B826" s="9" t="str">
        <f>IF(ISBLANK(A824),"",LEFT(B825,27)&amp;VALUE(RIGHT(B825,1)+1))</f>
        <v/>
      </c>
      <c r="C826" s="6" t="str">
        <f t="shared" ref="C826:D826" si="962">C825</f>
        <v/>
      </c>
      <c r="D826" s="6" t="str">
        <f t="shared" si="962"/>
        <v/>
      </c>
      <c r="E826" s="10" t="str">
        <f>IF(ISBLANK(A824),"",E825+1)</f>
        <v/>
      </c>
      <c r="F826" s="11" t="str">
        <f t="shared" si="963"/>
        <v/>
      </c>
      <c r="G826" s="8"/>
    </row>
    <row r="827">
      <c r="A827" s="9" t="str">
        <f t="shared" si="961"/>
        <v/>
      </c>
      <c r="B827" s="9" t="str">
        <f>IF(ISBLANK(A824),"",LEFT(B826,27)&amp;VALUE(RIGHT(B826,1)+1))</f>
        <v/>
      </c>
      <c r="C827" s="6" t="str">
        <f t="shared" ref="C827:D827" si="964">C826</f>
        <v/>
      </c>
      <c r="D827" s="6" t="str">
        <f t="shared" si="964"/>
        <v/>
      </c>
      <c r="E827" s="10" t="str">
        <f>IF(ISBLANK(A824),"",E826+1)</f>
        <v/>
      </c>
      <c r="F827" s="11" t="str">
        <f t="shared" si="963"/>
        <v/>
      </c>
      <c r="G827" s="8"/>
    </row>
    <row r="828">
      <c r="A828" s="9" t="str">
        <f t="shared" si="961"/>
        <v/>
      </c>
      <c r="B828" s="9" t="str">
        <f>IF(ISBLANK(A824),"",LEFT(B827,27)&amp;VALUE(RIGHT(B827,1)+1))</f>
        <v/>
      </c>
      <c r="C828" s="6" t="str">
        <f t="shared" ref="C828:D828" si="965">C827</f>
        <v/>
      </c>
      <c r="D828" s="6" t="str">
        <f t="shared" si="965"/>
        <v/>
      </c>
      <c r="E828" s="10" t="str">
        <f>IF(ISBLANK(A824),"",E827+1)</f>
        <v/>
      </c>
      <c r="F828" s="11" t="str">
        <f t="shared" si="963"/>
        <v/>
      </c>
      <c r="G828" s="8"/>
    </row>
    <row r="829">
      <c r="A829" s="12" t="str">
        <f t="shared" si="961"/>
        <v/>
      </c>
      <c r="B829" s="12" t="str">
        <f>IF(ISBLANK(A824),"",LEFT(B828,27)&amp;VALUE(RIGHT(B828,1)+1))</f>
        <v/>
      </c>
      <c r="C829" s="13" t="str">
        <f t="shared" ref="C829:D829" si="966">C828</f>
        <v/>
      </c>
      <c r="D829" s="13" t="str">
        <f t="shared" si="966"/>
        <v/>
      </c>
      <c r="E829" s="14" t="str">
        <f>IF(ISBLANK(A824),"",E828+1)</f>
        <v/>
      </c>
      <c r="F829" s="15" t="str">
        <f t="shared" si="963"/>
        <v/>
      </c>
      <c r="G829" s="16"/>
    </row>
    <row r="830">
      <c r="A830" s="5"/>
      <c r="B830" s="6" t="str">
        <f t="array" ref="B830">IF(ISBLANK(A830),"",IF(A830="PROREP (L)",VLOOKUP(LEFT($A830,6),'Data Feed (40C)'!$A$1:$G$10,2,FALSE),IF(A830="PROREP (S)", INDEX('Data Feed (40C)'!B:B, MATCH(LEFT($A830,6), 'Data Feed (40C)'!$A$1:$A$10, 0) + 1), VLOOKUP($A830,'Data Feed (40C)'!$A$1:$G$10,2,FALSE))))</f>
        <v/>
      </c>
      <c r="C830" s="6" t="str">
        <f t="array" ref="C830">IF(ISBLANK(A830),"",IF(A830="PROREP (L)",VLOOKUP(LEFT($A830,6),'Data Feed (40C)'!$A$1:$G$10,3,FALSE),IF(A830="PROREP (S)", INDEX('Data Feed (40C)'!C:C, MATCH(LEFT($A830,6), 'Data Feed (40C)'!$A$1:$A$10, 0) + 1, +1), VLOOKUP($A830,'Data Feed (40C)'!$A$1:$G$10,3,FALSE))))</f>
        <v/>
      </c>
      <c r="D830" s="6" t="str">
        <f t="array" ref="D830">IF(ISBLANK(A830),"",IF(A830="PROREP (L)",VLOOKUP(LEFT($A830,6),'Data Feed (40C)'!$A$1:$G$10,4,FALSE),IF(A830="PROREP (S)", INDEX('Data Feed (40C)'!D:D, MATCH(LEFT($A830,6), 'Data Feed (40C)'!$A$1:$A$10, 0) + 1, +1), VLOOKUP($A830,'Data Feed (40C)'!$A$1:$G$10,4,FALSE))))</f>
        <v/>
      </c>
      <c r="E830" s="6" t="str">
        <f t="array" ref="E830">IF(ISBLANK(A830),"",IF(A830="PROREP (L)",VLOOKUP(LEFT($A830,6),'Data Feed (40C)'!$A$1:$G$10,7,FALSE),IF(A830="PROREP (S)", INDEX('Data Feed (40C)'!G:G, MATCH(LEFT($A830,6), 'Data Feed (40C)'!$A$1:$A$10, 0) + 1, +1), VLOOKUP($A830,'Data Feed (40C)'!$A$1:$G$10,7,FALSE))))</f>
        <v/>
      </c>
      <c r="F830" s="7"/>
      <c r="G830" s="8"/>
    </row>
    <row r="831">
      <c r="A831" s="9" t="str">
        <f t="shared" ref="A831:A835" si="968">A830</f>
        <v/>
      </c>
      <c r="B831" s="9" t="str">
        <f>IF(ISBLANK(A830),"",LEFT(B830,27)&amp;VALUE(RIGHT(B830,1)+1))</f>
        <v/>
      </c>
      <c r="C831" s="6" t="str">
        <f t="shared" ref="C831:D831" si="967">C830</f>
        <v/>
      </c>
      <c r="D831" s="6" t="str">
        <f t="shared" si="967"/>
        <v/>
      </c>
      <c r="E831" s="10" t="str">
        <f>IF(ISBLANK(A830),"",E830+1)</f>
        <v/>
      </c>
      <c r="F831" s="11" t="str">
        <f t="shared" ref="F831:F835" si="970">F830</f>
        <v/>
      </c>
      <c r="G831" s="8"/>
    </row>
    <row r="832">
      <c r="A832" s="9" t="str">
        <f t="shared" si="968"/>
        <v/>
      </c>
      <c r="B832" s="9" t="str">
        <f>IF(ISBLANK(A830),"",LEFT(B831,27)&amp;VALUE(RIGHT(B831,1)+1))</f>
        <v/>
      </c>
      <c r="C832" s="6" t="str">
        <f t="shared" ref="C832:D832" si="969">C831</f>
        <v/>
      </c>
      <c r="D832" s="6" t="str">
        <f t="shared" si="969"/>
        <v/>
      </c>
      <c r="E832" s="10" t="str">
        <f>IF(ISBLANK(A830),"",E831+1)</f>
        <v/>
      </c>
      <c r="F832" s="11" t="str">
        <f t="shared" si="970"/>
        <v/>
      </c>
      <c r="G832" s="8"/>
    </row>
    <row r="833">
      <c r="A833" s="9" t="str">
        <f t="shared" si="968"/>
        <v/>
      </c>
      <c r="B833" s="9" t="str">
        <f>IF(ISBLANK(A830),"",LEFT(B832,27)&amp;VALUE(RIGHT(B832,1)+1))</f>
        <v/>
      </c>
      <c r="C833" s="6" t="str">
        <f t="shared" ref="C833:D833" si="971">C832</f>
        <v/>
      </c>
      <c r="D833" s="6" t="str">
        <f t="shared" si="971"/>
        <v/>
      </c>
      <c r="E833" s="10" t="str">
        <f>IF(ISBLANK(A830),"",E832+1)</f>
        <v/>
      </c>
      <c r="F833" s="11" t="str">
        <f t="shared" si="970"/>
        <v/>
      </c>
      <c r="G833" s="8"/>
    </row>
    <row r="834">
      <c r="A834" s="9" t="str">
        <f t="shared" si="968"/>
        <v/>
      </c>
      <c r="B834" s="9" t="str">
        <f>IF(ISBLANK(A830),"",LEFT(B833,27)&amp;VALUE(RIGHT(B833,1)+1))</f>
        <v/>
      </c>
      <c r="C834" s="6" t="str">
        <f t="shared" ref="C834:D834" si="972">C833</f>
        <v/>
      </c>
      <c r="D834" s="6" t="str">
        <f t="shared" si="972"/>
        <v/>
      </c>
      <c r="E834" s="10" t="str">
        <f>IF(ISBLANK(A830),"",E833+1)</f>
        <v/>
      </c>
      <c r="F834" s="11" t="str">
        <f t="shared" si="970"/>
        <v/>
      </c>
      <c r="G834" s="8"/>
    </row>
    <row r="835">
      <c r="A835" s="12" t="str">
        <f t="shared" si="968"/>
        <v/>
      </c>
      <c r="B835" s="12" t="str">
        <f>IF(ISBLANK(A830),"",LEFT(B834,27)&amp;VALUE(RIGHT(B834,1)+1))</f>
        <v/>
      </c>
      <c r="C835" s="13" t="str">
        <f t="shared" ref="C835:D835" si="973">C834</f>
        <v/>
      </c>
      <c r="D835" s="13" t="str">
        <f t="shared" si="973"/>
        <v/>
      </c>
      <c r="E835" s="14" t="str">
        <f>IF(ISBLANK(A830),"",E834+1)</f>
        <v/>
      </c>
      <c r="F835" s="15" t="str">
        <f t="shared" si="970"/>
        <v/>
      </c>
      <c r="G835" s="16"/>
    </row>
    <row r="836">
      <c r="A836" s="5"/>
      <c r="B836" s="6" t="str">
        <f t="array" ref="B836">IF(ISBLANK(A836),"",IF(A836="PROREP (L)",VLOOKUP(LEFT($A836,6),'Data Feed (40C)'!$A$1:$G$10,2,FALSE),IF(A836="PROREP (S)", INDEX('Data Feed (40C)'!B:B, MATCH(LEFT($A836,6), 'Data Feed (40C)'!$A$1:$A$10, 0) + 1), VLOOKUP($A836,'Data Feed (40C)'!$A$1:$G$10,2,FALSE))))</f>
        <v/>
      </c>
      <c r="C836" s="6" t="str">
        <f t="array" ref="C836">IF(ISBLANK(A836),"",IF(A836="PROREP (L)",VLOOKUP(LEFT($A836,6),'Data Feed (40C)'!$A$1:$G$10,3,FALSE),IF(A836="PROREP (S)", INDEX('Data Feed (40C)'!C:C, MATCH(LEFT($A836,6), 'Data Feed (40C)'!$A$1:$A$10, 0) + 1, +1), VLOOKUP($A836,'Data Feed (40C)'!$A$1:$G$10,3,FALSE))))</f>
        <v/>
      </c>
      <c r="D836" s="6" t="str">
        <f t="array" ref="D836">IF(ISBLANK(A836),"",IF(A836="PROREP (L)",VLOOKUP(LEFT($A836,6),'Data Feed (40C)'!$A$1:$G$10,4,FALSE),IF(A836="PROREP (S)", INDEX('Data Feed (40C)'!D:D, MATCH(LEFT($A836,6), 'Data Feed (40C)'!$A$1:$A$10, 0) + 1, +1), VLOOKUP($A836,'Data Feed (40C)'!$A$1:$G$10,4,FALSE))))</f>
        <v/>
      </c>
      <c r="E836" s="6" t="str">
        <f t="array" ref="E836">IF(ISBLANK(A836),"",IF(A836="PROREP (L)",VLOOKUP(LEFT($A836,6),'Data Feed (40C)'!$A$1:$G$10,7,FALSE),IF(A836="PROREP (S)", INDEX('Data Feed (40C)'!G:G, MATCH(LEFT($A836,6), 'Data Feed (40C)'!$A$1:$A$10, 0) + 1, +1), VLOOKUP($A836,'Data Feed (40C)'!$A$1:$G$10,7,FALSE))))</f>
        <v/>
      </c>
      <c r="F836" s="7"/>
      <c r="G836" s="8"/>
    </row>
    <row r="837">
      <c r="A837" s="9" t="str">
        <f t="shared" ref="A837:A841" si="975">A836</f>
        <v/>
      </c>
      <c r="B837" s="9" t="str">
        <f>IF(ISBLANK(A836),"",LEFT(B836,27)&amp;VALUE(RIGHT(B836,1)+1))</f>
        <v/>
      </c>
      <c r="C837" s="6" t="str">
        <f t="shared" ref="C837:D837" si="974">C836</f>
        <v/>
      </c>
      <c r="D837" s="6" t="str">
        <f t="shared" si="974"/>
        <v/>
      </c>
      <c r="E837" s="10" t="str">
        <f>IF(ISBLANK(A836),"",E836+1)</f>
        <v/>
      </c>
      <c r="F837" s="11" t="str">
        <f t="shared" ref="F837:F841" si="977">F836</f>
        <v/>
      </c>
      <c r="G837" s="8"/>
    </row>
    <row r="838">
      <c r="A838" s="9" t="str">
        <f t="shared" si="975"/>
        <v/>
      </c>
      <c r="B838" s="9" t="str">
        <f>IF(ISBLANK(A836),"",LEFT(B837,27)&amp;VALUE(RIGHT(B837,1)+1))</f>
        <v/>
      </c>
      <c r="C838" s="6" t="str">
        <f t="shared" ref="C838:D838" si="976">C837</f>
        <v/>
      </c>
      <c r="D838" s="6" t="str">
        <f t="shared" si="976"/>
        <v/>
      </c>
      <c r="E838" s="10" t="str">
        <f>IF(ISBLANK(A836),"",E837+1)</f>
        <v/>
      </c>
      <c r="F838" s="11" t="str">
        <f t="shared" si="977"/>
        <v/>
      </c>
      <c r="G838" s="8"/>
    </row>
    <row r="839">
      <c r="A839" s="9" t="str">
        <f t="shared" si="975"/>
        <v/>
      </c>
      <c r="B839" s="9" t="str">
        <f>IF(ISBLANK(A836),"",LEFT(B838,27)&amp;VALUE(RIGHT(B838,1)+1))</f>
        <v/>
      </c>
      <c r="C839" s="6" t="str">
        <f t="shared" ref="C839:D839" si="978">C838</f>
        <v/>
      </c>
      <c r="D839" s="6" t="str">
        <f t="shared" si="978"/>
        <v/>
      </c>
      <c r="E839" s="10" t="str">
        <f>IF(ISBLANK(A836),"",E838+1)</f>
        <v/>
      </c>
      <c r="F839" s="11" t="str">
        <f t="shared" si="977"/>
        <v/>
      </c>
      <c r="G839" s="8"/>
    </row>
    <row r="840">
      <c r="A840" s="9" t="str">
        <f t="shared" si="975"/>
        <v/>
      </c>
      <c r="B840" s="9" t="str">
        <f>IF(ISBLANK(A836),"",LEFT(B839,27)&amp;VALUE(RIGHT(B839,1)+1))</f>
        <v/>
      </c>
      <c r="C840" s="6" t="str">
        <f t="shared" ref="C840:D840" si="979">C839</f>
        <v/>
      </c>
      <c r="D840" s="6" t="str">
        <f t="shared" si="979"/>
        <v/>
      </c>
      <c r="E840" s="10" t="str">
        <f>IF(ISBLANK(A836),"",E839+1)</f>
        <v/>
      </c>
      <c r="F840" s="11" t="str">
        <f t="shared" si="977"/>
        <v/>
      </c>
      <c r="G840" s="8"/>
    </row>
    <row r="841">
      <c r="A841" s="12" t="str">
        <f t="shared" si="975"/>
        <v/>
      </c>
      <c r="B841" s="12" t="str">
        <f>IF(ISBLANK(A836),"",LEFT(B840,27)&amp;VALUE(RIGHT(B840,1)+1))</f>
        <v/>
      </c>
      <c r="C841" s="13" t="str">
        <f t="shared" ref="C841:D841" si="980">C840</f>
        <v/>
      </c>
      <c r="D841" s="13" t="str">
        <f t="shared" si="980"/>
        <v/>
      </c>
      <c r="E841" s="14" t="str">
        <f>IF(ISBLANK(A836),"",E840+1)</f>
        <v/>
      </c>
      <c r="F841" s="15" t="str">
        <f t="shared" si="977"/>
        <v/>
      </c>
      <c r="G841" s="16"/>
    </row>
    <row r="842">
      <c r="A842" s="5"/>
      <c r="B842" s="6" t="str">
        <f t="array" ref="B842">IF(ISBLANK(A842),"",IF(A842="PROREP (L)",VLOOKUP(LEFT($A842,6),'Data Feed (40C)'!$A$1:$G$10,2,FALSE),IF(A842="PROREP (S)", INDEX('Data Feed (40C)'!B:B, MATCH(LEFT($A842,6), 'Data Feed (40C)'!$A$1:$A$10, 0) + 1), VLOOKUP($A842,'Data Feed (40C)'!$A$1:$G$10,2,FALSE))))</f>
        <v/>
      </c>
      <c r="C842" s="6" t="str">
        <f t="array" ref="C842">IF(ISBLANK(A842),"",IF(A842="PROREP (L)",VLOOKUP(LEFT($A842,6),'Data Feed (40C)'!$A$1:$G$10,3,FALSE),IF(A842="PROREP (S)", INDEX('Data Feed (40C)'!C:C, MATCH(LEFT($A842,6), 'Data Feed (40C)'!$A$1:$A$10, 0) + 1, +1), VLOOKUP($A842,'Data Feed (40C)'!$A$1:$G$10,3,FALSE))))</f>
        <v/>
      </c>
      <c r="D842" s="6" t="str">
        <f t="array" ref="D842">IF(ISBLANK(A842),"",IF(A842="PROREP (L)",VLOOKUP(LEFT($A842,6),'Data Feed (40C)'!$A$1:$G$10,4,FALSE),IF(A842="PROREP (S)", INDEX('Data Feed (40C)'!D:D, MATCH(LEFT($A842,6), 'Data Feed (40C)'!$A$1:$A$10, 0) + 1, +1), VLOOKUP($A842,'Data Feed (40C)'!$A$1:$G$10,4,FALSE))))</f>
        <v/>
      </c>
      <c r="E842" s="6" t="str">
        <f t="array" ref="E842">IF(ISBLANK(A842),"",IF(A842="PROREP (L)",VLOOKUP(LEFT($A842,6),'Data Feed (40C)'!$A$1:$G$10,7,FALSE),IF(A842="PROREP (S)", INDEX('Data Feed (40C)'!G:G, MATCH(LEFT($A842,6), 'Data Feed (40C)'!$A$1:$A$10, 0) + 1, +1), VLOOKUP($A842,'Data Feed (40C)'!$A$1:$G$10,7,FALSE))))</f>
        <v/>
      </c>
      <c r="F842" s="7"/>
      <c r="G842" s="8"/>
    </row>
    <row r="843">
      <c r="A843" s="9" t="str">
        <f t="shared" ref="A843:A847" si="982">A842</f>
        <v/>
      </c>
      <c r="B843" s="9" t="str">
        <f>IF(ISBLANK(A842),"",LEFT(B842,27)&amp;VALUE(RIGHT(B842,1)+1))</f>
        <v/>
      </c>
      <c r="C843" s="6" t="str">
        <f t="shared" ref="C843:D843" si="981">C842</f>
        <v/>
      </c>
      <c r="D843" s="6" t="str">
        <f t="shared" si="981"/>
        <v/>
      </c>
      <c r="E843" s="10" t="str">
        <f>IF(ISBLANK(A842),"",E842+1)</f>
        <v/>
      </c>
      <c r="F843" s="11" t="str">
        <f t="shared" ref="F843:F847" si="984">F842</f>
        <v/>
      </c>
      <c r="G843" s="8"/>
    </row>
    <row r="844">
      <c r="A844" s="9" t="str">
        <f t="shared" si="982"/>
        <v/>
      </c>
      <c r="B844" s="9" t="str">
        <f>IF(ISBLANK(A842),"",LEFT(B843,27)&amp;VALUE(RIGHT(B843,1)+1))</f>
        <v/>
      </c>
      <c r="C844" s="6" t="str">
        <f t="shared" ref="C844:D844" si="983">C843</f>
        <v/>
      </c>
      <c r="D844" s="6" t="str">
        <f t="shared" si="983"/>
        <v/>
      </c>
      <c r="E844" s="10" t="str">
        <f>IF(ISBLANK(A842),"",E843+1)</f>
        <v/>
      </c>
      <c r="F844" s="11" t="str">
        <f t="shared" si="984"/>
        <v/>
      </c>
      <c r="G844" s="8"/>
    </row>
    <row r="845">
      <c r="A845" s="9" t="str">
        <f t="shared" si="982"/>
        <v/>
      </c>
      <c r="B845" s="9" t="str">
        <f>IF(ISBLANK(A842),"",LEFT(B844,27)&amp;VALUE(RIGHT(B844,1)+1))</f>
        <v/>
      </c>
      <c r="C845" s="6" t="str">
        <f t="shared" ref="C845:D845" si="985">C844</f>
        <v/>
      </c>
      <c r="D845" s="6" t="str">
        <f t="shared" si="985"/>
        <v/>
      </c>
      <c r="E845" s="10" t="str">
        <f>IF(ISBLANK(A842),"",E844+1)</f>
        <v/>
      </c>
      <c r="F845" s="11" t="str">
        <f t="shared" si="984"/>
        <v/>
      </c>
      <c r="G845" s="8"/>
    </row>
    <row r="846">
      <c r="A846" s="9" t="str">
        <f t="shared" si="982"/>
        <v/>
      </c>
      <c r="B846" s="9" t="str">
        <f>IF(ISBLANK(A842),"",LEFT(B845,27)&amp;VALUE(RIGHT(B845,1)+1))</f>
        <v/>
      </c>
      <c r="C846" s="6" t="str">
        <f t="shared" ref="C846:D846" si="986">C845</f>
        <v/>
      </c>
      <c r="D846" s="6" t="str">
        <f t="shared" si="986"/>
        <v/>
      </c>
      <c r="E846" s="10" t="str">
        <f>IF(ISBLANK(A842),"",E845+1)</f>
        <v/>
      </c>
      <c r="F846" s="11" t="str">
        <f t="shared" si="984"/>
        <v/>
      </c>
      <c r="G846" s="8"/>
    </row>
    <row r="847">
      <c r="A847" s="12" t="str">
        <f t="shared" si="982"/>
        <v/>
      </c>
      <c r="B847" s="12" t="str">
        <f>IF(ISBLANK(A842),"",LEFT(B846,27)&amp;VALUE(RIGHT(B846,1)+1))</f>
        <v/>
      </c>
      <c r="C847" s="13" t="str">
        <f t="shared" ref="C847:D847" si="987">C846</f>
        <v/>
      </c>
      <c r="D847" s="13" t="str">
        <f t="shared" si="987"/>
        <v/>
      </c>
      <c r="E847" s="14" t="str">
        <f>IF(ISBLANK(A842),"",E846+1)</f>
        <v/>
      </c>
      <c r="F847" s="15" t="str">
        <f t="shared" si="984"/>
        <v/>
      </c>
      <c r="G847" s="16"/>
    </row>
    <row r="848">
      <c r="A848" s="5"/>
      <c r="B848" s="6" t="str">
        <f t="array" ref="B848">IF(ISBLANK(A848),"",IF(A848="PROREP (L)",VLOOKUP(LEFT($A848,6),'Data Feed (40C)'!$A$1:$G$10,2,FALSE),IF(A848="PROREP (S)", INDEX('Data Feed (40C)'!B:B, MATCH(LEFT($A848,6), 'Data Feed (40C)'!$A$1:$A$10, 0) + 1), VLOOKUP($A848,'Data Feed (40C)'!$A$1:$G$10,2,FALSE))))</f>
        <v/>
      </c>
      <c r="C848" s="6" t="str">
        <f t="array" ref="C848">IF(ISBLANK(A848),"",IF(A848="PROREP (L)",VLOOKUP(LEFT($A848,6),'Data Feed (40C)'!$A$1:$G$10,3,FALSE),IF(A848="PROREP (S)", INDEX('Data Feed (40C)'!C:C, MATCH(LEFT($A848,6), 'Data Feed (40C)'!$A$1:$A$10, 0) + 1, +1), VLOOKUP($A848,'Data Feed (40C)'!$A$1:$G$10,3,FALSE))))</f>
        <v/>
      </c>
      <c r="D848" s="6" t="str">
        <f t="array" ref="D848">IF(ISBLANK(A848),"",IF(A848="PROREP (L)",VLOOKUP(LEFT($A848,6),'Data Feed (40C)'!$A$1:$G$10,4,FALSE),IF(A848="PROREP (S)", INDEX('Data Feed (40C)'!D:D, MATCH(LEFT($A848,6), 'Data Feed (40C)'!$A$1:$A$10, 0) + 1, +1), VLOOKUP($A848,'Data Feed (40C)'!$A$1:$G$10,4,FALSE))))</f>
        <v/>
      </c>
      <c r="E848" s="6" t="str">
        <f t="array" ref="E848">IF(ISBLANK(A848),"",IF(A848="PROREP (L)",VLOOKUP(LEFT($A848,6),'Data Feed (40C)'!$A$1:$G$10,7,FALSE),IF(A848="PROREP (S)", INDEX('Data Feed (40C)'!G:G, MATCH(LEFT($A848,6), 'Data Feed (40C)'!$A$1:$A$10, 0) + 1, +1), VLOOKUP($A848,'Data Feed (40C)'!$A$1:$G$10,7,FALSE))))</f>
        <v/>
      </c>
      <c r="F848" s="7"/>
      <c r="G848" s="8"/>
    </row>
    <row r="849">
      <c r="A849" s="9" t="str">
        <f t="shared" ref="A849:A853" si="989">A848</f>
        <v/>
      </c>
      <c r="B849" s="9" t="str">
        <f>IF(ISBLANK(A848),"",LEFT(B848,27)&amp;VALUE(RIGHT(B848,1)+1))</f>
        <v/>
      </c>
      <c r="C849" s="6" t="str">
        <f t="shared" ref="C849:D849" si="988">C848</f>
        <v/>
      </c>
      <c r="D849" s="6" t="str">
        <f t="shared" si="988"/>
        <v/>
      </c>
      <c r="E849" s="10" t="str">
        <f>IF(ISBLANK(A848),"",E848+1)</f>
        <v/>
      </c>
      <c r="F849" s="11" t="str">
        <f t="shared" ref="F849:F853" si="991">F848</f>
        <v/>
      </c>
      <c r="G849" s="8"/>
    </row>
    <row r="850">
      <c r="A850" s="9" t="str">
        <f t="shared" si="989"/>
        <v/>
      </c>
      <c r="B850" s="9" t="str">
        <f>IF(ISBLANK(A848),"",LEFT(B849,27)&amp;VALUE(RIGHT(B849,1)+1))</f>
        <v/>
      </c>
      <c r="C850" s="6" t="str">
        <f t="shared" ref="C850:D850" si="990">C849</f>
        <v/>
      </c>
      <c r="D850" s="6" t="str">
        <f t="shared" si="990"/>
        <v/>
      </c>
      <c r="E850" s="10" t="str">
        <f>IF(ISBLANK(A848),"",E849+1)</f>
        <v/>
      </c>
      <c r="F850" s="11" t="str">
        <f t="shared" si="991"/>
        <v/>
      </c>
      <c r="G850" s="8"/>
    </row>
    <row r="851">
      <c r="A851" s="9" t="str">
        <f t="shared" si="989"/>
        <v/>
      </c>
      <c r="B851" s="9" t="str">
        <f>IF(ISBLANK(A848),"",LEFT(B850,27)&amp;VALUE(RIGHT(B850,1)+1))</f>
        <v/>
      </c>
      <c r="C851" s="6" t="str">
        <f t="shared" ref="C851:D851" si="992">C850</f>
        <v/>
      </c>
      <c r="D851" s="6" t="str">
        <f t="shared" si="992"/>
        <v/>
      </c>
      <c r="E851" s="10" t="str">
        <f>IF(ISBLANK(A848),"",E850+1)</f>
        <v/>
      </c>
      <c r="F851" s="11" t="str">
        <f t="shared" si="991"/>
        <v/>
      </c>
      <c r="G851" s="8"/>
    </row>
    <row r="852">
      <c r="A852" s="9" t="str">
        <f t="shared" si="989"/>
        <v/>
      </c>
      <c r="B852" s="9" t="str">
        <f>IF(ISBLANK(A848),"",LEFT(B851,27)&amp;VALUE(RIGHT(B851,1)+1))</f>
        <v/>
      </c>
      <c r="C852" s="6" t="str">
        <f t="shared" ref="C852:D852" si="993">C851</f>
        <v/>
      </c>
      <c r="D852" s="6" t="str">
        <f t="shared" si="993"/>
        <v/>
      </c>
      <c r="E852" s="10" t="str">
        <f>IF(ISBLANK(A848),"",E851+1)</f>
        <v/>
      </c>
      <c r="F852" s="11" t="str">
        <f t="shared" si="991"/>
        <v/>
      </c>
      <c r="G852" s="8"/>
    </row>
    <row r="853">
      <c r="A853" s="12" t="str">
        <f t="shared" si="989"/>
        <v/>
      </c>
      <c r="B853" s="12" t="str">
        <f>IF(ISBLANK(A848),"",LEFT(B852,27)&amp;VALUE(RIGHT(B852,1)+1))</f>
        <v/>
      </c>
      <c r="C853" s="13" t="str">
        <f t="shared" ref="C853:D853" si="994">C852</f>
        <v/>
      </c>
      <c r="D853" s="13" t="str">
        <f t="shared" si="994"/>
        <v/>
      </c>
      <c r="E853" s="14" t="str">
        <f>IF(ISBLANK(A848),"",E852+1)</f>
        <v/>
      </c>
      <c r="F853" s="15" t="str">
        <f t="shared" si="991"/>
        <v/>
      </c>
      <c r="G853" s="16"/>
    </row>
    <row r="854">
      <c r="A854" s="5"/>
      <c r="B854" s="6" t="str">
        <f t="array" ref="B854">IF(ISBLANK(A854),"",IF(A854="PROREP (L)",VLOOKUP(LEFT($A854,6),'Data Feed (40C)'!$A$1:$G$10,2,FALSE),IF(A854="PROREP (S)", INDEX('Data Feed (40C)'!B:B, MATCH(LEFT($A854,6), 'Data Feed (40C)'!$A$1:$A$10, 0) + 1), VLOOKUP($A854,'Data Feed (40C)'!$A$1:$G$10,2,FALSE))))</f>
        <v/>
      </c>
      <c r="C854" s="6" t="str">
        <f t="array" ref="C854">IF(ISBLANK(A854),"",IF(A854="PROREP (L)",VLOOKUP(LEFT($A854,6),'Data Feed (40C)'!$A$1:$G$10,3,FALSE),IF(A854="PROREP (S)", INDEX('Data Feed (40C)'!C:C, MATCH(LEFT($A854,6), 'Data Feed (40C)'!$A$1:$A$10, 0) + 1, +1), VLOOKUP($A854,'Data Feed (40C)'!$A$1:$G$10,3,FALSE))))</f>
        <v/>
      </c>
      <c r="D854" s="6" t="str">
        <f t="array" ref="D854">IF(ISBLANK(A854),"",IF(A854="PROREP (L)",VLOOKUP(LEFT($A854,6),'Data Feed (40C)'!$A$1:$G$10,4,FALSE),IF(A854="PROREP (S)", INDEX('Data Feed (40C)'!D:D, MATCH(LEFT($A854,6), 'Data Feed (40C)'!$A$1:$A$10, 0) + 1, +1), VLOOKUP($A854,'Data Feed (40C)'!$A$1:$G$10,4,FALSE))))</f>
        <v/>
      </c>
      <c r="E854" s="6" t="str">
        <f t="array" ref="E854">IF(ISBLANK(A854),"",IF(A854="PROREP (L)",VLOOKUP(LEFT($A854,6),'Data Feed (40C)'!$A$1:$G$10,7,FALSE),IF(A854="PROREP (S)", INDEX('Data Feed (40C)'!G:G, MATCH(LEFT($A854,6), 'Data Feed (40C)'!$A$1:$A$10, 0) + 1, +1), VLOOKUP($A854,'Data Feed (40C)'!$A$1:$G$10,7,FALSE))))</f>
        <v/>
      </c>
      <c r="F854" s="7"/>
      <c r="G854" s="8"/>
    </row>
    <row r="855">
      <c r="A855" s="9" t="str">
        <f t="shared" ref="A855:A859" si="996">A854</f>
        <v/>
      </c>
      <c r="B855" s="9" t="str">
        <f>IF(ISBLANK(A854),"",LEFT(B854,27)&amp;VALUE(RIGHT(B854,1)+1))</f>
        <v/>
      </c>
      <c r="C855" s="6" t="str">
        <f t="shared" ref="C855:D855" si="995">C854</f>
        <v/>
      </c>
      <c r="D855" s="6" t="str">
        <f t="shared" si="995"/>
        <v/>
      </c>
      <c r="E855" s="10" t="str">
        <f>IF(ISBLANK(A854),"",E854+1)</f>
        <v/>
      </c>
      <c r="F855" s="11" t="str">
        <f t="shared" ref="F855:F859" si="998">F854</f>
        <v/>
      </c>
      <c r="G855" s="8"/>
    </row>
    <row r="856">
      <c r="A856" s="9" t="str">
        <f t="shared" si="996"/>
        <v/>
      </c>
      <c r="B856" s="9" t="str">
        <f>IF(ISBLANK(A854),"",LEFT(B855,27)&amp;VALUE(RIGHT(B855,1)+1))</f>
        <v/>
      </c>
      <c r="C856" s="6" t="str">
        <f t="shared" ref="C856:D856" si="997">C855</f>
        <v/>
      </c>
      <c r="D856" s="6" t="str">
        <f t="shared" si="997"/>
        <v/>
      </c>
      <c r="E856" s="10" t="str">
        <f>IF(ISBLANK(A854),"",E855+1)</f>
        <v/>
      </c>
      <c r="F856" s="11" t="str">
        <f t="shared" si="998"/>
        <v/>
      </c>
      <c r="G856" s="8"/>
    </row>
    <row r="857">
      <c r="A857" s="9" t="str">
        <f t="shared" si="996"/>
        <v/>
      </c>
      <c r="B857" s="9" t="str">
        <f>IF(ISBLANK(A854),"",LEFT(B856,27)&amp;VALUE(RIGHT(B856,1)+1))</f>
        <v/>
      </c>
      <c r="C857" s="6" t="str">
        <f t="shared" ref="C857:D857" si="999">C856</f>
        <v/>
      </c>
      <c r="D857" s="6" t="str">
        <f t="shared" si="999"/>
        <v/>
      </c>
      <c r="E857" s="10" t="str">
        <f>IF(ISBLANK(A854),"",E856+1)</f>
        <v/>
      </c>
      <c r="F857" s="11" t="str">
        <f t="shared" si="998"/>
        <v/>
      </c>
      <c r="G857" s="8"/>
    </row>
    <row r="858">
      <c r="A858" s="9" t="str">
        <f t="shared" si="996"/>
        <v/>
      </c>
      <c r="B858" s="9" t="str">
        <f>IF(ISBLANK(A854),"",LEFT(B857,27)&amp;VALUE(RIGHT(B857,1)+1))</f>
        <v/>
      </c>
      <c r="C858" s="6" t="str">
        <f t="shared" ref="C858:D858" si="1000">C857</f>
        <v/>
      </c>
      <c r="D858" s="6" t="str">
        <f t="shared" si="1000"/>
        <v/>
      </c>
      <c r="E858" s="10" t="str">
        <f>IF(ISBLANK(A854),"",E857+1)</f>
        <v/>
      </c>
      <c r="F858" s="11" t="str">
        <f t="shared" si="998"/>
        <v/>
      </c>
      <c r="G858" s="8"/>
    </row>
    <row r="859">
      <c r="A859" s="12" t="str">
        <f t="shared" si="996"/>
        <v/>
      </c>
      <c r="B859" s="12" t="str">
        <f>IF(ISBLANK(A854),"",LEFT(B858,27)&amp;VALUE(RIGHT(B858,1)+1))</f>
        <v/>
      </c>
      <c r="C859" s="13" t="str">
        <f t="shared" ref="C859:D859" si="1001">C858</f>
        <v/>
      </c>
      <c r="D859" s="13" t="str">
        <f t="shared" si="1001"/>
        <v/>
      </c>
      <c r="E859" s="14" t="str">
        <f>IF(ISBLANK(A854),"",E858+1)</f>
        <v/>
      </c>
      <c r="F859" s="15" t="str">
        <f t="shared" si="998"/>
        <v/>
      </c>
      <c r="G859" s="16"/>
    </row>
    <row r="860">
      <c r="A860" s="5"/>
      <c r="B860" s="6" t="str">
        <f t="array" ref="B860">IF(ISBLANK(A860),"",IF(A860="PROREP (L)",VLOOKUP(LEFT($A860,6),'Data Feed (40C)'!$A$1:$G$10,2,FALSE),IF(A860="PROREP (S)", INDEX('Data Feed (40C)'!B:B, MATCH(LEFT($A860,6), 'Data Feed (40C)'!$A$1:$A$10, 0) + 1), VLOOKUP($A860,'Data Feed (40C)'!$A$1:$G$10,2,FALSE))))</f>
        <v/>
      </c>
      <c r="C860" s="6" t="str">
        <f t="array" ref="C860">IF(ISBLANK(A860),"",IF(A860="PROREP (L)",VLOOKUP(LEFT($A860,6),'Data Feed (40C)'!$A$1:$G$10,3,FALSE),IF(A860="PROREP (S)", INDEX('Data Feed (40C)'!C:C, MATCH(LEFT($A860,6), 'Data Feed (40C)'!$A$1:$A$10, 0) + 1, +1), VLOOKUP($A860,'Data Feed (40C)'!$A$1:$G$10,3,FALSE))))</f>
        <v/>
      </c>
      <c r="D860" s="6" t="str">
        <f t="array" ref="D860">IF(ISBLANK(A860),"",IF(A860="PROREP (L)",VLOOKUP(LEFT($A860,6),'Data Feed (40C)'!$A$1:$G$10,4,FALSE),IF(A860="PROREP (S)", INDEX('Data Feed (40C)'!D:D, MATCH(LEFT($A860,6), 'Data Feed (40C)'!$A$1:$A$10, 0) + 1, +1), VLOOKUP($A860,'Data Feed (40C)'!$A$1:$G$10,4,FALSE))))</f>
        <v/>
      </c>
      <c r="E860" s="6" t="str">
        <f t="array" ref="E860">IF(ISBLANK(A860),"",IF(A860="PROREP (L)",VLOOKUP(LEFT($A860,6),'Data Feed (40C)'!$A$1:$G$10,7,FALSE),IF(A860="PROREP (S)", INDEX('Data Feed (40C)'!G:G, MATCH(LEFT($A860,6), 'Data Feed (40C)'!$A$1:$A$10, 0) + 1, +1), VLOOKUP($A860,'Data Feed (40C)'!$A$1:$G$10,7,FALSE))))</f>
        <v/>
      </c>
      <c r="F860" s="7"/>
      <c r="G860" s="8"/>
    </row>
    <row r="861">
      <c r="A861" s="9" t="str">
        <f t="shared" ref="A861:A865" si="1003">A860</f>
        <v/>
      </c>
      <c r="B861" s="9" t="str">
        <f>IF(ISBLANK(A860),"",LEFT(B860,27)&amp;VALUE(RIGHT(B860,1)+1))</f>
        <v/>
      </c>
      <c r="C861" s="6" t="str">
        <f t="shared" ref="C861:D861" si="1002">C860</f>
        <v/>
      </c>
      <c r="D861" s="6" t="str">
        <f t="shared" si="1002"/>
        <v/>
      </c>
      <c r="E861" s="10" t="str">
        <f>IF(ISBLANK(A860),"",E860+1)</f>
        <v/>
      </c>
      <c r="F861" s="11" t="str">
        <f t="shared" ref="F861:F865" si="1005">F860</f>
        <v/>
      </c>
      <c r="G861" s="8"/>
    </row>
    <row r="862">
      <c r="A862" s="9" t="str">
        <f t="shared" si="1003"/>
        <v/>
      </c>
      <c r="B862" s="9" t="str">
        <f>IF(ISBLANK(A860),"",LEFT(B861,27)&amp;VALUE(RIGHT(B861,1)+1))</f>
        <v/>
      </c>
      <c r="C862" s="6" t="str">
        <f t="shared" ref="C862:D862" si="1004">C861</f>
        <v/>
      </c>
      <c r="D862" s="6" t="str">
        <f t="shared" si="1004"/>
        <v/>
      </c>
      <c r="E862" s="10" t="str">
        <f>IF(ISBLANK(A860),"",E861+1)</f>
        <v/>
      </c>
      <c r="F862" s="11" t="str">
        <f t="shared" si="1005"/>
        <v/>
      </c>
      <c r="G862" s="8"/>
    </row>
    <row r="863">
      <c r="A863" s="9" t="str">
        <f t="shared" si="1003"/>
        <v/>
      </c>
      <c r="B863" s="9" t="str">
        <f>IF(ISBLANK(A860),"",LEFT(B862,27)&amp;VALUE(RIGHT(B862,1)+1))</f>
        <v/>
      </c>
      <c r="C863" s="6" t="str">
        <f t="shared" ref="C863:D863" si="1006">C862</f>
        <v/>
      </c>
      <c r="D863" s="6" t="str">
        <f t="shared" si="1006"/>
        <v/>
      </c>
      <c r="E863" s="10" t="str">
        <f>IF(ISBLANK(A860),"",E862+1)</f>
        <v/>
      </c>
      <c r="F863" s="11" t="str">
        <f t="shared" si="1005"/>
        <v/>
      </c>
      <c r="G863" s="8"/>
    </row>
    <row r="864">
      <c r="A864" s="9" t="str">
        <f t="shared" si="1003"/>
        <v/>
      </c>
      <c r="B864" s="9" t="str">
        <f>IF(ISBLANK(A860),"",LEFT(B863,27)&amp;VALUE(RIGHT(B863,1)+1))</f>
        <v/>
      </c>
      <c r="C864" s="6" t="str">
        <f t="shared" ref="C864:D864" si="1007">C863</f>
        <v/>
      </c>
      <c r="D864" s="6" t="str">
        <f t="shared" si="1007"/>
        <v/>
      </c>
      <c r="E864" s="10" t="str">
        <f>IF(ISBLANK(A860),"",E863+1)</f>
        <v/>
      </c>
      <c r="F864" s="11" t="str">
        <f t="shared" si="1005"/>
        <v/>
      </c>
      <c r="G864" s="8"/>
    </row>
    <row r="865">
      <c r="A865" s="12" t="str">
        <f t="shared" si="1003"/>
        <v/>
      </c>
      <c r="B865" s="12" t="str">
        <f>IF(ISBLANK(A860),"",LEFT(B864,27)&amp;VALUE(RIGHT(B864,1)+1))</f>
        <v/>
      </c>
      <c r="C865" s="13" t="str">
        <f t="shared" ref="C865:D865" si="1008">C864</f>
        <v/>
      </c>
      <c r="D865" s="13" t="str">
        <f t="shared" si="1008"/>
        <v/>
      </c>
      <c r="E865" s="14" t="str">
        <f>IF(ISBLANK(A860),"",E864+1)</f>
        <v/>
      </c>
      <c r="F865" s="15" t="str">
        <f t="shared" si="1005"/>
        <v/>
      </c>
      <c r="G865" s="16"/>
    </row>
    <row r="866">
      <c r="A866" s="5"/>
      <c r="B866" s="6" t="str">
        <f t="array" ref="B866">IF(ISBLANK(A866),"",IF(A866="PROREP (L)",VLOOKUP(LEFT($A866,6),'Data Feed (40C)'!$A$1:$G$10,2,FALSE),IF(A866="PROREP (S)", INDEX('Data Feed (40C)'!B:B, MATCH(LEFT($A866,6), 'Data Feed (40C)'!$A$1:$A$10, 0) + 1), VLOOKUP($A866,'Data Feed (40C)'!$A$1:$G$10,2,FALSE))))</f>
        <v/>
      </c>
      <c r="C866" s="6" t="str">
        <f t="array" ref="C866">IF(ISBLANK(A866),"",IF(A866="PROREP (L)",VLOOKUP(LEFT($A866,6),'Data Feed (40C)'!$A$1:$G$10,3,FALSE),IF(A866="PROREP (S)", INDEX('Data Feed (40C)'!C:C, MATCH(LEFT($A866,6), 'Data Feed (40C)'!$A$1:$A$10, 0) + 1, +1), VLOOKUP($A866,'Data Feed (40C)'!$A$1:$G$10,3,FALSE))))</f>
        <v/>
      </c>
      <c r="D866" s="6" t="str">
        <f t="array" ref="D866">IF(ISBLANK(A866),"",IF(A866="PROREP (L)",VLOOKUP(LEFT($A866,6),'Data Feed (40C)'!$A$1:$G$10,4,FALSE),IF(A866="PROREP (S)", INDEX('Data Feed (40C)'!D:D, MATCH(LEFT($A866,6), 'Data Feed (40C)'!$A$1:$A$10, 0) + 1, +1), VLOOKUP($A866,'Data Feed (40C)'!$A$1:$G$10,4,FALSE))))</f>
        <v/>
      </c>
      <c r="E866" s="6" t="str">
        <f t="array" ref="E866">IF(ISBLANK(A866),"",IF(A866="PROREP (L)",VLOOKUP(LEFT($A866,6),'Data Feed (40C)'!$A$1:$G$10,7,FALSE),IF(A866="PROREP (S)", INDEX('Data Feed (40C)'!G:G, MATCH(LEFT($A866,6), 'Data Feed (40C)'!$A$1:$A$10, 0) + 1, +1), VLOOKUP($A866,'Data Feed (40C)'!$A$1:$G$10,7,FALSE))))</f>
        <v/>
      </c>
      <c r="F866" s="7"/>
      <c r="G866" s="8"/>
    </row>
    <row r="867">
      <c r="A867" s="9" t="str">
        <f t="shared" ref="A867:A871" si="1010">A866</f>
        <v/>
      </c>
      <c r="B867" s="9" t="str">
        <f>IF(ISBLANK(A866),"",LEFT(B866,27)&amp;VALUE(RIGHT(B866,1)+1))</f>
        <v/>
      </c>
      <c r="C867" s="6" t="str">
        <f t="shared" ref="C867:D867" si="1009">C866</f>
        <v/>
      </c>
      <c r="D867" s="6" t="str">
        <f t="shared" si="1009"/>
        <v/>
      </c>
      <c r="E867" s="10" t="str">
        <f>IF(ISBLANK(A866),"",E866+1)</f>
        <v/>
      </c>
      <c r="F867" s="11" t="str">
        <f t="shared" ref="F867:F871" si="1012">F866</f>
        <v/>
      </c>
      <c r="G867" s="8"/>
    </row>
    <row r="868">
      <c r="A868" s="9" t="str">
        <f t="shared" si="1010"/>
        <v/>
      </c>
      <c r="B868" s="9" t="str">
        <f>IF(ISBLANK(A866),"",LEFT(B867,27)&amp;VALUE(RIGHT(B867,1)+1))</f>
        <v/>
      </c>
      <c r="C868" s="6" t="str">
        <f t="shared" ref="C868:D868" si="1011">C867</f>
        <v/>
      </c>
      <c r="D868" s="6" t="str">
        <f t="shared" si="1011"/>
        <v/>
      </c>
      <c r="E868" s="10" t="str">
        <f>IF(ISBLANK(A866),"",E867+1)</f>
        <v/>
      </c>
      <c r="F868" s="11" t="str">
        <f t="shared" si="1012"/>
        <v/>
      </c>
      <c r="G868" s="8"/>
    </row>
    <row r="869">
      <c r="A869" s="9" t="str">
        <f t="shared" si="1010"/>
        <v/>
      </c>
      <c r="B869" s="9" t="str">
        <f>IF(ISBLANK(A866),"",LEFT(B868,27)&amp;VALUE(RIGHT(B868,1)+1))</f>
        <v/>
      </c>
      <c r="C869" s="6" t="str">
        <f t="shared" ref="C869:D869" si="1013">C868</f>
        <v/>
      </c>
      <c r="D869" s="6" t="str">
        <f t="shared" si="1013"/>
        <v/>
      </c>
      <c r="E869" s="10" t="str">
        <f>IF(ISBLANK(A866),"",E868+1)</f>
        <v/>
      </c>
      <c r="F869" s="11" t="str">
        <f t="shared" si="1012"/>
        <v/>
      </c>
      <c r="G869" s="8"/>
    </row>
    <row r="870">
      <c r="A870" s="9" t="str">
        <f t="shared" si="1010"/>
        <v/>
      </c>
      <c r="B870" s="9" t="str">
        <f>IF(ISBLANK(A866),"",LEFT(B869,27)&amp;VALUE(RIGHT(B869,1)+1))</f>
        <v/>
      </c>
      <c r="C870" s="6" t="str">
        <f t="shared" ref="C870:D870" si="1014">C869</f>
        <v/>
      </c>
      <c r="D870" s="6" t="str">
        <f t="shared" si="1014"/>
        <v/>
      </c>
      <c r="E870" s="10" t="str">
        <f>IF(ISBLANK(A866),"",E869+1)</f>
        <v/>
      </c>
      <c r="F870" s="11" t="str">
        <f t="shared" si="1012"/>
        <v/>
      </c>
      <c r="G870" s="8"/>
    </row>
    <row r="871">
      <c r="A871" s="12" t="str">
        <f t="shared" si="1010"/>
        <v/>
      </c>
      <c r="B871" s="12" t="str">
        <f>IF(ISBLANK(A866),"",LEFT(B870,27)&amp;VALUE(RIGHT(B870,1)+1))</f>
        <v/>
      </c>
      <c r="C871" s="13" t="str">
        <f t="shared" ref="C871:D871" si="1015">C870</f>
        <v/>
      </c>
      <c r="D871" s="13" t="str">
        <f t="shared" si="1015"/>
        <v/>
      </c>
      <c r="E871" s="14" t="str">
        <f>IF(ISBLANK(A866),"",E870+1)</f>
        <v/>
      </c>
      <c r="F871" s="15" t="str">
        <f t="shared" si="1012"/>
        <v/>
      </c>
      <c r="G871" s="16"/>
    </row>
  </sheetData>
  <dataValidations>
    <dataValidation type="list" allowBlank="1" showErrorMessage="1" sqref="A2 A8 A14 A20 A26 A32 A38 A44 A50 A56 A62 A68 A74 A80 A86 A92 A98 A104 A110 A116 A122 A128 A134 A140 A146 A152 A158 A164 A170 A176 A182 A188 A194 A200 A206 A212 A218 A224 A230 A236 A242 A248 A254 A260 A266 A272 A278 A284 A290 A296 A302 A308 A314 A320 A326 A332 A338 A344 A350 A356 A362 A368 A374 A380 A386 A392 A398 A404 A410 A416 A422 A428 A434 A440 A446 A452 A458 A464 A470 A476 A482 A488 A494 A500 A506 A512 A518 A524 A530 A536 A542 A548 A554 A560 A566 A572 A578 A584 A590 A596 A602 A608 A614 A620 A626 A632 A638 A644 A650 A656 A662 A668 A674 A680 A686 A692 A698 A704 A710 A716 A722 A728 A734 A740 A746 A752 A758 A764 A770 A776 A782 A788 A794 A800 A806 A812 A818 A824 A830 A836 A842 A848 A854 A860 A866">
      <formula1>"PROREP (L),PROREP (S),ERIMON,CANCON"</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1C232"/>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2" width="31.88"/>
    <col customWidth="1" min="3" max="3" width="19.75"/>
    <col customWidth="1" min="6" max="6" width="11.25"/>
    <col customWidth="1" min="7" max="7" width="6.13"/>
  </cols>
  <sheetData>
    <row r="1">
      <c r="A1" s="1" t="s">
        <v>0</v>
      </c>
      <c r="B1" s="1" t="s">
        <v>1</v>
      </c>
      <c r="C1" s="2" t="s">
        <v>2</v>
      </c>
      <c r="D1" s="2" t="s">
        <v>3</v>
      </c>
      <c r="E1" s="2" t="s">
        <v>4</v>
      </c>
      <c r="F1" s="3" t="s">
        <v>5</v>
      </c>
      <c r="G1" s="4" t="s">
        <v>6</v>
      </c>
    </row>
    <row r="2">
      <c r="A2" s="5" t="s">
        <v>7</v>
      </c>
      <c r="B2" s="6" t="str">
        <f t="array" ref="B2">IF(ISBLANK(A2),"",IF(A2="PROREP (L)",VLOOKUP(LEFT($A2,6),'Data Feed (35C)'!$A$1:$G$10,2,FALSE),IF(A2="PROREP (S)", INDEX('Data Feed (35C)'!B:B, MATCH(LEFT($A2,6), 'Data Feed (35C)'!$A$1:$A$10, 0) + 1), VLOOKUP($A2,'Data Feed (35C)'!$A$1:$G$10,2,FALSE))))</f>
        <v>JKS240702ERIMON_35C_sample_1</v>
      </c>
      <c r="C2" s="6" t="str">
        <f t="array" ref="C2">IF(ISBLANK(A2),"",IF(A2="PROREP (L)",VLOOKUP(LEFT($A2,6),'Data Feed (35C)'!$A$1:$G$10,3,FALSE),IF(A2="PROREP (S)", INDEX('Data Feed (35C)'!C:C, MATCH(LEFT($A2,6), 'Data Feed (35C)'!$A$1:$A$10, 0) + 1, +1), VLOOKUP($A2,'Data Feed (35C)'!$A$1:$G$10,3,FALSE))))</f>
        <v>Erica monsoniana</v>
      </c>
      <c r="D2" s="6" t="str">
        <f t="array" ref="D2">IF(ISBLANK(A2),"",IF(A2="PROREP (L)",VLOOKUP(LEFT($A2,6),'Data Feed (35C)'!$A$1:$G$10,4,FALSE),IF(A2="PROREP (S)", INDEX('Data Feed (35C)'!D:D, MATCH(LEFT($A2,6), 'Data Feed (35C)'!$A$1:$A$10, 0) + 1, +1), VLOOKUP($A2,'Data Feed (35C)'!$A$1:$G$10,4,FALSE))))</f>
        <v>35C</v>
      </c>
      <c r="E2" s="6">
        <f t="array" ref="E2">IF(ISBLANK(A2),"",IF(A2="PROREP (L)",VLOOKUP(LEFT($A2,6),'Data Feed (35C)'!$A$1:$G$10,7,FALSE),IF(A2="PROREP (S)", INDEX('Data Feed (35C)'!G:G, MATCH(LEFT($A2,6), 'Data Feed (35C)'!$A$1:$A$10, 0) + 1, +1), VLOOKUP($A2,'Data Feed (35C)'!$A$1:$G$10,7,FALSE))))</f>
        <v>1</v>
      </c>
      <c r="F2" s="7">
        <v>45477.524305555555</v>
      </c>
      <c r="G2" s="8">
        <v>4.059</v>
      </c>
    </row>
    <row r="3">
      <c r="A3" s="9" t="str">
        <f t="shared" ref="A3:A7" si="2">A2</f>
        <v>ERIMON</v>
      </c>
      <c r="B3" s="9" t="str">
        <f>IF(ISBLANK(A2),"",LEFT(B2,27)&amp;VALUE(RIGHT(B2,1)+1))</f>
        <v>JKS240702ERIMON_35C_sample_2</v>
      </c>
      <c r="C3" s="6" t="str">
        <f t="shared" ref="C3:D3" si="1">C2</f>
        <v>Erica monsoniana</v>
      </c>
      <c r="D3" s="6" t="str">
        <f t="shared" si="1"/>
        <v>35C</v>
      </c>
      <c r="E3" s="10">
        <f>IF(ISBLANK(A2),"",E2+1)</f>
        <v>2</v>
      </c>
      <c r="F3" s="11">
        <f t="shared" ref="F3:F7" si="4">F2</f>
        <v>45477.52431</v>
      </c>
      <c r="G3" s="8">
        <v>2.262</v>
      </c>
    </row>
    <row r="4">
      <c r="A4" s="9" t="str">
        <f t="shared" si="2"/>
        <v>ERIMON</v>
      </c>
      <c r="B4" s="9" t="str">
        <f>IF(ISBLANK(A2),"",LEFT(B3,27)&amp;VALUE(RIGHT(B3,1)+1))</f>
        <v>JKS240702ERIMON_35C_sample_3</v>
      </c>
      <c r="C4" s="6" t="str">
        <f t="shared" ref="C4:D4" si="3">C3</f>
        <v>Erica monsoniana</v>
      </c>
      <c r="D4" s="6" t="str">
        <f t="shared" si="3"/>
        <v>35C</v>
      </c>
      <c r="E4" s="10">
        <f>IF(ISBLANK(A2),"",E3+1)</f>
        <v>3</v>
      </c>
      <c r="F4" s="11">
        <f t="shared" si="4"/>
        <v>45477.52431</v>
      </c>
      <c r="G4" s="8">
        <v>0.75</v>
      </c>
    </row>
    <row r="5">
      <c r="A5" s="9" t="str">
        <f t="shared" si="2"/>
        <v>ERIMON</v>
      </c>
      <c r="B5" s="9" t="str">
        <f>IF(ISBLANK(A2),"",LEFT(B4,27)&amp;VALUE(RIGHT(B4,1)+1))</f>
        <v>JKS240702ERIMON_35C_sample_4</v>
      </c>
      <c r="C5" s="6" t="str">
        <f t="shared" ref="C5:D5" si="5">C4</f>
        <v>Erica monsoniana</v>
      </c>
      <c r="D5" s="6" t="str">
        <f t="shared" si="5"/>
        <v>35C</v>
      </c>
      <c r="E5" s="10">
        <f>IF(ISBLANK(A2),"",E4+1)</f>
        <v>4</v>
      </c>
      <c r="F5" s="11">
        <f t="shared" si="4"/>
        <v>45477.52431</v>
      </c>
      <c r="G5" s="8">
        <v>1.219</v>
      </c>
    </row>
    <row r="6">
      <c r="A6" s="9" t="str">
        <f t="shared" si="2"/>
        <v>ERIMON</v>
      </c>
      <c r="B6" s="9" t="str">
        <f>IF(ISBLANK(A2),"",LEFT(B5,27)&amp;VALUE(RIGHT(B5,1)+1))</f>
        <v>JKS240702ERIMON_35C_sample_5</v>
      </c>
      <c r="C6" s="6" t="str">
        <f t="shared" ref="C6:D6" si="6">C5</f>
        <v>Erica monsoniana</v>
      </c>
      <c r="D6" s="6" t="str">
        <f t="shared" si="6"/>
        <v>35C</v>
      </c>
      <c r="E6" s="10">
        <f>IF(ISBLANK(A2),"",E5+1)</f>
        <v>5</v>
      </c>
      <c r="F6" s="11">
        <f t="shared" si="4"/>
        <v>45477.52431</v>
      </c>
      <c r="G6" s="8">
        <v>3.436</v>
      </c>
    </row>
    <row r="7">
      <c r="A7" s="12" t="str">
        <f t="shared" si="2"/>
        <v>ERIMON</v>
      </c>
      <c r="B7" s="12" t="str">
        <f>IF(ISBLANK(A2),"",LEFT(B6,27)&amp;VALUE(RIGHT(B6,1)+1))</f>
        <v>JKS240702ERIMON_35C_sample_6</v>
      </c>
      <c r="C7" s="13" t="str">
        <f t="shared" ref="C7:D7" si="7">C6</f>
        <v>Erica monsoniana</v>
      </c>
      <c r="D7" s="13" t="str">
        <f t="shared" si="7"/>
        <v>35C</v>
      </c>
      <c r="E7" s="14">
        <f>IF(ISBLANK(A2),"",E6+1)</f>
        <v>6</v>
      </c>
      <c r="F7" s="15">
        <f t="shared" si="4"/>
        <v>45477.52431</v>
      </c>
      <c r="G7" s="16">
        <v>1.146</v>
      </c>
    </row>
    <row r="8">
      <c r="A8" s="5" t="s">
        <v>8</v>
      </c>
      <c r="B8" s="6" t="str">
        <f t="array" ref="B8">IF(ISBLANK(A8),"",IF(A8="PROREP (L)",VLOOKUP(LEFT($A8,6),'Data Feed (35C)'!$A$1:$G$10,2,FALSE),IF(A8="PROREP (S)", INDEX('Data Feed (35C)'!B:B, MATCH(LEFT($A8,6), 'Data Feed (35C)'!$A$1:$A$10, 0) + 1), VLOOKUP($A8,'Data Feed (35C)'!$A$1:$G$10,2,FALSE))))</f>
        <v>JKL240702PROREP_35C_sample_1</v>
      </c>
      <c r="C8" s="6" t="str">
        <f t="array" ref="C8">IF(ISBLANK(A8),"",IF(A8="PROREP (L)",VLOOKUP(LEFT($A8,6),'Data Feed (35C)'!$A$1:$G$10,3,FALSE),IF(A8="PROREP (S)", INDEX('Data Feed (35C)'!C:C, MATCH(LEFT($A8,6), 'Data Feed (35C)'!$A$1:$A$10, 0) + 1, +1), VLOOKUP($A8,'Data Feed (35C)'!$A$1:$G$10,3,FALSE))))</f>
        <v>Protea repens</v>
      </c>
      <c r="D8" s="6" t="str">
        <f t="array" ref="D8">IF(ISBLANK(A8),"",IF(A8="PROREP (L)",VLOOKUP(LEFT($A8,6),'Data Feed (35C)'!$A$1:$G$10,4,FALSE),IF(A8="PROREP (S)", INDEX('Data Feed (35C)'!D:D, MATCH(LEFT($A8,6), 'Data Feed (35C)'!$A$1:$A$10, 0) + 1, +1), VLOOKUP($A8,'Data Feed (35C)'!$A$1:$G$10,4,FALSE))))</f>
        <v>35C</v>
      </c>
      <c r="E8" s="6">
        <f t="array" ref="E8">IF(ISBLANK(A8),"",IF(A8="PROREP (L)",VLOOKUP(LEFT($A8,6),'Data Feed (35C)'!$A$1:$G$10,7,FALSE),IF(A8="PROREP (S)", INDEX('Data Feed (35C)'!G:G, MATCH(LEFT($A8,6), 'Data Feed (35C)'!$A$1:$A$10, 0) + 1, +1), VLOOKUP($A8,'Data Feed (35C)'!$A$1:$G$10,7,FALSE))))</f>
        <v>1</v>
      </c>
      <c r="F8" s="7">
        <v>45477.57152777778</v>
      </c>
      <c r="G8" s="8">
        <v>0.526</v>
      </c>
    </row>
    <row r="9">
      <c r="A9" s="9" t="str">
        <f t="shared" ref="A9:A13" si="9">A8</f>
        <v>PROREP (L)</v>
      </c>
      <c r="B9" s="9" t="str">
        <f>IF(ISBLANK(A8),"",LEFT(B8,27)&amp;VALUE(RIGHT(B8,1)+1))</f>
        <v>JKL240702PROREP_35C_sample_2</v>
      </c>
      <c r="C9" s="6" t="str">
        <f t="shared" ref="C9:D9" si="8">C8</f>
        <v>Protea repens</v>
      </c>
      <c r="D9" s="6" t="str">
        <f t="shared" si="8"/>
        <v>35C</v>
      </c>
      <c r="E9" s="10">
        <f>IF(ISBLANK(A8),"",E8+1)</f>
        <v>2</v>
      </c>
      <c r="F9" s="11">
        <f t="shared" ref="F9:F13" si="11">F8</f>
        <v>45477.57153</v>
      </c>
      <c r="G9" s="8">
        <v>0.608</v>
      </c>
    </row>
    <row r="10">
      <c r="A10" s="9" t="str">
        <f t="shared" si="9"/>
        <v>PROREP (L)</v>
      </c>
      <c r="B10" s="9" t="str">
        <f>IF(ISBLANK(A8),"",LEFT(B9,27)&amp;VALUE(RIGHT(B9,1)+1))</f>
        <v>JKL240702PROREP_35C_sample_3</v>
      </c>
      <c r="C10" s="6" t="str">
        <f t="shared" ref="C10:D10" si="10">C9</f>
        <v>Protea repens</v>
      </c>
      <c r="D10" s="6" t="str">
        <f t="shared" si="10"/>
        <v>35C</v>
      </c>
      <c r="E10" s="10">
        <f>IF(ISBLANK(A8),"",E9+1)</f>
        <v>3</v>
      </c>
      <c r="F10" s="11">
        <f t="shared" si="11"/>
        <v>45477.57153</v>
      </c>
      <c r="G10" s="8">
        <v>0.809</v>
      </c>
    </row>
    <row r="11">
      <c r="A11" s="9" t="str">
        <f t="shared" si="9"/>
        <v>PROREP (L)</v>
      </c>
      <c r="B11" s="9" t="str">
        <f>IF(ISBLANK(A8),"",LEFT(B10,27)&amp;VALUE(RIGHT(B10,1)+1))</f>
        <v>JKL240702PROREP_35C_sample_4</v>
      </c>
      <c r="C11" s="6" t="str">
        <f t="shared" ref="C11:D11" si="12">C10</f>
        <v>Protea repens</v>
      </c>
      <c r="D11" s="6" t="str">
        <f t="shared" si="12"/>
        <v>35C</v>
      </c>
      <c r="E11" s="10">
        <f>IF(ISBLANK(A8),"",E10+1)</f>
        <v>4</v>
      </c>
      <c r="F11" s="11">
        <f t="shared" si="11"/>
        <v>45477.57153</v>
      </c>
      <c r="G11" s="8">
        <v>0.531</v>
      </c>
    </row>
    <row r="12">
      <c r="A12" s="9" t="str">
        <f t="shared" si="9"/>
        <v>PROREP (L)</v>
      </c>
      <c r="B12" s="9" t="str">
        <f>IF(ISBLANK(A8),"",LEFT(B11,27)&amp;VALUE(RIGHT(B11,1)+1))</f>
        <v>JKL240702PROREP_35C_sample_5</v>
      </c>
      <c r="C12" s="6" t="str">
        <f t="shared" ref="C12:D12" si="13">C11</f>
        <v>Protea repens</v>
      </c>
      <c r="D12" s="6" t="str">
        <f t="shared" si="13"/>
        <v>35C</v>
      </c>
      <c r="E12" s="10">
        <f>IF(ISBLANK(A8),"",E11+1)</f>
        <v>5</v>
      </c>
      <c r="F12" s="11">
        <f t="shared" si="11"/>
        <v>45477.57153</v>
      </c>
      <c r="G12" s="8">
        <v>0.465</v>
      </c>
    </row>
    <row r="13">
      <c r="A13" s="12" t="str">
        <f t="shared" si="9"/>
        <v>PROREP (L)</v>
      </c>
      <c r="B13" s="12" t="str">
        <f>IF(ISBLANK(A8),"",LEFT(B12,27)&amp;VALUE(RIGHT(B12,1)+1))</f>
        <v>JKL240702PROREP_35C_sample_6</v>
      </c>
      <c r="C13" s="13" t="str">
        <f t="shared" ref="C13:D13" si="14">C12</f>
        <v>Protea repens</v>
      </c>
      <c r="D13" s="13" t="str">
        <f t="shared" si="14"/>
        <v>35C</v>
      </c>
      <c r="E13" s="14">
        <f>IF(ISBLANK(A8),"",E12+1)</f>
        <v>6</v>
      </c>
      <c r="F13" s="15">
        <f t="shared" si="11"/>
        <v>45477.57153</v>
      </c>
      <c r="G13" s="16">
        <v>0.397</v>
      </c>
    </row>
    <row r="14">
      <c r="A14" s="5" t="s">
        <v>7</v>
      </c>
      <c r="B14" s="6" t="str">
        <f t="array" ref="B14">IF(ISBLANK(A14),"",IF(A14="PROREP (L)",VLOOKUP(LEFT($A14,6),'Data Feed (35C)'!$A$1:$G$10,2,FALSE),IF(A14="PROREP (S)", INDEX('Data Feed (35C)'!B:B, MATCH(LEFT($A14,6), 'Data Feed (35C)'!$A$1:$A$10, 0) + 1), VLOOKUP($A14,'Data Feed (35C)'!$A$1:$G$10,2,FALSE))))</f>
        <v>JKS240702ERIMON_35C_sample_1</v>
      </c>
      <c r="C14" s="6" t="str">
        <f t="array" ref="C14">IF(ISBLANK(A14),"",IF(A14="PROREP (L)",VLOOKUP(LEFT($A14,6),'Data Feed (35C)'!$A$1:$G$10,3,FALSE),IF(A14="PROREP (S)", INDEX('Data Feed (35C)'!C:C, MATCH(LEFT($A14,6), 'Data Feed (35C)'!$A$1:$A$10, 0) + 1, +1), VLOOKUP($A14,'Data Feed (35C)'!$A$1:$G$10,3,FALSE))))</f>
        <v>Erica monsoniana</v>
      </c>
      <c r="D14" s="6" t="str">
        <f t="array" ref="D14">IF(ISBLANK(A14),"",IF(A14="PROREP (L)",VLOOKUP(LEFT($A14,6),'Data Feed (35C)'!$A$1:$G$10,4,FALSE),IF(A14="PROREP (S)", INDEX('Data Feed (35C)'!D:D, MATCH(LEFT($A14,6), 'Data Feed (35C)'!$A$1:$A$10, 0) + 1, +1), VLOOKUP($A14,'Data Feed (35C)'!$A$1:$G$10,4,FALSE))))</f>
        <v>35C</v>
      </c>
      <c r="E14" s="6">
        <f t="array" ref="E14">IF(ISBLANK(A14),"",IF(A14="PROREP (L)",VLOOKUP(LEFT($A14,6),'Data Feed (35C)'!$A$1:$G$10,7,FALSE),IF(A14="PROREP (S)", INDEX('Data Feed (35C)'!G:G, MATCH(LEFT($A14,6), 'Data Feed (35C)'!$A$1:$A$10, 0) + 1, +1), VLOOKUP($A14,'Data Feed (35C)'!$A$1:$G$10,7,FALSE))))</f>
        <v>1</v>
      </c>
      <c r="F14" s="7">
        <v>45477.575694444444</v>
      </c>
      <c r="G14" s="8">
        <v>3.677</v>
      </c>
    </row>
    <row r="15">
      <c r="A15" s="9" t="str">
        <f t="shared" ref="A15:A19" si="16">A14</f>
        <v>ERIMON</v>
      </c>
      <c r="B15" s="9" t="str">
        <f>IF(ISBLANK(A14),"",LEFT(B14,27)&amp;VALUE(RIGHT(B14,1)+1))</f>
        <v>JKS240702ERIMON_35C_sample_2</v>
      </c>
      <c r="C15" s="6" t="str">
        <f t="shared" ref="C15:D15" si="15">C14</f>
        <v>Erica monsoniana</v>
      </c>
      <c r="D15" s="6" t="str">
        <f t="shared" si="15"/>
        <v>35C</v>
      </c>
      <c r="E15" s="10">
        <f>IF(ISBLANK(A14),"",E14+1)</f>
        <v>2</v>
      </c>
      <c r="F15" s="11">
        <f t="shared" ref="F15:F19" si="18">F14</f>
        <v>45477.57569</v>
      </c>
      <c r="G15" s="8">
        <v>2.045</v>
      </c>
    </row>
    <row r="16">
      <c r="A16" s="9" t="str">
        <f t="shared" si="16"/>
        <v>ERIMON</v>
      </c>
      <c r="B16" s="9" t="str">
        <f>IF(ISBLANK(A14),"",LEFT(B15,27)&amp;VALUE(RIGHT(B15,1)+1))</f>
        <v>JKS240702ERIMON_35C_sample_3</v>
      </c>
      <c r="C16" s="6" t="str">
        <f t="shared" ref="C16:D16" si="17">C15</f>
        <v>Erica monsoniana</v>
      </c>
      <c r="D16" s="6" t="str">
        <f t="shared" si="17"/>
        <v>35C</v>
      </c>
      <c r="E16" s="10">
        <f>IF(ISBLANK(A14),"",E15+1)</f>
        <v>3</v>
      </c>
      <c r="F16" s="11">
        <f t="shared" si="18"/>
        <v>45477.57569</v>
      </c>
      <c r="G16" s="8">
        <v>0.668</v>
      </c>
    </row>
    <row r="17">
      <c r="A17" s="9" t="str">
        <f t="shared" si="16"/>
        <v>ERIMON</v>
      </c>
      <c r="B17" s="9" t="str">
        <f>IF(ISBLANK(A14),"",LEFT(B16,27)&amp;VALUE(RIGHT(B16,1)+1))</f>
        <v>JKS240702ERIMON_35C_sample_4</v>
      </c>
      <c r="C17" s="6" t="str">
        <f t="shared" ref="C17:D17" si="19">C16</f>
        <v>Erica monsoniana</v>
      </c>
      <c r="D17" s="6" t="str">
        <f t="shared" si="19"/>
        <v>35C</v>
      </c>
      <c r="E17" s="10">
        <f>IF(ISBLANK(A14),"",E16+1)</f>
        <v>4</v>
      </c>
      <c r="F17" s="11">
        <f t="shared" si="18"/>
        <v>45477.57569</v>
      </c>
      <c r="G17" s="8">
        <v>1.113</v>
      </c>
    </row>
    <row r="18">
      <c r="A18" s="9" t="str">
        <f t="shared" si="16"/>
        <v>ERIMON</v>
      </c>
      <c r="B18" s="9" t="str">
        <f>IF(ISBLANK(A14),"",LEFT(B17,27)&amp;VALUE(RIGHT(B17,1)+1))</f>
        <v>JKS240702ERIMON_35C_sample_5</v>
      </c>
      <c r="C18" s="6" t="str">
        <f t="shared" ref="C18:D18" si="20">C17</f>
        <v>Erica monsoniana</v>
      </c>
      <c r="D18" s="6" t="str">
        <f t="shared" si="20"/>
        <v>35C</v>
      </c>
      <c r="E18" s="10">
        <f>IF(ISBLANK(A14),"",E17+1)</f>
        <v>5</v>
      </c>
      <c r="F18" s="11">
        <f t="shared" si="18"/>
        <v>45477.57569</v>
      </c>
      <c r="G18" s="8">
        <v>3.155</v>
      </c>
    </row>
    <row r="19">
      <c r="A19" s="12" t="str">
        <f t="shared" si="16"/>
        <v>ERIMON</v>
      </c>
      <c r="B19" s="12" t="str">
        <f>IF(ISBLANK(A14),"",LEFT(B18,27)&amp;VALUE(RIGHT(B18,1)+1))</f>
        <v>JKS240702ERIMON_35C_sample_6</v>
      </c>
      <c r="C19" s="13" t="str">
        <f t="shared" ref="C19:D19" si="21">C18</f>
        <v>Erica monsoniana</v>
      </c>
      <c r="D19" s="13" t="str">
        <f t="shared" si="21"/>
        <v>35C</v>
      </c>
      <c r="E19" s="14">
        <f>IF(ISBLANK(A14),"",E18+1)</f>
        <v>6</v>
      </c>
      <c r="F19" s="15">
        <f t="shared" si="18"/>
        <v>45477.57569</v>
      </c>
      <c r="G19" s="16">
        <v>1.026</v>
      </c>
    </row>
    <row r="20">
      <c r="A20" s="5" t="s">
        <v>9</v>
      </c>
      <c r="B20" s="6" t="str">
        <f t="array" ref="B20">IF(ISBLANK(A20),"",IF(A20="PROREP (L)",VLOOKUP(LEFT($A20,6),'Data Feed (35C)'!$A$1:$G$10,2,FALSE),IF(A20="PROREP (S)", INDEX('Data Feed (35C)'!B:B, MATCH(LEFT($A20,6), 'Data Feed (35C)'!$A$1:$A$10, 0) + 1), VLOOKUP($A20,'Data Feed (35C)'!$A$1:$G$10,2,FALSE))))</f>
        <v>JKS240702PROREP_35C_sample_1</v>
      </c>
      <c r="C20" s="6" t="str">
        <f t="array" ref="C20">IF(ISBLANK(A20),"",IF(A20="PROREP (L)",VLOOKUP(LEFT($A20,6),'Data Feed (35C)'!$A$1:$G$10,3,FALSE),IF(A20="PROREP (S)", INDEX('Data Feed (35C)'!C:C, MATCH(LEFT($A20,6), 'Data Feed (35C)'!$A$1:$A$10, 0) + 1, +1), VLOOKUP($A20,'Data Feed (35C)'!$A$1:$G$10,3,FALSE))))</f>
        <v>Protea repens</v>
      </c>
      <c r="D20" s="6" t="str">
        <f t="array" ref="D20">IF(ISBLANK(A20),"",IF(A20="PROREP (L)",VLOOKUP(LEFT($A20,6),'Data Feed (35C)'!$A$1:$G$10,4,FALSE),IF(A20="PROREP (S)", INDEX('Data Feed (35C)'!D:D, MATCH(LEFT($A20,6), 'Data Feed (35C)'!$A$1:$A$10, 0) + 1, +1), VLOOKUP($A20,'Data Feed (35C)'!$A$1:$G$10,4,FALSE))))</f>
        <v>35C</v>
      </c>
      <c r="E20" s="6">
        <f t="array" ref="E20">IF(ISBLANK(A20),"",IF(A20="PROREP (L)",VLOOKUP(LEFT($A20,6),'Data Feed (35C)'!$A$1:$G$10,7,FALSE),IF(A20="PROREP (S)", INDEX('Data Feed (35C)'!G:G, MATCH(LEFT($A20,6), 'Data Feed (35C)'!$A$1:$A$10, 0) + 1, +1), VLOOKUP($A20,'Data Feed (35C)'!$A$1:$G$10,7,FALSE))))</f>
        <v>1</v>
      </c>
      <c r="F20" s="7">
        <v>45477.60902777778</v>
      </c>
      <c r="G20" s="8">
        <v>10.06</v>
      </c>
    </row>
    <row r="21">
      <c r="A21" s="9" t="str">
        <f t="shared" ref="A21:A25" si="23">A20</f>
        <v>PROREP (S)</v>
      </c>
      <c r="B21" s="9" t="str">
        <f>IF(ISBLANK(A20),"",LEFT(B20,27)&amp;VALUE(RIGHT(B20,1)+1))</f>
        <v>JKS240702PROREP_35C_sample_2</v>
      </c>
      <c r="C21" s="6" t="str">
        <f t="shared" ref="C21:D21" si="22">C20</f>
        <v>Protea repens</v>
      </c>
      <c r="D21" s="6" t="str">
        <f t="shared" si="22"/>
        <v>35C</v>
      </c>
      <c r="E21" s="10">
        <f>IF(ISBLANK(A20),"",E20+1)</f>
        <v>2</v>
      </c>
      <c r="F21" s="11">
        <f t="shared" ref="F21:F25" si="25">F20</f>
        <v>45477.60903</v>
      </c>
      <c r="G21" s="8">
        <v>19.412</v>
      </c>
    </row>
    <row r="22">
      <c r="A22" s="9" t="str">
        <f t="shared" si="23"/>
        <v>PROREP (S)</v>
      </c>
      <c r="B22" s="9" t="str">
        <f>IF(ISBLANK(A20),"",LEFT(B21,27)&amp;VALUE(RIGHT(B21,1)+1))</f>
        <v>JKS240702PROREP_35C_sample_3</v>
      </c>
      <c r="C22" s="6" t="str">
        <f t="shared" ref="C22:D22" si="24">C21</f>
        <v>Protea repens</v>
      </c>
      <c r="D22" s="6" t="str">
        <f t="shared" si="24"/>
        <v>35C</v>
      </c>
      <c r="E22" s="10">
        <f>IF(ISBLANK(A20),"",E21+1)</f>
        <v>3</v>
      </c>
      <c r="F22" s="11">
        <f t="shared" si="25"/>
        <v>45477.60903</v>
      </c>
      <c r="G22" s="8">
        <v>19.631</v>
      </c>
    </row>
    <row r="23">
      <c r="A23" s="9" t="str">
        <f t="shared" si="23"/>
        <v>PROREP (S)</v>
      </c>
      <c r="B23" s="9" t="str">
        <f>IF(ISBLANK(A20),"",LEFT(B22,27)&amp;VALUE(RIGHT(B22,1)+1))</f>
        <v>JKS240702PROREP_35C_sample_4</v>
      </c>
      <c r="C23" s="6" t="str">
        <f t="shared" ref="C23:D23" si="26">C22</f>
        <v>Protea repens</v>
      </c>
      <c r="D23" s="6" t="str">
        <f t="shared" si="26"/>
        <v>35C</v>
      </c>
      <c r="E23" s="10">
        <f>IF(ISBLANK(A20),"",E22+1)</f>
        <v>4</v>
      </c>
      <c r="F23" s="11">
        <f t="shared" si="25"/>
        <v>45477.60903</v>
      </c>
      <c r="G23" s="8">
        <v>4.052</v>
      </c>
    </row>
    <row r="24">
      <c r="A24" s="9" t="str">
        <f t="shared" si="23"/>
        <v>PROREP (S)</v>
      </c>
      <c r="B24" s="9" t="str">
        <f>IF(ISBLANK(A20),"",LEFT(B23,27)&amp;VALUE(RIGHT(B23,1)+1))</f>
        <v>JKS240702PROREP_35C_sample_5</v>
      </c>
      <c r="C24" s="6" t="str">
        <f t="shared" ref="C24:D24" si="27">C23</f>
        <v>Protea repens</v>
      </c>
      <c r="D24" s="6" t="str">
        <f t="shared" si="27"/>
        <v>35C</v>
      </c>
      <c r="E24" s="10">
        <f>IF(ISBLANK(A20),"",E23+1)</f>
        <v>5</v>
      </c>
      <c r="F24" s="11">
        <f t="shared" si="25"/>
        <v>45477.60903</v>
      </c>
      <c r="G24" s="8">
        <v>5.8</v>
      </c>
    </row>
    <row r="25">
      <c r="A25" s="12" t="str">
        <f t="shared" si="23"/>
        <v>PROREP (S)</v>
      </c>
      <c r="B25" s="12" t="str">
        <f>IF(ISBLANK(A20),"",LEFT(B24,27)&amp;VALUE(RIGHT(B24,1)+1))</f>
        <v>JKS240702PROREP_35C_sample_6</v>
      </c>
      <c r="C25" s="13" t="str">
        <f t="shared" ref="C25:D25" si="28">C24</f>
        <v>Protea repens</v>
      </c>
      <c r="D25" s="13" t="str">
        <f t="shared" si="28"/>
        <v>35C</v>
      </c>
      <c r="E25" s="14">
        <f>IF(ISBLANK(A20),"",E24+1)</f>
        <v>6</v>
      </c>
      <c r="F25" s="15">
        <f t="shared" si="25"/>
        <v>45477.60903</v>
      </c>
      <c r="G25" s="16">
        <v>7.801</v>
      </c>
    </row>
    <row r="26">
      <c r="A26" s="5" t="s">
        <v>7</v>
      </c>
      <c r="B26" s="6" t="str">
        <f t="array" ref="B26">IF(ISBLANK(A26),"",IF(A26="PROREP (L)",VLOOKUP(LEFT($A26,6),'Data Feed (35C)'!$A$1:$G$10,2,FALSE),IF(A26="PROREP (S)", INDEX('Data Feed (35C)'!B:B, MATCH(LEFT($A26,6), 'Data Feed (35C)'!$A$1:$A$10, 0) + 1), VLOOKUP($A26,'Data Feed (35C)'!$A$1:$G$10,2,FALSE))))</f>
        <v>JKS240702ERIMON_35C_sample_1</v>
      </c>
      <c r="C26" s="6" t="str">
        <f t="array" ref="C26">IF(ISBLANK(A26),"",IF(A26="PROREP (L)",VLOOKUP(LEFT($A26,6),'Data Feed (35C)'!$A$1:$G$10,3,FALSE),IF(A26="PROREP (S)", INDEX('Data Feed (35C)'!C:C, MATCH(LEFT($A26,6), 'Data Feed (35C)'!$A$1:$A$10, 0) + 1, +1), VLOOKUP($A26,'Data Feed (35C)'!$A$1:$G$10,3,FALSE))))</f>
        <v>Erica monsoniana</v>
      </c>
      <c r="D26" s="6" t="str">
        <f t="array" ref="D26">IF(ISBLANK(A26),"",IF(A26="PROREP (L)",VLOOKUP(LEFT($A26,6),'Data Feed (35C)'!$A$1:$G$10,4,FALSE),IF(A26="PROREP (S)", INDEX('Data Feed (35C)'!D:D, MATCH(LEFT($A26,6), 'Data Feed (35C)'!$A$1:$A$10, 0) + 1, +1), VLOOKUP($A26,'Data Feed (35C)'!$A$1:$G$10,4,FALSE))))</f>
        <v>35C</v>
      </c>
      <c r="E26" s="6">
        <f t="array" ref="E26">IF(ISBLANK(A26),"",IF(A26="PROREP (L)",VLOOKUP(LEFT($A26,6),'Data Feed (35C)'!$A$1:$G$10,7,FALSE),IF(A26="PROREP (S)", INDEX('Data Feed (35C)'!G:G, MATCH(LEFT($A26,6), 'Data Feed (35C)'!$A$1:$A$10, 0) + 1, +1), VLOOKUP($A26,'Data Feed (35C)'!$A$1:$G$10,7,FALSE))))</f>
        <v>1</v>
      </c>
      <c r="F26" s="7">
        <v>45477.6125</v>
      </c>
      <c r="G26" s="8">
        <v>3.521</v>
      </c>
    </row>
    <row r="27">
      <c r="A27" s="9" t="str">
        <f t="shared" ref="A27:A31" si="30">A26</f>
        <v>ERIMON</v>
      </c>
      <c r="B27" s="9" t="str">
        <f>IF(ISBLANK(A26),"",LEFT(B26,27)&amp;VALUE(RIGHT(B26,1)+1))</f>
        <v>JKS240702ERIMON_35C_sample_2</v>
      </c>
      <c r="C27" s="6" t="str">
        <f t="shared" ref="C27:D27" si="29">C26</f>
        <v>Erica monsoniana</v>
      </c>
      <c r="D27" s="6" t="str">
        <f t="shared" si="29"/>
        <v>35C</v>
      </c>
      <c r="E27" s="10">
        <f>IF(ISBLANK(A26),"",E26+1)</f>
        <v>2</v>
      </c>
      <c r="F27" s="11">
        <f t="shared" ref="F27:F31" si="32">F26</f>
        <v>45477.6125</v>
      </c>
      <c r="G27" s="8">
        <v>1.97</v>
      </c>
    </row>
    <row r="28">
      <c r="A28" s="9" t="str">
        <f t="shared" si="30"/>
        <v>ERIMON</v>
      </c>
      <c r="B28" s="9" t="str">
        <f>IF(ISBLANK(A26),"",LEFT(B27,27)&amp;VALUE(RIGHT(B27,1)+1))</f>
        <v>JKS240702ERIMON_35C_sample_3</v>
      </c>
      <c r="C28" s="6" t="str">
        <f t="shared" ref="C28:D28" si="31">C27</f>
        <v>Erica monsoniana</v>
      </c>
      <c r="D28" s="6" t="str">
        <f t="shared" si="31"/>
        <v>35C</v>
      </c>
      <c r="E28" s="10">
        <f>IF(ISBLANK(A26),"",E27+1)</f>
        <v>3</v>
      </c>
      <c r="F28" s="11">
        <f t="shared" si="32"/>
        <v>45477.6125</v>
      </c>
      <c r="G28" s="8">
        <v>0.649</v>
      </c>
    </row>
    <row r="29">
      <c r="A29" s="9" t="str">
        <f t="shared" si="30"/>
        <v>ERIMON</v>
      </c>
      <c r="B29" s="9" t="str">
        <f>IF(ISBLANK(A26),"",LEFT(B28,27)&amp;VALUE(RIGHT(B28,1)+1))</f>
        <v>JKS240702ERIMON_35C_sample_4</v>
      </c>
      <c r="C29" s="6" t="str">
        <f t="shared" ref="C29:D29" si="33">C28</f>
        <v>Erica monsoniana</v>
      </c>
      <c r="D29" s="6" t="str">
        <f t="shared" si="33"/>
        <v>35C</v>
      </c>
      <c r="E29" s="10">
        <f>IF(ISBLANK(A26),"",E28+1)</f>
        <v>4</v>
      </c>
      <c r="F29" s="11">
        <f t="shared" si="32"/>
        <v>45477.6125</v>
      </c>
      <c r="G29" s="8">
        <v>1.061</v>
      </c>
    </row>
    <row r="30">
      <c r="A30" s="9" t="str">
        <f t="shared" si="30"/>
        <v>ERIMON</v>
      </c>
      <c r="B30" s="9" t="str">
        <f>IF(ISBLANK(A26),"",LEFT(B29,27)&amp;VALUE(RIGHT(B29,1)+1))</f>
        <v>JKS240702ERIMON_35C_sample_5</v>
      </c>
      <c r="C30" s="6" t="str">
        <f t="shared" ref="C30:D30" si="34">C29</f>
        <v>Erica monsoniana</v>
      </c>
      <c r="D30" s="6" t="str">
        <f t="shared" si="34"/>
        <v>35C</v>
      </c>
      <c r="E30" s="10">
        <f>IF(ISBLANK(A26),"",E29+1)</f>
        <v>5</v>
      </c>
      <c r="F30" s="11">
        <f t="shared" si="32"/>
        <v>45477.6125</v>
      </c>
      <c r="G30" s="8">
        <v>3.015</v>
      </c>
    </row>
    <row r="31">
      <c r="A31" s="12" t="str">
        <f t="shared" si="30"/>
        <v>ERIMON</v>
      </c>
      <c r="B31" s="12" t="str">
        <f>IF(ISBLANK(A26),"",LEFT(B30,27)&amp;VALUE(RIGHT(B30,1)+1))</f>
        <v>JKS240702ERIMON_35C_sample_6</v>
      </c>
      <c r="C31" s="13" t="str">
        <f t="shared" ref="C31:D31" si="35">C30</f>
        <v>Erica monsoniana</v>
      </c>
      <c r="D31" s="13" t="str">
        <f t="shared" si="35"/>
        <v>35C</v>
      </c>
      <c r="E31" s="14">
        <f>IF(ISBLANK(A26),"",E30+1)</f>
        <v>6</v>
      </c>
      <c r="F31" s="15">
        <f t="shared" si="32"/>
        <v>45477.6125</v>
      </c>
      <c r="G31" s="16">
        <v>0.949</v>
      </c>
    </row>
    <row r="32">
      <c r="A32" s="5" t="s">
        <v>8</v>
      </c>
      <c r="B32" s="6" t="str">
        <f t="array" ref="B32">IF(ISBLANK(A32),"",IF(A32="PROREP (L)",VLOOKUP(LEFT($A32,6),'Data Feed (35C)'!$A$1:$G$10,2,FALSE),IF(A32="PROREP (S)", INDEX('Data Feed (35C)'!B:B, MATCH(LEFT($A32,6), 'Data Feed (35C)'!$A$1:$A$10, 0) + 1), VLOOKUP($A32,'Data Feed (35C)'!$A$1:$G$10,2,FALSE))))</f>
        <v>JKL240702PROREP_35C_sample_1</v>
      </c>
      <c r="C32" s="6" t="str">
        <f t="array" ref="C32">IF(ISBLANK(A32),"",IF(A32="PROREP (L)",VLOOKUP(LEFT($A32,6),'Data Feed (35C)'!$A$1:$G$10,3,FALSE),IF(A32="PROREP (S)", INDEX('Data Feed (35C)'!C:C, MATCH(LEFT($A32,6), 'Data Feed (35C)'!$A$1:$A$10, 0) + 1, +1), VLOOKUP($A32,'Data Feed (35C)'!$A$1:$G$10,3,FALSE))))</f>
        <v>Protea repens</v>
      </c>
      <c r="D32" s="6" t="str">
        <f t="array" ref="D32">IF(ISBLANK(A32),"",IF(A32="PROREP (L)",VLOOKUP(LEFT($A32,6),'Data Feed (35C)'!$A$1:$G$10,4,FALSE),IF(A32="PROREP (S)", INDEX('Data Feed (35C)'!D:D, MATCH(LEFT($A32,6), 'Data Feed (35C)'!$A$1:$A$10, 0) + 1, +1), VLOOKUP($A32,'Data Feed (35C)'!$A$1:$G$10,4,FALSE))))</f>
        <v>35C</v>
      </c>
      <c r="E32" s="6">
        <f t="array" ref="E32">IF(ISBLANK(A32),"",IF(A32="PROREP (L)",VLOOKUP(LEFT($A32,6),'Data Feed (35C)'!$A$1:$G$10,7,FALSE),IF(A32="PROREP (S)", INDEX('Data Feed (35C)'!G:G, MATCH(LEFT($A32,6), 'Data Feed (35C)'!$A$1:$A$10, 0) + 1, +1), VLOOKUP($A32,'Data Feed (35C)'!$A$1:$G$10,7,FALSE))))</f>
        <v>1</v>
      </c>
      <c r="F32" s="7">
        <v>45477.61388888889</v>
      </c>
      <c r="G32" s="8">
        <v>0.518</v>
      </c>
    </row>
    <row r="33">
      <c r="A33" s="9" t="str">
        <f t="shared" ref="A33:A37" si="37">A32</f>
        <v>PROREP (L)</v>
      </c>
      <c r="B33" s="9" t="str">
        <f>IF(ISBLANK(A32),"",LEFT(B32,27)&amp;VALUE(RIGHT(B32,1)+1))</f>
        <v>JKL240702PROREP_35C_sample_2</v>
      </c>
      <c r="C33" s="6" t="str">
        <f t="shared" ref="C33:D33" si="36">C32</f>
        <v>Protea repens</v>
      </c>
      <c r="D33" s="6" t="str">
        <f t="shared" si="36"/>
        <v>35C</v>
      </c>
      <c r="E33" s="10">
        <f>IF(ISBLANK(A32),"",E32+1)</f>
        <v>2</v>
      </c>
      <c r="F33" s="11">
        <f t="shared" ref="F33:F37" si="39">F32</f>
        <v>45477.61389</v>
      </c>
      <c r="G33" s="8">
        <v>0.601</v>
      </c>
    </row>
    <row r="34">
      <c r="A34" s="9" t="str">
        <f t="shared" si="37"/>
        <v>PROREP (L)</v>
      </c>
      <c r="B34" s="9" t="str">
        <f>IF(ISBLANK(A32),"",LEFT(B33,27)&amp;VALUE(RIGHT(B33,1)+1))</f>
        <v>JKL240702PROREP_35C_sample_3</v>
      </c>
      <c r="C34" s="6" t="str">
        <f t="shared" ref="C34:D34" si="38">C33</f>
        <v>Protea repens</v>
      </c>
      <c r="D34" s="6" t="str">
        <f t="shared" si="38"/>
        <v>35C</v>
      </c>
      <c r="E34" s="10">
        <f>IF(ISBLANK(A32),"",E33+1)</f>
        <v>3</v>
      </c>
      <c r="F34" s="11">
        <f t="shared" si="39"/>
        <v>45477.61389</v>
      </c>
      <c r="G34" s="8">
        <v>0.798</v>
      </c>
    </row>
    <row r="35">
      <c r="A35" s="9" t="str">
        <f t="shared" si="37"/>
        <v>PROREP (L)</v>
      </c>
      <c r="B35" s="9" t="str">
        <f>IF(ISBLANK(A32),"",LEFT(B34,27)&amp;VALUE(RIGHT(B34,1)+1))</f>
        <v>JKL240702PROREP_35C_sample_4</v>
      </c>
      <c r="C35" s="6" t="str">
        <f t="shared" ref="C35:D35" si="40">C34</f>
        <v>Protea repens</v>
      </c>
      <c r="D35" s="6" t="str">
        <f t="shared" si="40"/>
        <v>35C</v>
      </c>
      <c r="E35" s="10">
        <f>IF(ISBLANK(A32),"",E34+1)</f>
        <v>4</v>
      </c>
      <c r="F35" s="11">
        <f t="shared" si="39"/>
        <v>45477.61389</v>
      </c>
      <c r="G35" s="8">
        <v>0.504</v>
      </c>
    </row>
    <row r="36">
      <c r="A36" s="9" t="str">
        <f t="shared" si="37"/>
        <v>PROREP (L)</v>
      </c>
      <c r="B36" s="9" t="str">
        <f>IF(ISBLANK(A32),"",LEFT(B35,27)&amp;VALUE(RIGHT(B35,1)+1))</f>
        <v>JKL240702PROREP_35C_sample_5</v>
      </c>
      <c r="C36" s="6" t="str">
        <f t="shared" ref="C36:D36" si="41">C35</f>
        <v>Protea repens</v>
      </c>
      <c r="D36" s="6" t="str">
        <f t="shared" si="41"/>
        <v>35C</v>
      </c>
      <c r="E36" s="10">
        <f>IF(ISBLANK(A32),"",E35+1)</f>
        <v>5</v>
      </c>
      <c r="F36" s="11">
        <f t="shared" si="39"/>
        <v>45477.61389</v>
      </c>
      <c r="G36" s="8">
        <v>0.446</v>
      </c>
    </row>
    <row r="37">
      <c r="A37" s="12" t="str">
        <f t="shared" si="37"/>
        <v>PROREP (L)</v>
      </c>
      <c r="B37" s="12" t="str">
        <f>IF(ISBLANK(A32),"",LEFT(B36,27)&amp;VALUE(RIGHT(B36,1)+1))</f>
        <v>JKL240702PROREP_35C_sample_6</v>
      </c>
      <c r="C37" s="13" t="str">
        <f t="shared" ref="C37:D37" si="42">C36</f>
        <v>Protea repens</v>
      </c>
      <c r="D37" s="13" t="str">
        <f t="shared" si="42"/>
        <v>35C</v>
      </c>
      <c r="E37" s="14">
        <f>IF(ISBLANK(A32),"",E36+1)</f>
        <v>6</v>
      </c>
      <c r="F37" s="15">
        <f t="shared" si="39"/>
        <v>45477.61389</v>
      </c>
      <c r="G37" s="16">
        <v>0.379</v>
      </c>
    </row>
    <row r="38">
      <c r="A38" s="5" t="s">
        <v>7</v>
      </c>
      <c r="B38" s="6" t="str">
        <f t="array" ref="B38">IF(ISBLANK(A38),"",IF(A38="PROREP (L)",VLOOKUP(LEFT($A38,6),'Data Feed (35C)'!$A$1:$G$10,2,FALSE),IF(A38="PROREP (S)", INDEX('Data Feed (35C)'!B:B, MATCH(LEFT($A38,6), 'Data Feed (35C)'!$A$1:$A$10, 0) + 1), VLOOKUP($A38,'Data Feed (35C)'!$A$1:$G$10,2,FALSE))))</f>
        <v>JKS240702ERIMON_35C_sample_1</v>
      </c>
      <c r="C38" s="6" t="str">
        <f t="array" ref="C38">IF(ISBLANK(A38),"",IF(A38="PROREP (L)",VLOOKUP(LEFT($A38,6),'Data Feed (35C)'!$A$1:$G$10,3,FALSE),IF(A38="PROREP (S)", INDEX('Data Feed (35C)'!C:C, MATCH(LEFT($A38,6), 'Data Feed (35C)'!$A$1:$A$10, 0) + 1, +1), VLOOKUP($A38,'Data Feed (35C)'!$A$1:$G$10,3,FALSE))))</f>
        <v>Erica monsoniana</v>
      </c>
      <c r="D38" s="6" t="str">
        <f t="array" ref="D38">IF(ISBLANK(A38),"",IF(A38="PROREP (L)",VLOOKUP(LEFT($A38,6),'Data Feed (35C)'!$A$1:$G$10,4,FALSE),IF(A38="PROREP (S)", INDEX('Data Feed (35C)'!D:D, MATCH(LEFT($A38,6), 'Data Feed (35C)'!$A$1:$A$10, 0) + 1, +1), VLOOKUP($A38,'Data Feed (35C)'!$A$1:$G$10,4,FALSE))))</f>
        <v>35C</v>
      </c>
      <c r="E38" s="6">
        <f t="array" ref="E38">IF(ISBLANK(A38),"",IF(A38="PROREP (L)",VLOOKUP(LEFT($A38,6),'Data Feed (35C)'!$A$1:$G$10,7,FALSE),IF(A38="PROREP (S)", INDEX('Data Feed (35C)'!G:G, MATCH(LEFT($A38,6), 'Data Feed (35C)'!$A$1:$A$10, 0) + 1, +1), VLOOKUP($A38,'Data Feed (35C)'!$A$1:$G$10,7,FALSE))))</f>
        <v>1</v>
      </c>
      <c r="F38" s="7">
        <v>45477.65625</v>
      </c>
      <c r="G38" s="8">
        <v>3.306</v>
      </c>
    </row>
    <row r="39">
      <c r="A39" s="9" t="str">
        <f t="shared" ref="A39:A43" si="44">A38</f>
        <v>ERIMON</v>
      </c>
      <c r="B39" s="9" t="str">
        <f>IF(ISBLANK(A38),"",LEFT(B38,27)&amp;VALUE(RIGHT(B38,1)+1))</f>
        <v>JKS240702ERIMON_35C_sample_2</v>
      </c>
      <c r="C39" s="6" t="str">
        <f t="shared" ref="C39:D39" si="43">C38</f>
        <v>Erica monsoniana</v>
      </c>
      <c r="D39" s="6" t="str">
        <f t="shared" si="43"/>
        <v>35C</v>
      </c>
      <c r="E39" s="10">
        <f>IF(ISBLANK(A38),"",E38+1)</f>
        <v>2</v>
      </c>
      <c r="F39" s="11">
        <f t="shared" ref="F39:F43" si="46">F38</f>
        <v>45477.65625</v>
      </c>
      <c r="G39" s="8">
        <v>1.868</v>
      </c>
    </row>
    <row r="40">
      <c r="A40" s="9" t="str">
        <f t="shared" si="44"/>
        <v>ERIMON</v>
      </c>
      <c r="B40" s="9" t="str">
        <f>IF(ISBLANK(A38),"",LEFT(B39,27)&amp;VALUE(RIGHT(B39,1)+1))</f>
        <v>JKS240702ERIMON_35C_sample_3</v>
      </c>
      <c r="C40" s="6" t="str">
        <f t="shared" ref="C40:D40" si="45">C39</f>
        <v>Erica monsoniana</v>
      </c>
      <c r="D40" s="6" t="str">
        <f t="shared" si="45"/>
        <v>35C</v>
      </c>
      <c r="E40" s="10">
        <f>IF(ISBLANK(A38),"",E39+1)</f>
        <v>3</v>
      </c>
      <c r="F40" s="11">
        <f t="shared" si="46"/>
        <v>45477.65625</v>
      </c>
      <c r="G40" s="8">
        <v>0.61</v>
      </c>
    </row>
    <row r="41">
      <c r="A41" s="9" t="str">
        <f t="shared" si="44"/>
        <v>ERIMON</v>
      </c>
      <c r="B41" s="9" t="str">
        <f>IF(ISBLANK(A38),"",LEFT(B40,27)&amp;VALUE(RIGHT(B40,1)+1))</f>
        <v>JKS240702ERIMON_35C_sample_4</v>
      </c>
      <c r="C41" s="6" t="str">
        <f t="shared" ref="C41:D41" si="47">C40</f>
        <v>Erica monsoniana</v>
      </c>
      <c r="D41" s="6" t="str">
        <f t="shared" si="47"/>
        <v>35C</v>
      </c>
      <c r="E41" s="10">
        <f>IF(ISBLANK(A38),"",E40+1)</f>
        <v>4</v>
      </c>
      <c r="F41" s="11">
        <f t="shared" si="46"/>
        <v>45477.65625</v>
      </c>
      <c r="G41" s="8">
        <v>0.993</v>
      </c>
    </row>
    <row r="42">
      <c r="A42" s="9" t="str">
        <f t="shared" si="44"/>
        <v>ERIMON</v>
      </c>
      <c r="B42" s="9" t="str">
        <f>IF(ISBLANK(A38),"",LEFT(B41,27)&amp;VALUE(RIGHT(B41,1)+1))</f>
        <v>JKS240702ERIMON_35C_sample_5</v>
      </c>
      <c r="C42" s="6" t="str">
        <f t="shared" ref="C42:D42" si="48">C41</f>
        <v>Erica monsoniana</v>
      </c>
      <c r="D42" s="6" t="str">
        <f t="shared" si="48"/>
        <v>35C</v>
      </c>
      <c r="E42" s="10">
        <f>IF(ISBLANK(A38),"",E41+1)</f>
        <v>5</v>
      </c>
      <c r="F42" s="11">
        <f t="shared" si="46"/>
        <v>45477.65625</v>
      </c>
      <c r="G42" s="8">
        <v>2.838</v>
      </c>
    </row>
    <row r="43">
      <c r="A43" s="12" t="str">
        <f t="shared" si="44"/>
        <v>ERIMON</v>
      </c>
      <c r="B43" s="12" t="str">
        <f>IF(ISBLANK(A38),"",LEFT(B42,27)&amp;VALUE(RIGHT(B42,1)+1))</f>
        <v>JKS240702ERIMON_35C_sample_6</v>
      </c>
      <c r="C43" s="13" t="str">
        <f t="shared" ref="C43:D43" si="49">C42</f>
        <v>Erica monsoniana</v>
      </c>
      <c r="D43" s="13" t="str">
        <f t="shared" si="49"/>
        <v>35C</v>
      </c>
      <c r="E43" s="14">
        <f>IF(ISBLANK(A38),"",E42+1)</f>
        <v>6</v>
      </c>
      <c r="F43" s="15">
        <f t="shared" si="46"/>
        <v>45477.65625</v>
      </c>
      <c r="G43" s="16">
        <v>0.866</v>
      </c>
    </row>
    <row r="44">
      <c r="A44" s="5" t="s">
        <v>8</v>
      </c>
      <c r="B44" s="6" t="str">
        <f t="array" ref="B44">IF(ISBLANK(A44),"",IF(A44="PROREP (L)",VLOOKUP(LEFT($A44,6),'Data Feed (35C)'!$A$1:$G$10,2,FALSE),IF(A44="PROREP (S)", INDEX('Data Feed (35C)'!B:B, MATCH(LEFT($A44,6), 'Data Feed (35C)'!$A$1:$A$10, 0) + 1), VLOOKUP($A44,'Data Feed (35C)'!$A$1:$G$10,2,FALSE))))</f>
        <v>JKL240702PROREP_35C_sample_1</v>
      </c>
      <c r="C44" s="6" t="str">
        <f t="array" ref="C44">IF(ISBLANK(A44),"",IF(A44="PROREP (L)",VLOOKUP(LEFT($A44,6),'Data Feed (35C)'!$A$1:$G$10,3,FALSE),IF(A44="PROREP (S)", INDEX('Data Feed (35C)'!C:C, MATCH(LEFT($A44,6), 'Data Feed (35C)'!$A$1:$A$10, 0) + 1, +1), VLOOKUP($A44,'Data Feed (35C)'!$A$1:$G$10,3,FALSE))))</f>
        <v>Protea repens</v>
      </c>
      <c r="D44" s="6" t="str">
        <f t="array" ref="D44">IF(ISBLANK(A44),"",IF(A44="PROREP (L)",VLOOKUP(LEFT($A44,6),'Data Feed (35C)'!$A$1:$G$10,4,FALSE),IF(A44="PROREP (S)", INDEX('Data Feed (35C)'!D:D, MATCH(LEFT($A44,6), 'Data Feed (35C)'!$A$1:$A$10, 0) + 1, +1), VLOOKUP($A44,'Data Feed (35C)'!$A$1:$G$10,4,FALSE))))</f>
        <v>35C</v>
      </c>
      <c r="E44" s="6">
        <f t="array" ref="E44">IF(ISBLANK(A44),"",IF(A44="PROREP (L)",VLOOKUP(LEFT($A44,6),'Data Feed (35C)'!$A$1:$G$10,7,FALSE),IF(A44="PROREP (S)", INDEX('Data Feed (35C)'!G:G, MATCH(LEFT($A44,6), 'Data Feed (35C)'!$A$1:$A$10, 0) + 1, +1), VLOOKUP($A44,'Data Feed (35C)'!$A$1:$G$10,7,FALSE))))</f>
        <v>1</v>
      </c>
      <c r="F44" s="7">
        <v>45477.65833333333</v>
      </c>
      <c r="G44" s="8">
        <v>0.518</v>
      </c>
    </row>
    <row r="45">
      <c r="A45" s="9" t="str">
        <f t="shared" ref="A45:A49" si="51">A44</f>
        <v>PROREP (L)</v>
      </c>
      <c r="B45" s="9" t="str">
        <f>IF(ISBLANK(A44),"",LEFT(B44,27)&amp;VALUE(RIGHT(B44,1)+1))</f>
        <v>JKL240702PROREP_35C_sample_2</v>
      </c>
      <c r="C45" s="6" t="str">
        <f t="shared" ref="C45:D45" si="50">C44</f>
        <v>Protea repens</v>
      </c>
      <c r="D45" s="6" t="str">
        <f t="shared" si="50"/>
        <v>35C</v>
      </c>
      <c r="E45" s="10">
        <f>IF(ISBLANK(A44),"",E44+1)</f>
        <v>2</v>
      </c>
      <c r="F45" s="11">
        <f t="shared" ref="F45:F49" si="53">F44</f>
        <v>45477.65833</v>
      </c>
      <c r="G45" s="8">
        <v>0.591</v>
      </c>
    </row>
    <row r="46">
      <c r="A46" s="9" t="str">
        <f t="shared" si="51"/>
        <v>PROREP (L)</v>
      </c>
      <c r="B46" s="9" t="str">
        <f>IF(ISBLANK(A44),"",LEFT(B45,27)&amp;VALUE(RIGHT(B45,1)+1))</f>
        <v>JKL240702PROREP_35C_sample_3</v>
      </c>
      <c r="C46" s="6" t="str">
        <f t="shared" ref="C46:D46" si="52">C45</f>
        <v>Protea repens</v>
      </c>
      <c r="D46" s="6" t="str">
        <f t="shared" si="52"/>
        <v>35C</v>
      </c>
      <c r="E46" s="10">
        <f>IF(ISBLANK(A44),"",E45+1)</f>
        <v>3</v>
      </c>
      <c r="F46" s="11">
        <f t="shared" si="53"/>
        <v>45477.65833</v>
      </c>
      <c r="G46" s="8">
        <v>0.789</v>
      </c>
    </row>
    <row r="47">
      <c r="A47" s="9" t="str">
        <f t="shared" si="51"/>
        <v>PROREP (L)</v>
      </c>
      <c r="B47" s="9" t="str">
        <f>IF(ISBLANK(A44),"",LEFT(B46,27)&amp;VALUE(RIGHT(B46,1)+1))</f>
        <v>JKL240702PROREP_35C_sample_4</v>
      </c>
      <c r="C47" s="6" t="str">
        <f t="shared" ref="C47:D47" si="54">C46</f>
        <v>Protea repens</v>
      </c>
      <c r="D47" s="6" t="str">
        <f t="shared" si="54"/>
        <v>35C</v>
      </c>
      <c r="E47" s="10">
        <f>IF(ISBLANK(A44),"",E46+1)</f>
        <v>4</v>
      </c>
      <c r="F47" s="11">
        <f t="shared" si="53"/>
        <v>45477.65833</v>
      </c>
      <c r="G47" s="8">
        <v>0.479</v>
      </c>
    </row>
    <row r="48">
      <c r="A48" s="9" t="str">
        <f t="shared" si="51"/>
        <v>PROREP (L)</v>
      </c>
      <c r="B48" s="9" t="str">
        <f>IF(ISBLANK(A44),"",LEFT(B47,27)&amp;VALUE(RIGHT(B47,1)+1))</f>
        <v>JKL240702PROREP_35C_sample_5</v>
      </c>
      <c r="C48" s="6" t="str">
        <f t="shared" ref="C48:D48" si="55">C47</f>
        <v>Protea repens</v>
      </c>
      <c r="D48" s="6" t="str">
        <f t="shared" si="55"/>
        <v>35C</v>
      </c>
      <c r="E48" s="10">
        <f>IF(ISBLANK(A44),"",E47+1)</f>
        <v>5</v>
      </c>
      <c r="F48" s="11">
        <f t="shared" si="53"/>
        <v>45477.65833</v>
      </c>
      <c r="G48" s="8">
        <v>0.435</v>
      </c>
    </row>
    <row r="49">
      <c r="A49" s="12" t="str">
        <f t="shared" si="51"/>
        <v>PROREP (L)</v>
      </c>
      <c r="B49" s="12" t="str">
        <f>IF(ISBLANK(A44),"",LEFT(B48,27)&amp;VALUE(RIGHT(B48,1)+1))</f>
        <v>JKL240702PROREP_35C_sample_6</v>
      </c>
      <c r="C49" s="13" t="str">
        <f t="shared" ref="C49:D49" si="56">C48</f>
        <v>Protea repens</v>
      </c>
      <c r="D49" s="13" t="str">
        <f t="shared" si="56"/>
        <v>35C</v>
      </c>
      <c r="E49" s="14">
        <f>IF(ISBLANK(A44),"",E48+1)</f>
        <v>6</v>
      </c>
      <c r="F49" s="15">
        <f t="shared" si="53"/>
        <v>45477.65833</v>
      </c>
      <c r="G49" s="16">
        <v>0.379</v>
      </c>
    </row>
    <row r="50">
      <c r="A50" s="5" t="s">
        <v>9</v>
      </c>
      <c r="B50" s="6" t="str">
        <f t="array" ref="B50">IF(ISBLANK(A50),"",IF(A50="PROREP (L)",VLOOKUP(LEFT($A50,6),'Data Feed (35C)'!$A$1:$G$10,2,FALSE),IF(A50="PROREP (S)", INDEX('Data Feed (35C)'!B:B, MATCH(LEFT($A50,6), 'Data Feed (35C)'!$A$1:$A$10, 0) + 1), VLOOKUP($A50,'Data Feed (35C)'!$A$1:$G$10,2,FALSE))))</f>
        <v>JKS240702PROREP_35C_sample_1</v>
      </c>
      <c r="C50" s="6" t="str">
        <f t="array" ref="C50">IF(ISBLANK(A50),"",IF(A50="PROREP (L)",VLOOKUP(LEFT($A50,6),'Data Feed (35C)'!$A$1:$G$10,3,FALSE),IF(A50="PROREP (S)", INDEX('Data Feed (35C)'!C:C, MATCH(LEFT($A50,6), 'Data Feed (35C)'!$A$1:$A$10, 0) + 1, +1), VLOOKUP($A50,'Data Feed (35C)'!$A$1:$G$10,3,FALSE))))</f>
        <v>Protea repens</v>
      </c>
      <c r="D50" s="6" t="str">
        <f t="array" ref="D50">IF(ISBLANK(A50),"",IF(A50="PROREP (L)",VLOOKUP(LEFT($A50,6),'Data Feed (35C)'!$A$1:$G$10,4,FALSE),IF(A50="PROREP (S)", INDEX('Data Feed (35C)'!D:D, MATCH(LEFT($A50,6), 'Data Feed (35C)'!$A$1:$A$10, 0) + 1, +1), VLOOKUP($A50,'Data Feed (35C)'!$A$1:$G$10,4,FALSE))))</f>
        <v>35C</v>
      </c>
      <c r="E50" s="6">
        <f t="array" ref="E50">IF(ISBLANK(A50),"",IF(A50="PROREP (L)",VLOOKUP(LEFT($A50,6),'Data Feed (35C)'!$A$1:$G$10,7,FALSE),IF(A50="PROREP (S)", INDEX('Data Feed (35C)'!G:G, MATCH(LEFT($A50,6), 'Data Feed (35C)'!$A$1:$A$10, 0) + 1, +1), VLOOKUP($A50,'Data Feed (35C)'!$A$1:$G$10,7,FALSE))))</f>
        <v>1</v>
      </c>
      <c r="F50" s="7">
        <v>45477.66111111111</v>
      </c>
      <c r="G50" s="8">
        <v>9.936</v>
      </c>
    </row>
    <row r="51">
      <c r="A51" s="9" t="str">
        <f t="shared" ref="A51:A55" si="58">A50</f>
        <v>PROREP (S)</v>
      </c>
      <c r="B51" s="9" t="str">
        <f>IF(ISBLANK(A50),"",LEFT(B50,27)&amp;VALUE(RIGHT(B50,1)+1))</f>
        <v>JKS240702PROREP_35C_sample_2</v>
      </c>
      <c r="C51" s="6" t="str">
        <f t="shared" ref="C51:D51" si="57">C50</f>
        <v>Protea repens</v>
      </c>
      <c r="D51" s="6" t="str">
        <f t="shared" si="57"/>
        <v>35C</v>
      </c>
      <c r="E51" s="10">
        <f>IF(ISBLANK(A50),"",E50+1)</f>
        <v>2</v>
      </c>
      <c r="F51" s="11">
        <f t="shared" ref="F51:F55" si="60">F50</f>
        <v>45477.66111</v>
      </c>
      <c r="G51" s="8">
        <v>19.104</v>
      </c>
    </row>
    <row r="52">
      <c r="A52" s="9" t="str">
        <f t="shared" si="58"/>
        <v>PROREP (S)</v>
      </c>
      <c r="B52" s="9" t="str">
        <f>IF(ISBLANK(A50),"",LEFT(B51,27)&amp;VALUE(RIGHT(B51,1)+1))</f>
        <v>JKS240702PROREP_35C_sample_3</v>
      </c>
      <c r="C52" s="6" t="str">
        <f t="shared" ref="C52:D52" si="59">C51</f>
        <v>Protea repens</v>
      </c>
      <c r="D52" s="6" t="str">
        <f t="shared" si="59"/>
        <v>35C</v>
      </c>
      <c r="E52" s="10">
        <f>IF(ISBLANK(A50),"",E51+1)</f>
        <v>3</v>
      </c>
      <c r="F52" s="11">
        <f t="shared" si="60"/>
        <v>45477.66111</v>
      </c>
      <c r="G52" s="8">
        <v>19.266</v>
      </c>
    </row>
    <row r="53">
      <c r="A53" s="9" t="str">
        <f t="shared" si="58"/>
        <v>PROREP (S)</v>
      </c>
      <c r="B53" s="9" t="str">
        <f>IF(ISBLANK(A50),"",LEFT(B52,27)&amp;VALUE(RIGHT(B52,1)+1))</f>
        <v>JKS240702PROREP_35C_sample_4</v>
      </c>
      <c r="C53" s="6" t="str">
        <f t="shared" ref="C53:D53" si="61">C52</f>
        <v>Protea repens</v>
      </c>
      <c r="D53" s="6" t="str">
        <f t="shared" si="61"/>
        <v>35C</v>
      </c>
      <c r="E53" s="10">
        <f>IF(ISBLANK(A50),"",E52+1)</f>
        <v>4</v>
      </c>
      <c r="F53" s="11">
        <f t="shared" si="60"/>
        <v>45477.66111</v>
      </c>
      <c r="G53" s="8">
        <v>3.982</v>
      </c>
    </row>
    <row r="54">
      <c r="A54" s="9" t="str">
        <f t="shared" si="58"/>
        <v>PROREP (S)</v>
      </c>
      <c r="B54" s="9" t="str">
        <f>IF(ISBLANK(A50),"",LEFT(B53,27)&amp;VALUE(RIGHT(B53,1)+1))</f>
        <v>JKS240702PROREP_35C_sample_5</v>
      </c>
      <c r="C54" s="6" t="str">
        <f t="shared" ref="C54:D54" si="62">C53</f>
        <v>Protea repens</v>
      </c>
      <c r="D54" s="6" t="str">
        <f t="shared" si="62"/>
        <v>35C</v>
      </c>
      <c r="E54" s="10">
        <f>IF(ISBLANK(A50),"",E53+1)</f>
        <v>5</v>
      </c>
      <c r="F54" s="11">
        <f t="shared" si="60"/>
        <v>45477.66111</v>
      </c>
      <c r="G54" s="8">
        <v>5.509</v>
      </c>
    </row>
    <row r="55">
      <c r="A55" s="12" t="str">
        <f t="shared" si="58"/>
        <v>PROREP (S)</v>
      </c>
      <c r="B55" s="12" t="str">
        <f>IF(ISBLANK(A50),"",LEFT(B54,27)&amp;VALUE(RIGHT(B54,1)+1))</f>
        <v>JKS240702PROREP_35C_sample_6</v>
      </c>
      <c r="C55" s="13" t="str">
        <f t="shared" ref="C55:D55" si="63">C54</f>
        <v>Protea repens</v>
      </c>
      <c r="D55" s="13" t="str">
        <f t="shared" si="63"/>
        <v>35C</v>
      </c>
      <c r="E55" s="14">
        <f>IF(ISBLANK(A50),"",E54+1)</f>
        <v>6</v>
      </c>
      <c r="F55" s="15">
        <f t="shared" si="60"/>
        <v>45477.66111</v>
      </c>
      <c r="G55" s="16">
        <v>7.666</v>
      </c>
    </row>
    <row r="56">
      <c r="A56" s="5" t="s">
        <v>10</v>
      </c>
      <c r="B56" s="6" t="str">
        <f t="array" ref="B56">IF(ISBLANK(A56),"",IF(A56="PROREP (L)",VLOOKUP(LEFT($A56,6),'Data Feed (35C)'!$A$1:$G$10,2,FALSE),IF(A56="PROREP (S)", INDEX('Data Feed (35C)'!B:B, MATCH(LEFT($A56,6), 'Data Feed (35C)'!$A$1:$A$10, 0) + 1), VLOOKUP($A56,'Data Feed (35C)'!$A$1:$G$10,2,FALSE))))</f>
        <v>JKS240702CANCON_35C_sample_1</v>
      </c>
      <c r="C56" s="6" t="str">
        <f t="array" ref="C56">IF(ISBLANK(A56),"",IF(A56="PROREP (L)",VLOOKUP(LEFT($A56,6),'Data Feed (35C)'!$A$1:$G$10,3,FALSE),IF(A56="PROREP (S)", INDEX('Data Feed (35C)'!C:C, MATCH(LEFT($A56,6), 'Data Feed (35C)'!$A$1:$A$10, 0) + 1, +1), VLOOKUP($A56,'Data Feed (35C)'!$A$1:$G$10,3,FALSE))))</f>
        <v>Cannomois congesta</v>
      </c>
      <c r="D56" s="6" t="str">
        <f t="array" ref="D56">IF(ISBLANK(A56),"",IF(A56="PROREP (L)",VLOOKUP(LEFT($A56,6),'Data Feed (35C)'!$A$1:$G$10,4,FALSE),IF(A56="PROREP (S)", INDEX('Data Feed (35C)'!D:D, MATCH(LEFT($A56,6), 'Data Feed (35C)'!$A$1:$A$10, 0) + 1, +1), VLOOKUP($A56,'Data Feed (35C)'!$A$1:$G$10,4,FALSE))))</f>
        <v>35C</v>
      </c>
      <c r="E56" s="6">
        <f t="array" ref="E56">IF(ISBLANK(A56),"",IF(A56="PROREP (L)",VLOOKUP(LEFT($A56,6),'Data Feed (35C)'!$A$1:$G$10,7,FALSE),IF(A56="PROREP (S)", INDEX('Data Feed (35C)'!G:G, MATCH(LEFT($A56,6), 'Data Feed (35C)'!$A$1:$A$10, 0) + 1, +1), VLOOKUP($A56,'Data Feed (35C)'!$A$1:$G$10,7,FALSE))))</f>
        <v>1</v>
      </c>
      <c r="F56" s="7">
        <v>45477.717361111114</v>
      </c>
      <c r="G56" s="8">
        <v>0.631</v>
      </c>
    </row>
    <row r="57">
      <c r="A57" s="9" t="str">
        <f t="shared" ref="A57:A61" si="65">A56</f>
        <v>CANCON</v>
      </c>
      <c r="B57" s="9" t="str">
        <f>IF(ISBLANK(A56),"",LEFT(B56,27)&amp;VALUE(RIGHT(B56,1)+1))</f>
        <v>JKS240702CANCON_35C_sample_2</v>
      </c>
      <c r="C57" s="6" t="str">
        <f t="shared" ref="C57:D57" si="64">C56</f>
        <v>Cannomois congesta</v>
      </c>
      <c r="D57" s="6" t="str">
        <f t="shared" si="64"/>
        <v>35C</v>
      </c>
      <c r="E57" s="10">
        <f>IF(ISBLANK(A56),"",E56+1)</f>
        <v>2</v>
      </c>
      <c r="F57" s="11">
        <f t="shared" ref="F57:F61" si="67">F56</f>
        <v>45477.71736</v>
      </c>
      <c r="G57" s="8">
        <v>2.587</v>
      </c>
    </row>
    <row r="58">
      <c r="A58" s="9" t="str">
        <f t="shared" si="65"/>
        <v>CANCON</v>
      </c>
      <c r="B58" s="9" t="str">
        <f>IF(ISBLANK(A56),"",LEFT(B57,27)&amp;VALUE(RIGHT(B57,1)+1))</f>
        <v>JKS240702CANCON_35C_sample_3</v>
      </c>
      <c r="C58" s="6" t="str">
        <f t="shared" ref="C58:D58" si="66">C57</f>
        <v>Cannomois congesta</v>
      </c>
      <c r="D58" s="6" t="str">
        <f t="shared" si="66"/>
        <v>35C</v>
      </c>
      <c r="E58" s="10">
        <f>IF(ISBLANK(A56),"",E57+1)</f>
        <v>3</v>
      </c>
      <c r="F58" s="11">
        <f t="shared" si="67"/>
        <v>45477.71736</v>
      </c>
      <c r="G58" s="8">
        <v>1.167</v>
      </c>
    </row>
    <row r="59">
      <c r="A59" s="9" t="str">
        <f t="shared" si="65"/>
        <v>CANCON</v>
      </c>
      <c r="B59" s="9" t="str">
        <f>IF(ISBLANK(A56),"",LEFT(B58,27)&amp;VALUE(RIGHT(B58,1)+1))</f>
        <v>JKS240702CANCON_35C_sample_4</v>
      </c>
      <c r="C59" s="6" t="str">
        <f t="shared" ref="C59:D59" si="68">C58</f>
        <v>Cannomois congesta</v>
      </c>
      <c r="D59" s="6" t="str">
        <f t="shared" si="68"/>
        <v>35C</v>
      </c>
      <c r="E59" s="10">
        <f>IF(ISBLANK(A56),"",E58+1)</f>
        <v>4</v>
      </c>
      <c r="F59" s="11">
        <f t="shared" si="67"/>
        <v>45477.71736</v>
      </c>
      <c r="G59" s="8">
        <v>1.317</v>
      </c>
    </row>
    <row r="60">
      <c r="A60" s="9" t="str">
        <f t="shared" si="65"/>
        <v>CANCON</v>
      </c>
      <c r="B60" s="9" t="str">
        <f>IF(ISBLANK(A56),"",LEFT(B59,27)&amp;VALUE(RIGHT(B59,1)+1))</f>
        <v>JKS240702CANCON_35C_sample_5</v>
      </c>
      <c r="C60" s="6" t="str">
        <f t="shared" ref="C60:D60" si="69">C59</f>
        <v>Cannomois congesta</v>
      </c>
      <c r="D60" s="6" t="str">
        <f t="shared" si="69"/>
        <v>35C</v>
      </c>
      <c r="E60" s="10">
        <f>IF(ISBLANK(A56),"",E59+1)</f>
        <v>5</v>
      </c>
      <c r="F60" s="11">
        <f t="shared" si="67"/>
        <v>45477.71736</v>
      </c>
      <c r="G60" s="8">
        <v>1.788</v>
      </c>
    </row>
    <row r="61">
      <c r="A61" s="12" t="str">
        <f t="shared" si="65"/>
        <v>CANCON</v>
      </c>
      <c r="B61" s="12" t="str">
        <f>IF(ISBLANK(A56),"",LEFT(B60,27)&amp;VALUE(RIGHT(B60,1)+1))</f>
        <v>JKS240702CANCON_35C_sample_6</v>
      </c>
      <c r="C61" s="13" t="str">
        <f t="shared" ref="C61:D61" si="70">C60</f>
        <v>Cannomois congesta</v>
      </c>
      <c r="D61" s="13" t="str">
        <f t="shared" si="70"/>
        <v>35C</v>
      </c>
      <c r="E61" s="14">
        <f>IF(ISBLANK(A56),"",E60+1)</f>
        <v>6</v>
      </c>
      <c r="F61" s="15">
        <f t="shared" si="67"/>
        <v>45477.71736</v>
      </c>
      <c r="G61" s="16">
        <v>2.008</v>
      </c>
    </row>
    <row r="62">
      <c r="A62" s="5" t="s">
        <v>7</v>
      </c>
      <c r="B62" s="6" t="str">
        <f t="array" ref="B62">IF(ISBLANK(A62),"",IF(A62="PROREP (L)",VLOOKUP(LEFT($A62,6),'Data Feed (35C)'!$A$1:$G$10,2,FALSE),IF(A62="PROREP (S)", INDEX('Data Feed (35C)'!B:B, MATCH(LEFT($A62,6), 'Data Feed (35C)'!$A$1:$A$10, 0) + 1), VLOOKUP($A62,'Data Feed (35C)'!$A$1:$G$10,2,FALSE))))</f>
        <v>JKS240702ERIMON_35C_sample_1</v>
      </c>
      <c r="C62" s="6" t="str">
        <f t="array" ref="C62">IF(ISBLANK(A62),"",IF(A62="PROREP (L)",VLOOKUP(LEFT($A62,6),'Data Feed (35C)'!$A$1:$G$10,3,FALSE),IF(A62="PROREP (S)", INDEX('Data Feed (35C)'!C:C, MATCH(LEFT($A62,6), 'Data Feed (35C)'!$A$1:$A$10, 0) + 1, +1), VLOOKUP($A62,'Data Feed (35C)'!$A$1:$G$10,3,FALSE))))</f>
        <v>Erica monsoniana</v>
      </c>
      <c r="D62" s="6" t="str">
        <f t="array" ref="D62">IF(ISBLANK(A62),"",IF(A62="PROREP (L)",VLOOKUP(LEFT($A62,6),'Data Feed (35C)'!$A$1:$G$10,4,FALSE),IF(A62="PROREP (S)", INDEX('Data Feed (35C)'!D:D, MATCH(LEFT($A62,6), 'Data Feed (35C)'!$A$1:$A$10, 0) + 1, +1), VLOOKUP($A62,'Data Feed (35C)'!$A$1:$G$10,4,FALSE))))</f>
        <v>35C</v>
      </c>
      <c r="E62" s="6">
        <f t="array" ref="E62">IF(ISBLANK(A62),"",IF(A62="PROREP (L)",VLOOKUP(LEFT($A62,6),'Data Feed (35C)'!$A$1:$G$10,7,FALSE),IF(A62="PROREP (S)", INDEX('Data Feed (35C)'!G:G, MATCH(LEFT($A62,6), 'Data Feed (35C)'!$A$1:$A$10, 0) + 1, +1), VLOOKUP($A62,'Data Feed (35C)'!$A$1:$G$10,7,FALSE))))</f>
        <v>1</v>
      </c>
      <c r="F62" s="7">
        <v>45477.720138888886</v>
      </c>
      <c r="G62" s="8">
        <v>3.017</v>
      </c>
    </row>
    <row r="63">
      <c r="A63" s="9" t="str">
        <f t="shared" ref="A63:A67" si="72">A62</f>
        <v>ERIMON</v>
      </c>
      <c r="B63" s="9" t="str">
        <f>IF(ISBLANK(A62),"",LEFT(B62,27)&amp;VALUE(RIGHT(B62,1)+1))</f>
        <v>JKS240702ERIMON_35C_sample_2</v>
      </c>
      <c r="C63" s="6" t="str">
        <f t="shared" ref="C63:D63" si="71">C62</f>
        <v>Erica monsoniana</v>
      </c>
      <c r="D63" s="6" t="str">
        <f t="shared" si="71"/>
        <v>35C</v>
      </c>
      <c r="E63" s="10">
        <f>IF(ISBLANK(A62),"",E62+1)</f>
        <v>2</v>
      </c>
      <c r="F63" s="11">
        <f t="shared" ref="F63:F67" si="74">F62</f>
        <v>45477.72014</v>
      </c>
      <c r="G63" s="8">
        <v>1.749</v>
      </c>
    </row>
    <row r="64">
      <c r="A64" s="9" t="str">
        <f t="shared" si="72"/>
        <v>ERIMON</v>
      </c>
      <c r="B64" s="9" t="str">
        <f>IF(ISBLANK(A62),"",LEFT(B63,27)&amp;VALUE(RIGHT(B63,1)+1))</f>
        <v>JKS240702ERIMON_35C_sample_3</v>
      </c>
      <c r="C64" s="6" t="str">
        <f t="shared" ref="C64:D64" si="73">C63</f>
        <v>Erica monsoniana</v>
      </c>
      <c r="D64" s="6" t="str">
        <f t="shared" si="73"/>
        <v>35C</v>
      </c>
      <c r="E64" s="10">
        <f>IF(ISBLANK(A62),"",E63+1)</f>
        <v>3</v>
      </c>
      <c r="F64" s="11">
        <f t="shared" si="74"/>
        <v>45477.72014</v>
      </c>
      <c r="G64" s="8">
        <v>0.59</v>
      </c>
    </row>
    <row r="65">
      <c r="A65" s="9" t="str">
        <f t="shared" si="72"/>
        <v>ERIMON</v>
      </c>
      <c r="B65" s="9" t="str">
        <f>IF(ISBLANK(A62),"",LEFT(B64,27)&amp;VALUE(RIGHT(B64,1)+1))</f>
        <v>JKS240702ERIMON_35C_sample_4</v>
      </c>
      <c r="C65" s="6" t="str">
        <f t="shared" ref="C65:D65" si="75">C64</f>
        <v>Erica monsoniana</v>
      </c>
      <c r="D65" s="6" t="str">
        <f t="shared" si="75"/>
        <v>35C</v>
      </c>
      <c r="E65" s="10">
        <f>IF(ISBLANK(A62),"",E64+1)</f>
        <v>4</v>
      </c>
      <c r="F65" s="11">
        <f t="shared" si="74"/>
        <v>45477.72014</v>
      </c>
      <c r="G65" s="8">
        <v>0.908</v>
      </c>
    </row>
    <row r="66">
      <c r="A66" s="9" t="str">
        <f t="shared" si="72"/>
        <v>ERIMON</v>
      </c>
      <c r="B66" s="9" t="str">
        <f>IF(ISBLANK(A62),"",LEFT(B65,27)&amp;VALUE(RIGHT(B65,1)+1))</f>
        <v>JKS240702ERIMON_35C_sample_5</v>
      </c>
      <c r="C66" s="6" t="str">
        <f t="shared" ref="C66:D66" si="76">C65</f>
        <v>Erica monsoniana</v>
      </c>
      <c r="D66" s="6" t="str">
        <f t="shared" si="76"/>
        <v>35C</v>
      </c>
      <c r="E66" s="10">
        <f>IF(ISBLANK(A62),"",E65+1)</f>
        <v>5</v>
      </c>
      <c r="F66" s="11">
        <f t="shared" si="74"/>
        <v>45477.72014</v>
      </c>
      <c r="G66" s="8">
        <v>2.601</v>
      </c>
    </row>
    <row r="67">
      <c r="A67" s="12" t="str">
        <f t="shared" si="72"/>
        <v>ERIMON</v>
      </c>
      <c r="B67" s="12" t="str">
        <f>IF(ISBLANK(A62),"",LEFT(B66,27)&amp;VALUE(RIGHT(B66,1)+1))</f>
        <v>JKS240702ERIMON_35C_sample_6</v>
      </c>
      <c r="C67" s="13" t="str">
        <f t="shared" ref="C67:D67" si="77">C66</f>
        <v>Erica monsoniana</v>
      </c>
      <c r="D67" s="13" t="str">
        <f t="shared" si="77"/>
        <v>35C</v>
      </c>
      <c r="E67" s="14">
        <f>IF(ISBLANK(A62),"",E66+1)</f>
        <v>6</v>
      </c>
      <c r="F67" s="15">
        <f t="shared" si="74"/>
        <v>45477.72014</v>
      </c>
      <c r="G67" s="16">
        <v>0.781</v>
      </c>
    </row>
    <row r="68">
      <c r="A68" s="5" t="s">
        <v>8</v>
      </c>
      <c r="B68" s="6" t="str">
        <f t="array" ref="B68">IF(ISBLANK(A68),"",IF(A68="PROREP (L)",VLOOKUP(LEFT($A68,6),'Data Feed (35C)'!$A$1:$G$10,2,FALSE),IF(A68="PROREP (S)", INDEX('Data Feed (35C)'!B:B, MATCH(LEFT($A68,6), 'Data Feed (35C)'!$A$1:$A$10, 0) + 1), VLOOKUP($A68,'Data Feed (35C)'!$A$1:$G$10,2,FALSE))))</f>
        <v>JKL240702PROREP_35C_sample_1</v>
      </c>
      <c r="C68" s="6" t="str">
        <f t="array" ref="C68">IF(ISBLANK(A68),"",IF(A68="PROREP (L)",VLOOKUP(LEFT($A68,6),'Data Feed (35C)'!$A$1:$G$10,3,FALSE),IF(A68="PROREP (S)", INDEX('Data Feed (35C)'!C:C, MATCH(LEFT($A68,6), 'Data Feed (35C)'!$A$1:$A$10, 0) + 1, +1), VLOOKUP($A68,'Data Feed (35C)'!$A$1:$G$10,3,FALSE))))</f>
        <v>Protea repens</v>
      </c>
      <c r="D68" s="6" t="str">
        <f t="array" ref="D68">IF(ISBLANK(A68),"",IF(A68="PROREP (L)",VLOOKUP(LEFT($A68,6),'Data Feed (35C)'!$A$1:$G$10,4,FALSE),IF(A68="PROREP (S)", INDEX('Data Feed (35C)'!D:D, MATCH(LEFT($A68,6), 'Data Feed (35C)'!$A$1:$A$10, 0) + 1, +1), VLOOKUP($A68,'Data Feed (35C)'!$A$1:$G$10,4,FALSE))))</f>
        <v>35C</v>
      </c>
      <c r="E68" s="6">
        <f t="array" ref="E68">IF(ISBLANK(A68),"",IF(A68="PROREP (L)",VLOOKUP(LEFT($A68,6),'Data Feed (35C)'!$A$1:$G$10,7,FALSE),IF(A68="PROREP (S)", INDEX('Data Feed (35C)'!G:G, MATCH(LEFT($A68,6), 'Data Feed (35C)'!$A$1:$A$10, 0) + 1, +1), VLOOKUP($A68,'Data Feed (35C)'!$A$1:$G$10,7,FALSE))))</f>
        <v>1</v>
      </c>
      <c r="F68" s="7">
        <v>45477.72222222222</v>
      </c>
      <c r="G68" s="8">
        <v>0.503</v>
      </c>
    </row>
    <row r="69">
      <c r="A69" s="9" t="str">
        <f t="shared" ref="A69:A73" si="79">A68</f>
        <v>PROREP (L)</v>
      </c>
      <c r="B69" s="9" t="str">
        <f>IF(ISBLANK(A68),"",LEFT(B68,27)&amp;VALUE(RIGHT(B68,1)+1))</f>
        <v>JKL240702PROREP_35C_sample_2</v>
      </c>
      <c r="C69" s="6" t="str">
        <f t="shared" ref="C69:D69" si="78">C68</f>
        <v>Protea repens</v>
      </c>
      <c r="D69" s="6" t="str">
        <f t="shared" si="78"/>
        <v>35C</v>
      </c>
      <c r="E69" s="10">
        <f>IF(ISBLANK(A68),"",E68+1)</f>
        <v>2</v>
      </c>
      <c r="F69" s="11">
        <f t="shared" ref="F69:F73" si="81">F68</f>
        <v>45477.72222</v>
      </c>
      <c r="G69" s="8">
        <v>0.563</v>
      </c>
    </row>
    <row r="70">
      <c r="A70" s="9" t="str">
        <f t="shared" si="79"/>
        <v>PROREP (L)</v>
      </c>
      <c r="B70" s="9" t="str">
        <f>IF(ISBLANK(A68),"",LEFT(B69,27)&amp;VALUE(RIGHT(B69,1)+1))</f>
        <v>JKL240702PROREP_35C_sample_3</v>
      </c>
      <c r="C70" s="6" t="str">
        <f t="shared" ref="C70:D70" si="80">C69</f>
        <v>Protea repens</v>
      </c>
      <c r="D70" s="6" t="str">
        <f t="shared" si="80"/>
        <v>35C</v>
      </c>
      <c r="E70" s="10">
        <f>IF(ISBLANK(A68),"",E69+1)</f>
        <v>3</v>
      </c>
      <c r="F70" s="11">
        <f t="shared" si="81"/>
        <v>45477.72222</v>
      </c>
      <c r="G70" s="8">
        <v>0.772</v>
      </c>
    </row>
    <row r="71">
      <c r="A71" s="9" t="str">
        <f t="shared" si="79"/>
        <v>PROREP (L)</v>
      </c>
      <c r="B71" s="9" t="str">
        <f>IF(ISBLANK(A68),"",LEFT(B70,27)&amp;VALUE(RIGHT(B70,1)+1))</f>
        <v>JKL240702PROREP_35C_sample_4</v>
      </c>
      <c r="C71" s="6" t="str">
        <f t="shared" ref="C71:D71" si="82">C70</f>
        <v>Protea repens</v>
      </c>
      <c r="D71" s="6" t="str">
        <f t="shared" si="82"/>
        <v>35C</v>
      </c>
      <c r="E71" s="10">
        <f>IF(ISBLANK(A68),"",E70+1)</f>
        <v>4</v>
      </c>
      <c r="F71" s="11">
        <f t="shared" si="81"/>
        <v>45477.72222</v>
      </c>
      <c r="G71" s="8">
        <v>0.458</v>
      </c>
    </row>
    <row r="72">
      <c r="A72" s="9" t="str">
        <f t="shared" si="79"/>
        <v>PROREP (L)</v>
      </c>
      <c r="B72" s="9" t="str">
        <f>IF(ISBLANK(A68),"",LEFT(B71,27)&amp;VALUE(RIGHT(B71,1)+1))</f>
        <v>JKL240702PROREP_35C_sample_5</v>
      </c>
      <c r="C72" s="6" t="str">
        <f t="shared" ref="C72:D72" si="83">C71</f>
        <v>Protea repens</v>
      </c>
      <c r="D72" s="6" t="str">
        <f t="shared" si="83"/>
        <v>35C</v>
      </c>
      <c r="E72" s="10">
        <f>IF(ISBLANK(A68),"",E71+1)</f>
        <v>5</v>
      </c>
      <c r="F72" s="11">
        <f t="shared" si="81"/>
        <v>45477.72222</v>
      </c>
      <c r="G72" s="8">
        <v>0.406</v>
      </c>
    </row>
    <row r="73">
      <c r="A73" s="12" t="str">
        <f t="shared" si="79"/>
        <v>PROREP (L)</v>
      </c>
      <c r="B73" s="12" t="str">
        <f>IF(ISBLANK(A68),"",LEFT(B72,27)&amp;VALUE(RIGHT(B72,1)+1))</f>
        <v>JKL240702PROREP_35C_sample_6</v>
      </c>
      <c r="C73" s="13" t="str">
        <f t="shared" ref="C73:D73" si="84">C72</f>
        <v>Protea repens</v>
      </c>
      <c r="D73" s="13" t="str">
        <f t="shared" si="84"/>
        <v>35C</v>
      </c>
      <c r="E73" s="14">
        <f>IF(ISBLANK(A68),"",E72+1)</f>
        <v>6</v>
      </c>
      <c r="F73" s="15">
        <f t="shared" si="81"/>
        <v>45477.72222</v>
      </c>
      <c r="G73" s="16">
        <v>0.355</v>
      </c>
    </row>
    <row r="74">
      <c r="A74" s="5" t="s">
        <v>9</v>
      </c>
      <c r="B74" s="6" t="str">
        <f t="array" ref="B74">IF(ISBLANK(A74),"",IF(A74="PROREP (L)",VLOOKUP(LEFT($A74,6),'Data Feed (35C)'!$A$1:$G$10,2,FALSE),IF(A74="PROREP (S)", INDEX('Data Feed (35C)'!B:B, MATCH(LEFT($A74,6), 'Data Feed (35C)'!$A$1:$A$10, 0) + 1), VLOOKUP($A74,'Data Feed (35C)'!$A$1:$G$10,2,FALSE))))</f>
        <v>JKS240702PROREP_35C_sample_1</v>
      </c>
      <c r="C74" s="6" t="str">
        <f t="array" ref="C74">IF(ISBLANK(A74),"",IF(A74="PROREP (L)",VLOOKUP(LEFT($A74,6),'Data Feed (35C)'!$A$1:$G$10,3,FALSE),IF(A74="PROREP (S)", INDEX('Data Feed (35C)'!C:C, MATCH(LEFT($A74,6), 'Data Feed (35C)'!$A$1:$A$10, 0) + 1, +1), VLOOKUP($A74,'Data Feed (35C)'!$A$1:$G$10,3,FALSE))))</f>
        <v>Protea repens</v>
      </c>
      <c r="D74" s="6" t="str">
        <f t="array" ref="D74">IF(ISBLANK(A74),"",IF(A74="PROREP (L)",VLOOKUP(LEFT($A74,6),'Data Feed (35C)'!$A$1:$G$10,4,FALSE),IF(A74="PROREP (S)", INDEX('Data Feed (35C)'!D:D, MATCH(LEFT($A74,6), 'Data Feed (35C)'!$A$1:$A$10, 0) + 1, +1), VLOOKUP($A74,'Data Feed (35C)'!$A$1:$G$10,4,FALSE))))</f>
        <v>35C</v>
      </c>
      <c r="E74" s="6">
        <f t="array" ref="E74">IF(ISBLANK(A74),"",IF(A74="PROREP (L)",VLOOKUP(LEFT($A74,6),'Data Feed (35C)'!$A$1:$G$10,7,FALSE),IF(A74="PROREP (S)", INDEX('Data Feed (35C)'!G:G, MATCH(LEFT($A74,6), 'Data Feed (35C)'!$A$1:$A$10, 0) + 1, +1), VLOOKUP($A74,'Data Feed (35C)'!$A$1:$G$10,7,FALSE))))</f>
        <v>1</v>
      </c>
      <c r="F74" s="7">
        <v>45477.725</v>
      </c>
      <c r="G74" s="8">
        <v>9.779</v>
      </c>
    </row>
    <row r="75">
      <c r="A75" s="9" t="str">
        <f t="shared" ref="A75:A79" si="86">A74</f>
        <v>PROREP (S)</v>
      </c>
      <c r="B75" s="9" t="str">
        <f>IF(ISBLANK(A74),"",LEFT(B74,27)&amp;VALUE(RIGHT(B74,1)+1))</f>
        <v>JKS240702PROREP_35C_sample_2</v>
      </c>
      <c r="C75" s="6" t="str">
        <f t="shared" ref="C75:D75" si="85">C74</f>
        <v>Protea repens</v>
      </c>
      <c r="D75" s="6" t="str">
        <f t="shared" si="85"/>
        <v>35C</v>
      </c>
      <c r="E75" s="10">
        <f>IF(ISBLANK(A74),"",E74+1)</f>
        <v>2</v>
      </c>
      <c r="F75" s="11">
        <f t="shared" ref="F75:F79" si="88">F74</f>
        <v>45477.725</v>
      </c>
      <c r="G75" s="8">
        <v>18.718</v>
      </c>
    </row>
    <row r="76">
      <c r="A76" s="9" t="str">
        <f t="shared" si="86"/>
        <v>PROREP (S)</v>
      </c>
      <c r="B76" s="9" t="str">
        <f>IF(ISBLANK(A74),"",LEFT(B75,27)&amp;VALUE(RIGHT(B75,1)+1))</f>
        <v>JKS240702PROREP_35C_sample_3</v>
      </c>
      <c r="C76" s="6" t="str">
        <f t="shared" ref="C76:D76" si="87">C75</f>
        <v>Protea repens</v>
      </c>
      <c r="D76" s="6" t="str">
        <f t="shared" si="87"/>
        <v>35C</v>
      </c>
      <c r="E76" s="10">
        <f>IF(ISBLANK(A74),"",E75+1)</f>
        <v>3</v>
      </c>
      <c r="F76" s="11">
        <f t="shared" si="88"/>
        <v>45477.725</v>
      </c>
      <c r="G76" s="8">
        <v>18.265</v>
      </c>
    </row>
    <row r="77">
      <c r="A77" s="9" t="str">
        <f t="shared" si="86"/>
        <v>PROREP (S)</v>
      </c>
      <c r="B77" s="9" t="str">
        <f>IF(ISBLANK(A74),"",LEFT(B76,27)&amp;VALUE(RIGHT(B76,1)+1))</f>
        <v>JKS240702PROREP_35C_sample_4</v>
      </c>
      <c r="C77" s="6" t="str">
        <f t="shared" ref="C77:D77" si="89">C76</f>
        <v>Protea repens</v>
      </c>
      <c r="D77" s="6" t="str">
        <f t="shared" si="89"/>
        <v>35C</v>
      </c>
      <c r="E77" s="10">
        <f>IF(ISBLANK(A74),"",E76+1)</f>
        <v>4</v>
      </c>
      <c r="F77" s="11">
        <f t="shared" si="88"/>
        <v>45477.725</v>
      </c>
      <c r="G77" s="8">
        <v>3.888</v>
      </c>
    </row>
    <row r="78">
      <c r="A78" s="9" t="str">
        <f t="shared" si="86"/>
        <v>PROREP (S)</v>
      </c>
      <c r="B78" s="9" t="str">
        <f>IF(ISBLANK(A74),"",LEFT(B77,27)&amp;VALUE(RIGHT(B77,1)+1))</f>
        <v>JKS240702PROREP_35C_sample_5</v>
      </c>
      <c r="C78" s="6" t="str">
        <f t="shared" ref="C78:D78" si="90">C77</f>
        <v>Protea repens</v>
      </c>
      <c r="D78" s="6" t="str">
        <f t="shared" si="90"/>
        <v>35C</v>
      </c>
      <c r="E78" s="10">
        <f>IF(ISBLANK(A74),"",E77+1)</f>
        <v>5</v>
      </c>
      <c r="F78" s="11">
        <f t="shared" si="88"/>
        <v>45477.725</v>
      </c>
      <c r="G78" s="8">
        <v>5.272</v>
      </c>
    </row>
    <row r="79">
      <c r="A79" s="12" t="str">
        <f t="shared" si="86"/>
        <v>PROREP (S)</v>
      </c>
      <c r="B79" s="12" t="str">
        <f>IF(ISBLANK(A74),"",LEFT(B78,27)&amp;VALUE(RIGHT(B78,1)+1))</f>
        <v>JKS240702PROREP_35C_sample_6</v>
      </c>
      <c r="C79" s="13" t="str">
        <f t="shared" ref="C79:D79" si="91">C78</f>
        <v>Protea repens</v>
      </c>
      <c r="D79" s="13" t="str">
        <f t="shared" si="91"/>
        <v>35C</v>
      </c>
      <c r="E79" s="14">
        <f>IF(ISBLANK(A74),"",E78+1)</f>
        <v>6</v>
      </c>
      <c r="F79" s="15">
        <f t="shared" si="88"/>
        <v>45477.725</v>
      </c>
      <c r="G79" s="16">
        <v>7.493</v>
      </c>
    </row>
    <row r="80">
      <c r="A80" s="5" t="s">
        <v>7</v>
      </c>
      <c r="B80" s="6" t="str">
        <f t="array" ref="B80">IF(ISBLANK(A80),"",IF(A80="PROREP (L)",VLOOKUP(LEFT($A80,6),'Data Feed (35C)'!$A$1:$G$10,2,FALSE),IF(A80="PROREP (S)", INDEX('Data Feed (35C)'!B:B, MATCH(LEFT($A80,6), 'Data Feed (35C)'!$A$1:$A$10, 0) + 1), VLOOKUP($A80,'Data Feed (35C)'!$A$1:$G$10,2,FALSE))))</f>
        <v>JKS240702ERIMON_35C_sample_1</v>
      </c>
      <c r="C80" s="6" t="str">
        <f t="array" ref="C80">IF(ISBLANK(A80),"",IF(A80="PROREP (L)",VLOOKUP(LEFT($A80,6),'Data Feed (35C)'!$A$1:$G$10,3,FALSE),IF(A80="PROREP (S)", INDEX('Data Feed (35C)'!C:C, MATCH(LEFT($A80,6), 'Data Feed (35C)'!$A$1:$A$10, 0) + 1, +1), VLOOKUP($A80,'Data Feed (35C)'!$A$1:$G$10,3,FALSE))))</f>
        <v>Erica monsoniana</v>
      </c>
      <c r="D80" s="6" t="str">
        <f t="array" ref="D80">IF(ISBLANK(A80),"",IF(A80="PROREP (L)",VLOOKUP(LEFT($A80,6),'Data Feed (35C)'!$A$1:$G$10,4,FALSE),IF(A80="PROREP (S)", INDEX('Data Feed (35C)'!D:D, MATCH(LEFT($A80,6), 'Data Feed (35C)'!$A$1:$A$10, 0) + 1, +1), VLOOKUP($A80,'Data Feed (35C)'!$A$1:$G$10,4,FALSE))))</f>
        <v>35C</v>
      </c>
      <c r="E80" s="6">
        <f t="array" ref="E80">IF(ISBLANK(A80),"",IF(A80="PROREP (L)",VLOOKUP(LEFT($A80,6),'Data Feed (35C)'!$A$1:$G$10,7,FALSE),IF(A80="PROREP (S)", INDEX('Data Feed (35C)'!G:G, MATCH(LEFT($A80,6), 'Data Feed (35C)'!$A$1:$A$10, 0) + 1, +1), VLOOKUP($A80,'Data Feed (35C)'!$A$1:$G$10,7,FALSE))))</f>
        <v>1</v>
      </c>
      <c r="F80" s="7">
        <v>45477.75208333333</v>
      </c>
      <c r="G80" s="8">
        <v>2.886</v>
      </c>
    </row>
    <row r="81">
      <c r="A81" s="9" t="str">
        <f t="shared" ref="A81:A85" si="93">A80</f>
        <v>ERIMON</v>
      </c>
      <c r="B81" s="9" t="str">
        <f>IF(ISBLANK(A80),"",LEFT(B80,27)&amp;VALUE(RIGHT(B80,1)+1))</f>
        <v>JKS240702ERIMON_35C_sample_2</v>
      </c>
      <c r="C81" s="6" t="str">
        <f t="shared" ref="C81:D81" si="92">C80</f>
        <v>Erica monsoniana</v>
      </c>
      <c r="D81" s="6" t="str">
        <f t="shared" si="92"/>
        <v>35C</v>
      </c>
      <c r="E81" s="10">
        <f>IF(ISBLANK(A80),"",E80+1)</f>
        <v>2</v>
      </c>
      <c r="F81" s="11">
        <f t="shared" ref="F81:F85" si="95">F80</f>
        <v>45477.75208</v>
      </c>
      <c r="G81" s="8">
        <v>1.694</v>
      </c>
    </row>
    <row r="82">
      <c r="A82" s="9" t="str">
        <f t="shared" si="93"/>
        <v>ERIMON</v>
      </c>
      <c r="B82" s="9" t="str">
        <f>IF(ISBLANK(A80),"",LEFT(B81,27)&amp;VALUE(RIGHT(B81,1)+1))</f>
        <v>JKS240702ERIMON_35C_sample_3</v>
      </c>
      <c r="C82" s="6" t="str">
        <f t="shared" ref="C82:D82" si="94">C81</f>
        <v>Erica monsoniana</v>
      </c>
      <c r="D82" s="6" t="str">
        <f t="shared" si="94"/>
        <v>35C</v>
      </c>
      <c r="E82" s="10">
        <f>IF(ISBLANK(A80),"",E81+1)</f>
        <v>3</v>
      </c>
      <c r="F82" s="11">
        <f t="shared" si="95"/>
        <v>45477.75208</v>
      </c>
      <c r="G82" s="8">
        <v>0.559</v>
      </c>
    </row>
    <row r="83">
      <c r="A83" s="9" t="str">
        <f t="shared" si="93"/>
        <v>ERIMON</v>
      </c>
      <c r="B83" s="9" t="str">
        <f>IF(ISBLANK(A80),"",LEFT(B82,27)&amp;VALUE(RIGHT(B82,1)+1))</f>
        <v>JKS240702ERIMON_35C_sample_4</v>
      </c>
      <c r="C83" s="6" t="str">
        <f t="shared" ref="C83:D83" si="96">C82</f>
        <v>Erica monsoniana</v>
      </c>
      <c r="D83" s="6" t="str">
        <f t="shared" si="96"/>
        <v>35C</v>
      </c>
      <c r="E83" s="10">
        <f>IF(ISBLANK(A80),"",E82+1)</f>
        <v>4</v>
      </c>
      <c r="F83" s="11">
        <f t="shared" si="95"/>
        <v>45477.75208</v>
      </c>
      <c r="G83" s="8">
        <v>0.862</v>
      </c>
    </row>
    <row r="84">
      <c r="A84" s="9" t="str">
        <f t="shared" si="93"/>
        <v>ERIMON</v>
      </c>
      <c r="B84" s="9" t="str">
        <f>IF(ISBLANK(A80),"",LEFT(B83,27)&amp;VALUE(RIGHT(B83,1)+1))</f>
        <v>JKS240702ERIMON_35C_sample_5</v>
      </c>
      <c r="C84" s="6" t="str">
        <f t="shared" ref="C84:D84" si="97">C83</f>
        <v>Erica monsoniana</v>
      </c>
      <c r="D84" s="6" t="str">
        <f t="shared" si="97"/>
        <v>35C</v>
      </c>
      <c r="E84" s="10">
        <f>IF(ISBLANK(A80),"",E83+1)</f>
        <v>5</v>
      </c>
      <c r="F84" s="11">
        <f t="shared" si="95"/>
        <v>45477.75208</v>
      </c>
      <c r="G84" s="8">
        <v>2.491</v>
      </c>
    </row>
    <row r="85">
      <c r="A85" s="12" t="str">
        <f t="shared" si="93"/>
        <v>ERIMON</v>
      </c>
      <c r="B85" s="12" t="str">
        <f>IF(ISBLANK(A80),"",LEFT(B84,27)&amp;VALUE(RIGHT(B84,1)+1))</f>
        <v>JKS240702ERIMON_35C_sample_6</v>
      </c>
      <c r="C85" s="13" t="str">
        <f t="shared" ref="C85:D85" si="98">C84</f>
        <v>Erica monsoniana</v>
      </c>
      <c r="D85" s="13" t="str">
        <f t="shared" si="98"/>
        <v>35C</v>
      </c>
      <c r="E85" s="14">
        <f>IF(ISBLANK(A80),"",E84+1)</f>
        <v>6</v>
      </c>
      <c r="F85" s="15">
        <f t="shared" si="95"/>
        <v>45477.75208</v>
      </c>
      <c r="G85" s="16">
        <v>0.762</v>
      </c>
    </row>
    <row r="86">
      <c r="A86" s="5" t="s">
        <v>8</v>
      </c>
      <c r="B86" s="6" t="str">
        <f t="array" ref="B86">IF(ISBLANK(A86),"",IF(A86="PROREP (L)",VLOOKUP(LEFT($A86,6),'Data Feed (35C)'!$A$1:$G$10,2,FALSE),IF(A86="PROREP (S)", INDEX('Data Feed (35C)'!B:B, MATCH(LEFT($A86,6), 'Data Feed (35C)'!$A$1:$A$10, 0) + 1), VLOOKUP($A86,'Data Feed (35C)'!$A$1:$G$10,2,FALSE))))</f>
        <v>JKL240702PROREP_35C_sample_1</v>
      </c>
      <c r="C86" s="6" t="str">
        <f t="array" ref="C86">IF(ISBLANK(A86),"",IF(A86="PROREP (L)",VLOOKUP(LEFT($A86,6),'Data Feed (35C)'!$A$1:$G$10,3,FALSE),IF(A86="PROREP (S)", INDEX('Data Feed (35C)'!C:C, MATCH(LEFT($A86,6), 'Data Feed (35C)'!$A$1:$A$10, 0) + 1, +1), VLOOKUP($A86,'Data Feed (35C)'!$A$1:$G$10,3,FALSE))))</f>
        <v>Protea repens</v>
      </c>
      <c r="D86" s="6" t="str">
        <f t="array" ref="D86">IF(ISBLANK(A86),"",IF(A86="PROREP (L)",VLOOKUP(LEFT($A86,6),'Data Feed (35C)'!$A$1:$G$10,4,FALSE),IF(A86="PROREP (S)", INDEX('Data Feed (35C)'!D:D, MATCH(LEFT($A86,6), 'Data Feed (35C)'!$A$1:$A$10, 0) + 1, +1), VLOOKUP($A86,'Data Feed (35C)'!$A$1:$G$10,4,FALSE))))</f>
        <v>35C</v>
      </c>
      <c r="E86" s="6">
        <f t="array" ref="E86">IF(ISBLANK(A86),"",IF(A86="PROREP (L)",VLOOKUP(LEFT($A86,6),'Data Feed (35C)'!$A$1:$G$10,7,FALSE),IF(A86="PROREP (S)", INDEX('Data Feed (35C)'!G:G, MATCH(LEFT($A86,6), 'Data Feed (35C)'!$A$1:$A$10, 0) + 1, +1), VLOOKUP($A86,'Data Feed (35C)'!$A$1:$G$10,7,FALSE))))</f>
        <v>1</v>
      </c>
      <c r="F86" s="7">
        <v>45477.754166666666</v>
      </c>
      <c r="G86" s="8">
        <v>0.495</v>
      </c>
    </row>
    <row r="87">
      <c r="A87" s="9" t="str">
        <f t="shared" ref="A87:A91" si="100">A86</f>
        <v>PROREP (L)</v>
      </c>
      <c r="B87" s="9" t="str">
        <f>IF(ISBLANK(A86),"",LEFT(B86,27)&amp;VALUE(RIGHT(B86,1)+1))</f>
        <v>JKL240702PROREP_35C_sample_2</v>
      </c>
      <c r="C87" s="6" t="str">
        <f t="shared" ref="C87:D87" si="99">C86</f>
        <v>Protea repens</v>
      </c>
      <c r="D87" s="6" t="str">
        <f t="shared" si="99"/>
        <v>35C</v>
      </c>
      <c r="E87" s="10">
        <f>IF(ISBLANK(A86),"",E86+1)</f>
        <v>2</v>
      </c>
      <c r="F87" s="11">
        <f t="shared" ref="F87:F91" si="102">F86</f>
        <v>45477.75417</v>
      </c>
      <c r="G87" s="8">
        <v>0.553</v>
      </c>
    </row>
    <row r="88">
      <c r="A88" s="9" t="str">
        <f t="shared" si="100"/>
        <v>PROREP (L)</v>
      </c>
      <c r="B88" s="9" t="str">
        <f>IF(ISBLANK(A86),"",LEFT(B87,27)&amp;VALUE(RIGHT(B87,1)+1))</f>
        <v>JKL240702PROREP_35C_sample_3</v>
      </c>
      <c r="C88" s="6" t="str">
        <f t="shared" ref="C88:D88" si="101">C87</f>
        <v>Protea repens</v>
      </c>
      <c r="D88" s="6" t="str">
        <f t="shared" si="101"/>
        <v>35C</v>
      </c>
      <c r="E88" s="10">
        <f>IF(ISBLANK(A86),"",E87+1)</f>
        <v>3</v>
      </c>
      <c r="F88" s="11">
        <f t="shared" si="102"/>
        <v>45477.75417</v>
      </c>
      <c r="G88" s="8">
        <v>0.754</v>
      </c>
    </row>
    <row r="89">
      <c r="A89" s="9" t="str">
        <f t="shared" si="100"/>
        <v>PROREP (L)</v>
      </c>
      <c r="B89" s="9" t="str">
        <f>IF(ISBLANK(A86),"",LEFT(B88,27)&amp;VALUE(RIGHT(B88,1)+1))</f>
        <v>JKL240702PROREP_35C_sample_4</v>
      </c>
      <c r="C89" s="6" t="str">
        <f t="shared" ref="C89:D89" si="103">C88</f>
        <v>Protea repens</v>
      </c>
      <c r="D89" s="6" t="str">
        <f t="shared" si="103"/>
        <v>35C</v>
      </c>
      <c r="E89" s="10">
        <f>IF(ISBLANK(A86),"",E88+1)</f>
        <v>4</v>
      </c>
      <c r="F89" s="11">
        <f t="shared" si="102"/>
        <v>45477.75417</v>
      </c>
      <c r="G89" s="8">
        <v>0.453</v>
      </c>
    </row>
    <row r="90">
      <c r="A90" s="9" t="str">
        <f t="shared" si="100"/>
        <v>PROREP (L)</v>
      </c>
      <c r="B90" s="9" t="str">
        <f>IF(ISBLANK(A86),"",LEFT(B89,27)&amp;VALUE(RIGHT(B89,1)+1))</f>
        <v>JKL240702PROREP_35C_sample_5</v>
      </c>
      <c r="C90" s="6" t="str">
        <f t="shared" ref="C90:D90" si="104">C89</f>
        <v>Protea repens</v>
      </c>
      <c r="D90" s="6" t="str">
        <f t="shared" si="104"/>
        <v>35C</v>
      </c>
      <c r="E90" s="10">
        <f>IF(ISBLANK(A86),"",E89+1)</f>
        <v>5</v>
      </c>
      <c r="F90" s="11">
        <f t="shared" si="102"/>
        <v>45477.75417</v>
      </c>
      <c r="G90" s="8">
        <v>0.404</v>
      </c>
    </row>
    <row r="91">
      <c r="A91" s="12" t="str">
        <f t="shared" si="100"/>
        <v>PROREP (L)</v>
      </c>
      <c r="B91" s="12" t="str">
        <f>IF(ISBLANK(A86),"",LEFT(B90,27)&amp;VALUE(RIGHT(B90,1)+1))</f>
        <v>JKL240702PROREP_35C_sample_6</v>
      </c>
      <c r="C91" s="13" t="str">
        <f t="shared" ref="C91:D91" si="105">C90</f>
        <v>Protea repens</v>
      </c>
      <c r="D91" s="13" t="str">
        <f t="shared" si="105"/>
        <v>35C</v>
      </c>
      <c r="E91" s="14">
        <f>IF(ISBLANK(A86),"",E90+1)</f>
        <v>6</v>
      </c>
      <c r="F91" s="15">
        <f t="shared" si="102"/>
        <v>45477.75417</v>
      </c>
      <c r="G91" s="16">
        <v>0.37</v>
      </c>
    </row>
    <row r="92">
      <c r="A92" s="5" t="s">
        <v>9</v>
      </c>
      <c r="B92" s="6" t="str">
        <f t="array" ref="B92">IF(ISBLANK(A92),"",IF(A92="PROREP (L)",VLOOKUP(LEFT($A92,6),'Data Feed (35C)'!$A$1:$G$10,2,FALSE),IF(A92="PROREP (S)", INDEX('Data Feed (35C)'!B:B, MATCH(LEFT($A92,6), 'Data Feed (35C)'!$A$1:$A$10, 0) + 1), VLOOKUP($A92,'Data Feed (35C)'!$A$1:$G$10,2,FALSE))))</f>
        <v>JKS240702PROREP_35C_sample_1</v>
      </c>
      <c r="C92" s="6" t="str">
        <f t="array" ref="C92">IF(ISBLANK(A92),"",IF(A92="PROREP (L)",VLOOKUP(LEFT($A92,6),'Data Feed (35C)'!$A$1:$G$10,3,FALSE),IF(A92="PROREP (S)", INDEX('Data Feed (35C)'!C:C, MATCH(LEFT($A92,6), 'Data Feed (35C)'!$A$1:$A$10, 0) + 1, +1), VLOOKUP($A92,'Data Feed (35C)'!$A$1:$G$10,3,FALSE))))</f>
        <v>Protea repens</v>
      </c>
      <c r="D92" s="6" t="str">
        <f t="array" ref="D92">IF(ISBLANK(A92),"",IF(A92="PROREP (L)",VLOOKUP(LEFT($A92,6),'Data Feed (35C)'!$A$1:$G$10,4,FALSE),IF(A92="PROREP (S)", INDEX('Data Feed (35C)'!D:D, MATCH(LEFT($A92,6), 'Data Feed (35C)'!$A$1:$A$10, 0) + 1, +1), VLOOKUP($A92,'Data Feed (35C)'!$A$1:$G$10,4,FALSE))))</f>
        <v>35C</v>
      </c>
      <c r="E92" s="6">
        <f t="array" ref="E92">IF(ISBLANK(A92),"",IF(A92="PROREP (L)",VLOOKUP(LEFT($A92,6),'Data Feed (35C)'!$A$1:$G$10,7,FALSE),IF(A92="PROREP (S)", INDEX('Data Feed (35C)'!G:G, MATCH(LEFT($A92,6), 'Data Feed (35C)'!$A$1:$A$10, 0) + 1, +1), VLOOKUP($A92,'Data Feed (35C)'!$A$1:$G$10,7,FALSE))))</f>
        <v>1</v>
      </c>
      <c r="F92" s="7">
        <v>45477.75555555556</v>
      </c>
      <c r="G92" s="8">
        <v>9.712</v>
      </c>
    </row>
    <row r="93">
      <c r="A93" s="9" t="str">
        <f t="shared" ref="A93:A97" si="107">A92</f>
        <v>PROREP (S)</v>
      </c>
      <c r="B93" s="9" t="str">
        <f>IF(ISBLANK(A92),"",LEFT(B92,27)&amp;VALUE(RIGHT(B92,1)+1))</f>
        <v>JKS240702PROREP_35C_sample_2</v>
      </c>
      <c r="C93" s="6" t="str">
        <f t="shared" ref="C93:D93" si="106">C92</f>
        <v>Protea repens</v>
      </c>
      <c r="D93" s="6" t="str">
        <f t="shared" si="106"/>
        <v>35C</v>
      </c>
      <c r="E93" s="10">
        <f>IF(ISBLANK(A92),"",E92+1)</f>
        <v>2</v>
      </c>
      <c r="F93" s="11">
        <f t="shared" ref="F93:F97" si="109">F92</f>
        <v>45477.75556</v>
      </c>
      <c r="G93" s="8">
        <v>18.538</v>
      </c>
    </row>
    <row r="94">
      <c r="A94" s="9" t="str">
        <f t="shared" si="107"/>
        <v>PROREP (S)</v>
      </c>
      <c r="B94" s="9" t="str">
        <f>IF(ISBLANK(A92),"",LEFT(B93,27)&amp;VALUE(RIGHT(B93,1)+1))</f>
        <v>JKS240702PROREP_35C_sample_3</v>
      </c>
      <c r="C94" s="6" t="str">
        <f t="shared" ref="C94:D94" si="108">C93</f>
        <v>Protea repens</v>
      </c>
      <c r="D94" s="6" t="str">
        <f t="shared" si="108"/>
        <v>35C</v>
      </c>
      <c r="E94" s="10">
        <f>IF(ISBLANK(A92),"",E93+1)</f>
        <v>3</v>
      </c>
      <c r="F94" s="11">
        <f t="shared" si="109"/>
        <v>45477.75556</v>
      </c>
      <c r="G94" s="8">
        <v>17.494</v>
      </c>
    </row>
    <row r="95">
      <c r="A95" s="9" t="str">
        <f t="shared" si="107"/>
        <v>PROREP (S)</v>
      </c>
      <c r="B95" s="9" t="str">
        <f>IF(ISBLANK(A92),"",LEFT(B94,27)&amp;VALUE(RIGHT(B94,1)+1))</f>
        <v>JKS240702PROREP_35C_sample_4</v>
      </c>
      <c r="C95" s="6" t="str">
        <f t="shared" ref="C95:D95" si="110">C94</f>
        <v>Protea repens</v>
      </c>
      <c r="D95" s="6" t="str">
        <f t="shared" si="110"/>
        <v>35C</v>
      </c>
      <c r="E95" s="10">
        <f>IF(ISBLANK(A92),"",E94+1)</f>
        <v>4</v>
      </c>
      <c r="F95" s="11">
        <f t="shared" si="109"/>
        <v>45477.75556</v>
      </c>
      <c r="G95" s="8">
        <v>3.856</v>
      </c>
    </row>
    <row r="96">
      <c r="A96" s="9" t="str">
        <f t="shared" si="107"/>
        <v>PROREP (S)</v>
      </c>
      <c r="B96" s="9" t="str">
        <f>IF(ISBLANK(A92),"",LEFT(B95,27)&amp;VALUE(RIGHT(B95,1)+1))</f>
        <v>JKS240702PROREP_35C_sample_5</v>
      </c>
      <c r="C96" s="6" t="str">
        <f t="shared" ref="C96:D96" si="111">C95</f>
        <v>Protea repens</v>
      </c>
      <c r="D96" s="6" t="str">
        <f t="shared" si="111"/>
        <v>35C</v>
      </c>
      <c r="E96" s="10">
        <f>IF(ISBLANK(A92),"",E95+1)</f>
        <v>5</v>
      </c>
      <c r="F96" s="11">
        <f t="shared" si="109"/>
        <v>45477.75556</v>
      </c>
      <c r="G96" s="8">
        <v>5.184</v>
      </c>
    </row>
    <row r="97">
      <c r="A97" s="12" t="str">
        <f t="shared" si="107"/>
        <v>PROREP (S)</v>
      </c>
      <c r="B97" s="12" t="str">
        <f>IF(ISBLANK(A92),"",LEFT(B96,27)&amp;VALUE(RIGHT(B96,1)+1))</f>
        <v>JKS240702PROREP_35C_sample_6</v>
      </c>
      <c r="C97" s="13" t="str">
        <f t="shared" ref="C97:D97" si="112">C96</f>
        <v>Protea repens</v>
      </c>
      <c r="D97" s="13" t="str">
        <f t="shared" si="112"/>
        <v>35C</v>
      </c>
      <c r="E97" s="14">
        <f>IF(ISBLANK(A92),"",E96+1)</f>
        <v>6</v>
      </c>
      <c r="F97" s="15">
        <f t="shared" si="109"/>
        <v>45477.75556</v>
      </c>
      <c r="G97" s="16">
        <v>7.415</v>
      </c>
    </row>
    <row r="98">
      <c r="A98" s="5" t="s">
        <v>10</v>
      </c>
      <c r="B98" s="6" t="str">
        <f t="array" ref="B98">IF(ISBLANK(A98),"",IF(A98="PROREP (L)",VLOOKUP(LEFT($A98,6),'Data Feed (35C)'!$A$1:$G$10,2,FALSE),IF(A98="PROREP (S)", INDEX('Data Feed (35C)'!B:B, MATCH(LEFT($A98,6), 'Data Feed (35C)'!$A$1:$A$10, 0) + 1), VLOOKUP($A98,'Data Feed (35C)'!$A$1:$G$10,2,FALSE))))</f>
        <v>JKS240702CANCON_35C_sample_1</v>
      </c>
      <c r="C98" s="6" t="str">
        <f t="array" ref="C98">IF(ISBLANK(A98),"",IF(A98="PROREP (L)",VLOOKUP(LEFT($A98,6),'Data Feed (35C)'!$A$1:$G$10,3,FALSE),IF(A98="PROREP (S)", INDEX('Data Feed (35C)'!C:C, MATCH(LEFT($A98,6), 'Data Feed (35C)'!$A$1:$A$10, 0) + 1, +1), VLOOKUP($A98,'Data Feed (35C)'!$A$1:$G$10,3,FALSE))))</f>
        <v>Cannomois congesta</v>
      </c>
      <c r="D98" s="6" t="str">
        <f t="array" ref="D98">IF(ISBLANK(A98),"",IF(A98="PROREP (L)",VLOOKUP(LEFT($A98,6),'Data Feed (35C)'!$A$1:$G$10,4,FALSE),IF(A98="PROREP (S)", INDEX('Data Feed (35C)'!D:D, MATCH(LEFT($A98,6), 'Data Feed (35C)'!$A$1:$A$10, 0) + 1, +1), VLOOKUP($A98,'Data Feed (35C)'!$A$1:$G$10,4,FALSE))))</f>
        <v>35C</v>
      </c>
      <c r="E98" s="6">
        <f t="array" ref="E98">IF(ISBLANK(A98),"",IF(A98="PROREP (L)",VLOOKUP(LEFT($A98,6),'Data Feed (35C)'!$A$1:$G$10,7,FALSE),IF(A98="PROREP (S)", INDEX('Data Feed (35C)'!G:G, MATCH(LEFT($A98,6), 'Data Feed (35C)'!$A$1:$A$10, 0) + 1, +1), VLOOKUP($A98,'Data Feed (35C)'!$A$1:$G$10,7,FALSE))))</f>
        <v>1</v>
      </c>
      <c r="F98" s="7">
        <v>45477.75833333333</v>
      </c>
      <c r="G98" s="8">
        <v>0.616</v>
      </c>
    </row>
    <row r="99">
      <c r="A99" s="9" t="str">
        <f t="shared" ref="A99:A103" si="114">A98</f>
        <v>CANCON</v>
      </c>
      <c r="B99" s="9" t="str">
        <f>IF(ISBLANK(A98),"",LEFT(B98,27)&amp;VALUE(RIGHT(B98,1)+1))</f>
        <v>JKS240702CANCON_35C_sample_2</v>
      </c>
      <c r="C99" s="6" t="str">
        <f t="shared" ref="C99:D99" si="113">C98</f>
        <v>Cannomois congesta</v>
      </c>
      <c r="D99" s="6" t="str">
        <f t="shared" si="113"/>
        <v>35C</v>
      </c>
      <c r="E99" s="10">
        <f>IF(ISBLANK(A98),"",E98+1)</f>
        <v>2</v>
      </c>
      <c r="F99" s="11">
        <f t="shared" ref="F99:F103" si="116">F98</f>
        <v>45477.75833</v>
      </c>
      <c r="G99" s="8">
        <v>2.54</v>
      </c>
    </row>
    <row r="100">
      <c r="A100" s="9" t="str">
        <f t="shared" si="114"/>
        <v>CANCON</v>
      </c>
      <c r="B100" s="9" t="str">
        <f>IF(ISBLANK(A98),"",LEFT(B99,27)&amp;VALUE(RIGHT(B99,1)+1))</f>
        <v>JKS240702CANCON_35C_sample_3</v>
      </c>
      <c r="C100" s="6" t="str">
        <f t="shared" ref="C100:D100" si="115">C99</f>
        <v>Cannomois congesta</v>
      </c>
      <c r="D100" s="6" t="str">
        <f t="shared" si="115"/>
        <v>35C</v>
      </c>
      <c r="E100" s="10">
        <f>IF(ISBLANK(A98),"",E99+1)</f>
        <v>3</v>
      </c>
      <c r="F100" s="11">
        <f t="shared" si="116"/>
        <v>45477.75833</v>
      </c>
      <c r="G100" s="8">
        <v>1.144</v>
      </c>
    </row>
    <row r="101">
      <c r="A101" s="9" t="str">
        <f t="shared" si="114"/>
        <v>CANCON</v>
      </c>
      <c r="B101" s="9" t="str">
        <f>IF(ISBLANK(A98),"",LEFT(B100,27)&amp;VALUE(RIGHT(B100,1)+1))</f>
        <v>JKS240702CANCON_35C_sample_4</v>
      </c>
      <c r="C101" s="6" t="str">
        <f t="shared" ref="C101:D101" si="117">C100</f>
        <v>Cannomois congesta</v>
      </c>
      <c r="D101" s="6" t="str">
        <f t="shared" si="117"/>
        <v>35C</v>
      </c>
      <c r="E101" s="10">
        <f>IF(ISBLANK(A98),"",E100+1)</f>
        <v>4</v>
      </c>
      <c r="F101" s="11">
        <f t="shared" si="116"/>
        <v>45477.75833</v>
      </c>
      <c r="G101" s="8">
        <v>1.287</v>
      </c>
    </row>
    <row r="102">
      <c r="A102" s="9" t="str">
        <f t="shared" si="114"/>
        <v>CANCON</v>
      </c>
      <c r="B102" s="9" t="str">
        <f>IF(ISBLANK(A98),"",LEFT(B101,27)&amp;VALUE(RIGHT(B101,1)+1))</f>
        <v>JKS240702CANCON_35C_sample_5</v>
      </c>
      <c r="C102" s="6" t="str">
        <f t="shared" ref="C102:D102" si="118">C101</f>
        <v>Cannomois congesta</v>
      </c>
      <c r="D102" s="6" t="str">
        <f t="shared" si="118"/>
        <v>35C</v>
      </c>
      <c r="E102" s="10">
        <f>IF(ISBLANK(A98),"",E101+1)</f>
        <v>5</v>
      </c>
      <c r="F102" s="11">
        <f t="shared" si="116"/>
        <v>45477.75833</v>
      </c>
      <c r="G102" s="8">
        <v>1.735</v>
      </c>
    </row>
    <row r="103">
      <c r="A103" s="12" t="str">
        <f t="shared" si="114"/>
        <v>CANCON</v>
      </c>
      <c r="B103" s="12" t="str">
        <f>IF(ISBLANK(A98),"",LEFT(B102,27)&amp;VALUE(RIGHT(B102,1)+1))</f>
        <v>JKS240702CANCON_35C_sample_6</v>
      </c>
      <c r="C103" s="13" t="str">
        <f t="shared" ref="C103:D103" si="119">C102</f>
        <v>Cannomois congesta</v>
      </c>
      <c r="D103" s="13" t="str">
        <f t="shared" si="119"/>
        <v>35C</v>
      </c>
      <c r="E103" s="14">
        <f>IF(ISBLANK(A98),"",E102+1)</f>
        <v>6</v>
      </c>
      <c r="F103" s="15">
        <f t="shared" si="116"/>
        <v>45477.75833</v>
      </c>
      <c r="G103" s="16">
        <v>1.935</v>
      </c>
    </row>
    <row r="104">
      <c r="A104" s="5" t="s">
        <v>7</v>
      </c>
      <c r="B104" s="6" t="str">
        <f t="array" ref="B104">IF(ISBLANK(A104),"",IF(A104="PROREP (L)",VLOOKUP(LEFT($A104,6),'Data Feed (35C)'!$A$1:$G$10,2,FALSE),IF(A104="PROREP (S)", INDEX('Data Feed (35C)'!B:B, MATCH(LEFT($A104,6), 'Data Feed (35C)'!$A$1:$A$10, 0) + 1), VLOOKUP($A104,'Data Feed (35C)'!$A$1:$G$10,2,FALSE))))</f>
        <v>JKS240702ERIMON_35C_sample_1</v>
      </c>
      <c r="C104" s="6" t="str">
        <f t="array" ref="C104">IF(ISBLANK(A104),"",IF(A104="PROREP (L)",VLOOKUP(LEFT($A104,6),'Data Feed (35C)'!$A$1:$G$10,3,FALSE),IF(A104="PROREP (S)", INDEX('Data Feed (35C)'!C:C, MATCH(LEFT($A104,6), 'Data Feed (35C)'!$A$1:$A$10, 0) + 1, +1), VLOOKUP($A104,'Data Feed (35C)'!$A$1:$G$10,3,FALSE))))</f>
        <v>Erica monsoniana</v>
      </c>
      <c r="D104" s="6" t="str">
        <f t="array" ref="D104">IF(ISBLANK(A104),"",IF(A104="PROREP (L)",VLOOKUP(LEFT($A104,6),'Data Feed (35C)'!$A$1:$G$10,4,FALSE),IF(A104="PROREP (S)", INDEX('Data Feed (35C)'!D:D, MATCH(LEFT($A104,6), 'Data Feed (35C)'!$A$1:$A$10, 0) + 1, +1), VLOOKUP($A104,'Data Feed (35C)'!$A$1:$G$10,4,FALSE))))</f>
        <v>35C</v>
      </c>
      <c r="E104" s="6">
        <f t="array" ref="E104">IF(ISBLANK(A104),"",IF(A104="PROREP (L)",VLOOKUP(LEFT($A104,6),'Data Feed (35C)'!$A$1:$G$10,7,FALSE),IF(A104="PROREP (S)", INDEX('Data Feed (35C)'!G:G, MATCH(LEFT($A104,6), 'Data Feed (35C)'!$A$1:$A$10, 0) + 1, +1), VLOOKUP($A104,'Data Feed (35C)'!$A$1:$G$10,7,FALSE))))</f>
        <v>1</v>
      </c>
      <c r="F104" s="7">
        <v>45477.7875</v>
      </c>
      <c r="G104" s="17">
        <v>2.743</v>
      </c>
    </row>
    <row r="105">
      <c r="A105" s="9" t="str">
        <f t="shared" ref="A105:A109" si="121">A104</f>
        <v>ERIMON</v>
      </c>
      <c r="B105" s="9" t="str">
        <f>IF(ISBLANK(A104),"",LEFT(B104,27)&amp;VALUE(RIGHT(B104,1)+1))</f>
        <v>JKS240702ERIMON_35C_sample_2</v>
      </c>
      <c r="C105" s="6" t="str">
        <f t="shared" ref="C105:D105" si="120">C104</f>
        <v>Erica monsoniana</v>
      </c>
      <c r="D105" s="6" t="str">
        <f t="shared" si="120"/>
        <v>35C</v>
      </c>
      <c r="E105" s="10">
        <f>IF(ISBLANK(A104),"",E104+1)</f>
        <v>2</v>
      </c>
      <c r="F105" s="11">
        <f t="shared" ref="F105:F109" si="123">F104</f>
        <v>45477.7875</v>
      </c>
      <c r="G105" s="17">
        <v>1.635</v>
      </c>
    </row>
    <row r="106">
      <c r="A106" s="9" t="str">
        <f t="shared" si="121"/>
        <v>ERIMON</v>
      </c>
      <c r="B106" s="9" t="str">
        <f>IF(ISBLANK(A104),"",LEFT(B105,27)&amp;VALUE(RIGHT(B105,1)+1))</f>
        <v>JKS240702ERIMON_35C_sample_3</v>
      </c>
      <c r="C106" s="6" t="str">
        <f t="shared" ref="C106:D106" si="122">C105</f>
        <v>Erica monsoniana</v>
      </c>
      <c r="D106" s="6" t="str">
        <f t="shared" si="122"/>
        <v>35C</v>
      </c>
      <c r="E106" s="10">
        <f>IF(ISBLANK(A104),"",E105+1)</f>
        <v>3</v>
      </c>
      <c r="F106" s="11">
        <f t="shared" si="123"/>
        <v>45477.7875</v>
      </c>
      <c r="G106" s="17">
        <v>0.55</v>
      </c>
    </row>
    <row r="107">
      <c r="A107" s="9" t="str">
        <f t="shared" si="121"/>
        <v>ERIMON</v>
      </c>
      <c r="B107" s="9" t="str">
        <f>IF(ISBLANK(A104),"",LEFT(B106,27)&amp;VALUE(RIGHT(B106,1)+1))</f>
        <v>JKS240702ERIMON_35C_sample_4</v>
      </c>
      <c r="C107" s="6" t="str">
        <f t="shared" ref="C107:D107" si="124">C106</f>
        <v>Erica monsoniana</v>
      </c>
      <c r="D107" s="6" t="str">
        <f t="shared" si="124"/>
        <v>35C</v>
      </c>
      <c r="E107" s="10">
        <f>IF(ISBLANK(A104),"",E106+1)</f>
        <v>4</v>
      </c>
      <c r="F107" s="11">
        <f t="shared" si="123"/>
        <v>45477.7875</v>
      </c>
      <c r="G107" s="17">
        <v>0.832</v>
      </c>
    </row>
    <row r="108">
      <c r="A108" s="9" t="str">
        <f t="shared" si="121"/>
        <v>ERIMON</v>
      </c>
      <c r="B108" s="9" t="str">
        <f>IF(ISBLANK(A104),"",LEFT(B107,27)&amp;VALUE(RIGHT(B107,1)+1))</f>
        <v>JKS240702ERIMON_35C_sample_5</v>
      </c>
      <c r="C108" s="6" t="str">
        <f t="shared" ref="C108:D108" si="125">C107</f>
        <v>Erica monsoniana</v>
      </c>
      <c r="D108" s="6" t="str">
        <f t="shared" si="125"/>
        <v>35C</v>
      </c>
      <c r="E108" s="10">
        <f>IF(ISBLANK(A104),"",E107+1)</f>
        <v>5</v>
      </c>
      <c r="F108" s="11">
        <f t="shared" si="123"/>
        <v>45477.7875</v>
      </c>
      <c r="G108" s="17">
        <v>2.392</v>
      </c>
    </row>
    <row r="109">
      <c r="A109" s="12" t="str">
        <f t="shared" si="121"/>
        <v>ERIMON</v>
      </c>
      <c r="B109" s="12" t="str">
        <f>IF(ISBLANK(A104),"",LEFT(B108,27)&amp;VALUE(RIGHT(B108,1)+1))</f>
        <v>JKS240702ERIMON_35C_sample_6</v>
      </c>
      <c r="C109" s="13" t="str">
        <f t="shared" ref="C109:D109" si="126">C108</f>
        <v>Erica monsoniana</v>
      </c>
      <c r="D109" s="13" t="str">
        <f t="shared" si="126"/>
        <v>35C</v>
      </c>
      <c r="E109" s="14">
        <f>IF(ISBLANK(A104),"",E108+1)</f>
        <v>6</v>
      </c>
      <c r="F109" s="15">
        <f t="shared" si="123"/>
        <v>45477.7875</v>
      </c>
      <c r="G109" s="17">
        <v>0.727</v>
      </c>
    </row>
    <row r="110">
      <c r="A110" s="5" t="s">
        <v>8</v>
      </c>
      <c r="B110" s="6" t="str">
        <f t="array" ref="B110">IF(ISBLANK(A110),"",IF(A110="PROREP (L)",VLOOKUP(LEFT($A110,6),'Data Feed (35C)'!$A$1:$G$10,2,FALSE),IF(A110="PROREP (S)", INDEX('Data Feed (35C)'!B:B, MATCH(LEFT($A110,6), 'Data Feed (35C)'!$A$1:$A$10, 0) + 1), VLOOKUP($A110,'Data Feed (35C)'!$A$1:$G$10,2,FALSE))))</f>
        <v>JKL240702PROREP_35C_sample_1</v>
      </c>
      <c r="C110" s="6" t="str">
        <f t="array" ref="C110">IF(ISBLANK(A110),"",IF(A110="PROREP (L)",VLOOKUP(LEFT($A110,6),'Data Feed (35C)'!$A$1:$G$10,3,FALSE),IF(A110="PROREP (S)", INDEX('Data Feed (35C)'!C:C, MATCH(LEFT($A110,6), 'Data Feed (35C)'!$A$1:$A$10, 0) + 1, +1), VLOOKUP($A110,'Data Feed (35C)'!$A$1:$G$10,3,FALSE))))</f>
        <v>Protea repens</v>
      </c>
      <c r="D110" s="6" t="str">
        <f t="array" ref="D110">IF(ISBLANK(A110),"",IF(A110="PROREP (L)",VLOOKUP(LEFT($A110,6),'Data Feed (35C)'!$A$1:$G$10,4,FALSE),IF(A110="PROREP (S)", INDEX('Data Feed (35C)'!D:D, MATCH(LEFT($A110,6), 'Data Feed (35C)'!$A$1:$A$10, 0) + 1, +1), VLOOKUP($A110,'Data Feed (35C)'!$A$1:$G$10,4,FALSE))))</f>
        <v>35C</v>
      </c>
      <c r="E110" s="6">
        <f t="array" ref="E110">IF(ISBLANK(A110),"",IF(A110="PROREP (L)",VLOOKUP(LEFT($A110,6),'Data Feed (35C)'!$A$1:$G$10,7,FALSE),IF(A110="PROREP (S)", INDEX('Data Feed (35C)'!G:G, MATCH(LEFT($A110,6), 'Data Feed (35C)'!$A$1:$A$10, 0) + 1, +1), VLOOKUP($A110,'Data Feed (35C)'!$A$1:$G$10,7,FALSE))))</f>
        <v>1</v>
      </c>
      <c r="F110" s="7">
        <v>45477.78888888889</v>
      </c>
      <c r="G110" s="8">
        <v>0.496</v>
      </c>
    </row>
    <row r="111">
      <c r="A111" s="9" t="str">
        <f t="shared" ref="A111:A115" si="128">A110</f>
        <v>PROREP (L)</v>
      </c>
      <c r="B111" s="9" t="str">
        <f>IF(ISBLANK(A110),"",LEFT(B110,27)&amp;VALUE(RIGHT(B110,1)+1))</f>
        <v>JKL240702PROREP_35C_sample_2</v>
      </c>
      <c r="C111" s="6" t="str">
        <f t="shared" ref="C111:D111" si="127">C110</f>
        <v>Protea repens</v>
      </c>
      <c r="D111" s="6" t="str">
        <f t="shared" si="127"/>
        <v>35C</v>
      </c>
      <c r="E111" s="10">
        <f>IF(ISBLANK(A110),"",E110+1)</f>
        <v>2</v>
      </c>
      <c r="F111" s="11">
        <f t="shared" ref="F111:F115" si="130">F110</f>
        <v>45477.78889</v>
      </c>
      <c r="G111" s="8">
        <v>0.555</v>
      </c>
    </row>
    <row r="112">
      <c r="A112" s="9" t="str">
        <f t="shared" si="128"/>
        <v>PROREP (L)</v>
      </c>
      <c r="B112" s="9" t="str">
        <f>IF(ISBLANK(A110),"",LEFT(B111,27)&amp;VALUE(RIGHT(B111,1)+1))</f>
        <v>JKL240702PROREP_35C_sample_3</v>
      </c>
      <c r="C112" s="6" t="str">
        <f t="shared" ref="C112:D112" si="129">C111</f>
        <v>Protea repens</v>
      </c>
      <c r="D112" s="6" t="str">
        <f t="shared" si="129"/>
        <v>35C</v>
      </c>
      <c r="E112" s="10">
        <f>IF(ISBLANK(A110),"",E111+1)</f>
        <v>3</v>
      </c>
      <c r="F112" s="11">
        <f t="shared" si="130"/>
        <v>45477.78889</v>
      </c>
      <c r="G112" s="8">
        <v>0.72</v>
      </c>
    </row>
    <row r="113">
      <c r="A113" s="9" t="str">
        <f t="shared" si="128"/>
        <v>PROREP (L)</v>
      </c>
      <c r="B113" s="9" t="str">
        <f>IF(ISBLANK(A110),"",LEFT(B112,27)&amp;VALUE(RIGHT(B112,1)+1))</f>
        <v>JKL240702PROREP_35C_sample_4</v>
      </c>
      <c r="C113" s="6" t="str">
        <f t="shared" ref="C113:D113" si="131">C112</f>
        <v>Protea repens</v>
      </c>
      <c r="D113" s="6" t="str">
        <f t="shared" si="131"/>
        <v>35C</v>
      </c>
      <c r="E113" s="10">
        <f>IF(ISBLANK(A110),"",E112+1)</f>
        <v>4</v>
      </c>
      <c r="F113" s="11">
        <f t="shared" si="130"/>
        <v>45477.78889</v>
      </c>
      <c r="G113" s="8">
        <v>0.45</v>
      </c>
    </row>
    <row r="114">
      <c r="A114" s="9" t="str">
        <f t="shared" si="128"/>
        <v>PROREP (L)</v>
      </c>
      <c r="B114" s="9" t="str">
        <f>IF(ISBLANK(A110),"",LEFT(B113,27)&amp;VALUE(RIGHT(B113,1)+1))</f>
        <v>JKL240702PROREP_35C_sample_5</v>
      </c>
      <c r="C114" s="6" t="str">
        <f t="shared" ref="C114:D114" si="132">C113</f>
        <v>Protea repens</v>
      </c>
      <c r="D114" s="6" t="str">
        <f t="shared" si="132"/>
        <v>35C</v>
      </c>
      <c r="E114" s="10">
        <f>IF(ISBLANK(A110),"",E113+1)</f>
        <v>5</v>
      </c>
      <c r="F114" s="11">
        <f t="shared" si="130"/>
        <v>45477.78889</v>
      </c>
      <c r="G114" s="8">
        <v>0.406</v>
      </c>
    </row>
    <row r="115">
      <c r="A115" s="12" t="str">
        <f t="shared" si="128"/>
        <v>PROREP (L)</v>
      </c>
      <c r="B115" s="12" t="str">
        <f>IF(ISBLANK(A110),"",LEFT(B114,27)&amp;VALUE(RIGHT(B114,1)+1))</f>
        <v>JKL240702PROREP_35C_sample_6</v>
      </c>
      <c r="C115" s="13" t="str">
        <f t="shared" ref="C115:D115" si="133">C114</f>
        <v>Protea repens</v>
      </c>
      <c r="D115" s="13" t="str">
        <f t="shared" si="133"/>
        <v>35C</v>
      </c>
      <c r="E115" s="14">
        <f>IF(ISBLANK(A110),"",E114+1)</f>
        <v>6</v>
      </c>
      <c r="F115" s="15">
        <f t="shared" si="130"/>
        <v>45477.78889</v>
      </c>
      <c r="G115" s="16">
        <v>0.358</v>
      </c>
    </row>
    <row r="116">
      <c r="A116" s="5" t="s">
        <v>9</v>
      </c>
      <c r="B116" s="6" t="str">
        <f t="array" ref="B116">IF(ISBLANK(A116),"",IF(A116="PROREP (L)",VLOOKUP(LEFT($A116,6),'Data Feed (35C)'!$A$1:$G$10,2,FALSE),IF(A116="PROREP (S)", INDEX('Data Feed (35C)'!B:B, MATCH(LEFT($A116,6), 'Data Feed (35C)'!$A$1:$A$10, 0) + 1), VLOOKUP($A116,'Data Feed (35C)'!$A$1:$G$10,2,FALSE))))</f>
        <v>JKS240702PROREP_35C_sample_1</v>
      </c>
      <c r="C116" s="6" t="str">
        <f t="array" ref="C116">IF(ISBLANK(A116),"",IF(A116="PROREP (L)",VLOOKUP(LEFT($A116,6),'Data Feed (35C)'!$A$1:$G$10,3,FALSE),IF(A116="PROREP (S)", INDEX('Data Feed (35C)'!C:C, MATCH(LEFT($A116,6), 'Data Feed (35C)'!$A$1:$A$10, 0) + 1, +1), VLOOKUP($A116,'Data Feed (35C)'!$A$1:$G$10,3,FALSE))))</f>
        <v>Protea repens</v>
      </c>
      <c r="D116" s="6" t="str">
        <f t="array" ref="D116">IF(ISBLANK(A116),"",IF(A116="PROREP (L)",VLOOKUP(LEFT($A116,6),'Data Feed (35C)'!$A$1:$G$10,4,FALSE),IF(A116="PROREP (S)", INDEX('Data Feed (35C)'!D:D, MATCH(LEFT($A116,6), 'Data Feed (35C)'!$A$1:$A$10, 0) + 1, +1), VLOOKUP($A116,'Data Feed (35C)'!$A$1:$G$10,4,FALSE))))</f>
        <v>35C</v>
      </c>
      <c r="E116" s="6">
        <f t="array" ref="E116">IF(ISBLANK(A116),"",IF(A116="PROREP (L)",VLOOKUP(LEFT($A116,6),'Data Feed (35C)'!$A$1:$G$10,7,FALSE),IF(A116="PROREP (S)", INDEX('Data Feed (35C)'!G:G, MATCH(LEFT($A116,6), 'Data Feed (35C)'!$A$1:$A$10, 0) + 1, +1), VLOOKUP($A116,'Data Feed (35C)'!$A$1:$G$10,7,FALSE))))</f>
        <v>1</v>
      </c>
      <c r="F116" s="7">
        <v>45477.78958333333</v>
      </c>
      <c r="G116" s="8">
        <v>9.627</v>
      </c>
    </row>
    <row r="117">
      <c r="A117" s="9" t="str">
        <f t="shared" ref="A117:A121" si="135">A116</f>
        <v>PROREP (S)</v>
      </c>
      <c r="B117" s="9" t="str">
        <f>IF(ISBLANK(A116),"",LEFT(B116,27)&amp;VALUE(RIGHT(B116,1)+1))</f>
        <v>JKS240702PROREP_35C_sample_2</v>
      </c>
      <c r="C117" s="6" t="str">
        <f t="shared" ref="C117:D117" si="134">C116</f>
        <v>Protea repens</v>
      </c>
      <c r="D117" s="6" t="str">
        <f t="shared" si="134"/>
        <v>35C</v>
      </c>
      <c r="E117" s="10">
        <f>IF(ISBLANK(A116),"",E116+1)</f>
        <v>2</v>
      </c>
      <c r="F117" s="11">
        <f t="shared" ref="F117:F121" si="137">F116</f>
        <v>45477.78958</v>
      </c>
      <c r="G117" s="8">
        <v>18.15</v>
      </c>
    </row>
    <row r="118">
      <c r="A118" s="9" t="str">
        <f t="shared" si="135"/>
        <v>PROREP (S)</v>
      </c>
      <c r="B118" s="9" t="str">
        <f>IF(ISBLANK(A116),"",LEFT(B117,27)&amp;VALUE(RIGHT(B117,1)+1))</f>
        <v>JKS240702PROREP_35C_sample_3</v>
      </c>
      <c r="C118" s="6" t="str">
        <f t="shared" ref="C118:D118" si="136">C117</f>
        <v>Protea repens</v>
      </c>
      <c r="D118" s="6" t="str">
        <f t="shared" si="136"/>
        <v>35C</v>
      </c>
      <c r="E118" s="10">
        <f>IF(ISBLANK(A116),"",E117+1)</f>
        <v>3</v>
      </c>
      <c r="F118" s="11">
        <f t="shared" si="137"/>
        <v>45477.78958</v>
      </c>
      <c r="G118" s="8">
        <v>16.538</v>
      </c>
    </row>
    <row r="119">
      <c r="A119" s="9" t="str">
        <f t="shared" si="135"/>
        <v>PROREP (S)</v>
      </c>
      <c r="B119" s="9" t="str">
        <f>IF(ISBLANK(A116),"",LEFT(B118,27)&amp;VALUE(RIGHT(B118,1)+1))</f>
        <v>JKS240702PROREP_35C_sample_4</v>
      </c>
      <c r="C119" s="6" t="str">
        <f t="shared" ref="C119:D119" si="138">C118</f>
        <v>Protea repens</v>
      </c>
      <c r="D119" s="6" t="str">
        <f t="shared" si="138"/>
        <v>35C</v>
      </c>
      <c r="E119" s="10">
        <f>IF(ISBLANK(A116),"",E118+1)</f>
        <v>4</v>
      </c>
      <c r="F119" s="11">
        <f t="shared" si="137"/>
        <v>45477.78958</v>
      </c>
      <c r="G119" s="8">
        <v>3.805</v>
      </c>
    </row>
    <row r="120">
      <c r="A120" s="9" t="str">
        <f t="shared" si="135"/>
        <v>PROREP (S)</v>
      </c>
      <c r="B120" s="9" t="str">
        <f>IF(ISBLANK(A116),"",LEFT(B119,27)&amp;VALUE(RIGHT(B119,1)+1))</f>
        <v>JKS240702PROREP_35C_sample_5</v>
      </c>
      <c r="C120" s="6" t="str">
        <f t="shared" ref="C120:D120" si="139">C119</f>
        <v>Protea repens</v>
      </c>
      <c r="D120" s="6" t="str">
        <f t="shared" si="139"/>
        <v>35C</v>
      </c>
      <c r="E120" s="10">
        <f>IF(ISBLANK(A116),"",E119+1)</f>
        <v>5</v>
      </c>
      <c r="F120" s="11">
        <f t="shared" si="137"/>
        <v>45477.78958</v>
      </c>
      <c r="G120" s="8">
        <v>5.083</v>
      </c>
    </row>
    <row r="121">
      <c r="A121" s="12" t="str">
        <f t="shared" si="135"/>
        <v>PROREP (S)</v>
      </c>
      <c r="B121" s="12" t="str">
        <f>IF(ISBLANK(A116),"",LEFT(B120,27)&amp;VALUE(RIGHT(B120,1)+1))</f>
        <v>JKS240702PROREP_35C_sample_6</v>
      </c>
      <c r="C121" s="13" t="str">
        <f t="shared" ref="C121:D121" si="140">C120</f>
        <v>Protea repens</v>
      </c>
      <c r="D121" s="13" t="str">
        <f t="shared" si="140"/>
        <v>35C</v>
      </c>
      <c r="E121" s="14">
        <f>IF(ISBLANK(A116),"",E120+1)</f>
        <v>6</v>
      </c>
      <c r="F121" s="15">
        <f t="shared" si="137"/>
        <v>45477.78958</v>
      </c>
      <c r="G121" s="16">
        <v>7.316</v>
      </c>
    </row>
    <row r="122">
      <c r="A122" s="5" t="s">
        <v>10</v>
      </c>
      <c r="B122" s="6" t="str">
        <f t="array" ref="B122">IF(ISBLANK(A122),"",IF(A122="PROREP (L)",VLOOKUP(LEFT($A122,6),'Data Feed (35C)'!$A$1:$G$10,2,FALSE),IF(A122="PROREP (S)", INDEX('Data Feed (35C)'!B:B, MATCH(LEFT($A122,6), 'Data Feed (35C)'!$A$1:$A$10, 0) + 1), VLOOKUP($A122,'Data Feed (35C)'!$A$1:$G$10,2,FALSE))))</f>
        <v>JKS240702CANCON_35C_sample_1</v>
      </c>
      <c r="C122" s="6" t="str">
        <f t="array" ref="C122">IF(ISBLANK(A122),"",IF(A122="PROREP (L)",VLOOKUP(LEFT($A122,6),'Data Feed (35C)'!$A$1:$G$10,3,FALSE),IF(A122="PROREP (S)", INDEX('Data Feed (35C)'!C:C, MATCH(LEFT($A122,6), 'Data Feed (35C)'!$A$1:$A$10, 0) + 1, +1), VLOOKUP($A122,'Data Feed (35C)'!$A$1:$G$10,3,FALSE))))</f>
        <v>Cannomois congesta</v>
      </c>
      <c r="D122" s="6" t="str">
        <f t="array" ref="D122">IF(ISBLANK(A122),"",IF(A122="PROREP (L)",VLOOKUP(LEFT($A122,6),'Data Feed (35C)'!$A$1:$G$10,4,FALSE),IF(A122="PROREP (S)", INDEX('Data Feed (35C)'!D:D, MATCH(LEFT($A122,6), 'Data Feed (35C)'!$A$1:$A$10, 0) + 1, +1), VLOOKUP($A122,'Data Feed (35C)'!$A$1:$G$10,4,FALSE))))</f>
        <v>35C</v>
      </c>
      <c r="E122" s="6">
        <f t="array" ref="E122">IF(ISBLANK(A122),"",IF(A122="PROREP (L)",VLOOKUP(LEFT($A122,6),'Data Feed (35C)'!$A$1:$G$10,7,FALSE),IF(A122="PROREP (S)", INDEX('Data Feed (35C)'!G:G, MATCH(LEFT($A122,6), 'Data Feed (35C)'!$A$1:$A$10, 0) + 1, +1), VLOOKUP($A122,'Data Feed (35C)'!$A$1:$G$10,7,FALSE))))</f>
        <v>1</v>
      </c>
      <c r="F122" s="7">
        <v>45477.790972222225</v>
      </c>
      <c r="G122" s="8">
        <v>0.598</v>
      </c>
    </row>
    <row r="123">
      <c r="A123" s="9" t="str">
        <f t="shared" ref="A123:A127" si="142">A122</f>
        <v>CANCON</v>
      </c>
      <c r="B123" s="9" t="str">
        <f>IF(ISBLANK(A122),"",LEFT(B122,27)&amp;VALUE(RIGHT(B122,1)+1))</f>
        <v>JKS240702CANCON_35C_sample_2</v>
      </c>
      <c r="C123" s="6" t="str">
        <f t="shared" ref="C123:D123" si="141">C122</f>
        <v>Cannomois congesta</v>
      </c>
      <c r="D123" s="6" t="str">
        <f t="shared" si="141"/>
        <v>35C</v>
      </c>
      <c r="E123" s="10">
        <f>IF(ISBLANK(A122),"",E122+1)</f>
        <v>2</v>
      </c>
      <c r="F123" s="11">
        <f t="shared" ref="F123:F127" si="144">F122</f>
        <v>45477.79097</v>
      </c>
      <c r="G123" s="8">
        <v>2.5</v>
      </c>
    </row>
    <row r="124">
      <c r="A124" s="9" t="str">
        <f t="shared" si="142"/>
        <v>CANCON</v>
      </c>
      <c r="B124" s="9" t="str">
        <f>IF(ISBLANK(A122),"",LEFT(B123,27)&amp;VALUE(RIGHT(B123,1)+1))</f>
        <v>JKS240702CANCON_35C_sample_3</v>
      </c>
      <c r="C124" s="6" t="str">
        <f t="shared" ref="C124:D124" si="143">C123</f>
        <v>Cannomois congesta</v>
      </c>
      <c r="D124" s="6" t="str">
        <f t="shared" si="143"/>
        <v>35C</v>
      </c>
      <c r="E124" s="10">
        <f>IF(ISBLANK(A122),"",E123+1)</f>
        <v>3</v>
      </c>
      <c r="F124" s="11">
        <f t="shared" si="144"/>
        <v>45477.79097</v>
      </c>
      <c r="G124" s="8">
        <v>1.119</v>
      </c>
    </row>
    <row r="125">
      <c r="A125" s="9" t="str">
        <f t="shared" si="142"/>
        <v>CANCON</v>
      </c>
      <c r="B125" s="9" t="str">
        <f>IF(ISBLANK(A122),"",LEFT(B124,27)&amp;VALUE(RIGHT(B124,1)+1))</f>
        <v>JKS240702CANCON_35C_sample_4</v>
      </c>
      <c r="C125" s="6" t="str">
        <f t="shared" ref="C125:D125" si="145">C124</f>
        <v>Cannomois congesta</v>
      </c>
      <c r="D125" s="6" t="str">
        <f t="shared" si="145"/>
        <v>35C</v>
      </c>
      <c r="E125" s="10">
        <f>IF(ISBLANK(A122),"",E124+1)</f>
        <v>4</v>
      </c>
      <c r="F125" s="11">
        <f t="shared" si="144"/>
        <v>45477.79097</v>
      </c>
      <c r="G125" s="8">
        <v>1.259</v>
      </c>
    </row>
    <row r="126">
      <c r="A126" s="9" t="str">
        <f t="shared" si="142"/>
        <v>CANCON</v>
      </c>
      <c r="B126" s="9" t="str">
        <f>IF(ISBLANK(A122),"",LEFT(B125,27)&amp;VALUE(RIGHT(B125,1)+1))</f>
        <v>JKS240702CANCON_35C_sample_5</v>
      </c>
      <c r="C126" s="6" t="str">
        <f t="shared" ref="C126:D126" si="146">C125</f>
        <v>Cannomois congesta</v>
      </c>
      <c r="D126" s="6" t="str">
        <f t="shared" si="146"/>
        <v>35C</v>
      </c>
      <c r="E126" s="10">
        <f>IF(ISBLANK(A122),"",E125+1)</f>
        <v>5</v>
      </c>
      <c r="F126" s="11">
        <f t="shared" si="144"/>
        <v>45477.79097</v>
      </c>
      <c r="G126" s="8">
        <v>1.697</v>
      </c>
    </row>
    <row r="127">
      <c r="A127" s="12" t="str">
        <f t="shared" si="142"/>
        <v>CANCON</v>
      </c>
      <c r="B127" s="12" t="str">
        <f>IF(ISBLANK(A122),"",LEFT(B126,27)&amp;VALUE(RIGHT(B126,1)+1))</f>
        <v>JKS240702CANCON_35C_sample_6</v>
      </c>
      <c r="C127" s="13" t="str">
        <f t="shared" ref="C127:D127" si="147">C126</f>
        <v>Cannomois congesta</v>
      </c>
      <c r="D127" s="13" t="str">
        <f t="shared" si="147"/>
        <v>35C</v>
      </c>
      <c r="E127" s="14">
        <f>IF(ISBLANK(A122),"",E126+1)</f>
        <v>6</v>
      </c>
      <c r="F127" s="15">
        <f t="shared" si="144"/>
        <v>45477.79097</v>
      </c>
      <c r="G127" s="16">
        <v>1.897</v>
      </c>
    </row>
    <row r="128">
      <c r="A128" s="5" t="s">
        <v>7</v>
      </c>
      <c r="B128" s="6" t="str">
        <f t="array" ref="B128">IF(ISBLANK(A128),"",IF(A128="PROREP (L)",VLOOKUP(LEFT($A128,6),'Data Feed (35C)'!$A$1:$G$10,2,FALSE),IF(A128="PROREP (S)", INDEX('Data Feed (35C)'!B:B, MATCH(LEFT($A128,6), 'Data Feed (35C)'!$A$1:$A$10, 0) + 1), VLOOKUP($A128,'Data Feed (35C)'!$A$1:$G$10,2,FALSE))))</f>
        <v>JKS240702ERIMON_35C_sample_1</v>
      </c>
      <c r="C128" s="6" t="str">
        <f t="array" ref="C128">IF(ISBLANK(A128),"",IF(A128="PROREP (L)",VLOOKUP(LEFT($A128,6),'Data Feed (35C)'!$A$1:$G$10,3,FALSE),IF(A128="PROREP (S)", INDEX('Data Feed (35C)'!C:C, MATCH(LEFT($A128,6), 'Data Feed (35C)'!$A$1:$A$10, 0) + 1, +1), VLOOKUP($A128,'Data Feed (35C)'!$A$1:$G$10,3,FALSE))))</f>
        <v>Erica monsoniana</v>
      </c>
      <c r="D128" s="6" t="str">
        <f t="array" ref="D128">IF(ISBLANK(A128),"",IF(A128="PROREP (L)",VLOOKUP(LEFT($A128,6),'Data Feed (35C)'!$A$1:$G$10,4,FALSE),IF(A128="PROREP (S)", INDEX('Data Feed (35C)'!D:D, MATCH(LEFT($A128,6), 'Data Feed (35C)'!$A$1:$A$10, 0) + 1, +1), VLOOKUP($A128,'Data Feed (35C)'!$A$1:$G$10,4,FALSE))))</f>
        <v>35C</v>
      </c>
      <c r="E128" s="6">
        <f t="array" ref="E128">IF(ISBLANK(A128),"",IF(A128="PROREP (L)",VLOOKUP(LEFT($A128,6),'Data Feed (35C)'!$A$1:$G$10,7,FALSE),IF(A128="PROREP (S)", INDEX('Data Feed (35C)'!G:G, MATCH(LEFT($A128,6), 'Data Feed (35C)'!$A$1:$A$10, 0) + 1, +1), VLOOKUP($A128,'Data Feed (35C)'!$A$1:$G$10,7,FALSE))))</f>
        <v>1</v>
      </c>
      <c r="F128" s="7">
        <v>45477.825</v>
      </c>
      <c r="G128" s="8">
        <v>2.606</v>
      </c>
    </row>
    <row r="129">
      <c r="A129" s="9" t="str">
        <f t="shared" ref="A129:A133" si="149">A128</f>
        <v>ERIMON</v>
      </c>
      <c r="B129" s="9" t="str">
        <f>IF(ISBLANK(A128),"",LEFT(B128,27)&amp;VALUE(RIGHT(B128,1)+1))</f>
        <v>JKS240702ERIMON_35C_sample_2</v>
      </c>
      <c r="C129" s="6" t="str">
        <f t="shared" ref="C129:D129" si="148">C128</f>
        <v>Erica monsoniana</v>
      </c>
      <c r="D129" s="6" t="str">
        <f t="shared" si="148"/>
        <v>35C</v>
      </c>
      <c r="E129" s="10">
        <f>IF(ISBLANK(A128),"",E128+1)</f>
        <v>2</v>
      </c>
      <c r="F129" s="11">
        <f t="shared" ref="F129:F133" si="151">F128</f>
        <v>45477.825</v>
      </c>
      <c r="G129" s="8">
        <v>1.57</v>
      </c>
    </row>
    <row r="130">
      <c r="A130" s="9" t="str">
        <f t="shared" si="149"/>
        <v>ERIMON</v>
      </c>
      <c r="B130" s="9" t="str">
        <f>IF(ISBLANK(A128),"",LEFT(B129,27)&amp;VALUE(RIGHT(B129,1)+1))</f>
        <v>JKS240702ERIMON_35C_sample_3</v>
      </c>
      <c r="C130" s="6" t="str">
        <f t="shared" ref="C130:D130" si="150">C129</f>
        <v>Erica monsoniana</v>
      </c>
      <c r="D130" s="6" t="str">
        <f t="shared" si="150"/>
        <v>35C</v>
      </c>
      <c r="E130" s="10">
        <f>IF(ISBLANK(A128),"",E129+1)</f>
        <v>3</v>
      </c>
      <c r="F130" s="11">
        <f t="shared" si="151"/>
        <v>45477.825</v>
      </c>
      <c r="G130" s="8">
        <v>0.533</v>
      </c>
    </row>
    <row r="131">
      <c r="A131" s="9" t="str">
        <f t="shared" si="149"/>
        <v>ERIMON</v>
      </c>
      <c r="B131" s="9" t="str">
        <f>IF(ISBLANK(A128),"",LEFT(B130,27)&amp;VALUE(RIGHT(B130,1)+1))</f>
        <v>JKS240702ERIMON_35C_sample_4</v>
      </c>
      <c r="C131" s="6" t="str">
        <f t="shared" ref="C131:D131" si="152">C130</f>
        <v>Erica monsoniana</v>
      </c>
      <c r="D131" s="6" t="str">
        <f t="shared" si="152"/>
        <v>35C</v>
      </c>
      <c r="E131" s="10">
        <f>IF(ISBLANK(A128),"",E130+1)</f>
        <v>4</v>
      </c>
      <c r="F131" s="11">
        <f t="shared" si="151"/>
        <v>45477.825</v>
      </c>
      <c r="G131" s="8">
        <v>0.797</v>
      </c>
    </row>
    <row r="132">
      <c r="A132" s="9" t="str">
        <f t="shared" si="149"/>
        <v>ERIMON</v>
      </c>
      <c r="B132" s="9" t="str">
        <f>IF(ISBLANK(A128),"",LEFT(B131,27)&amp;VALUE(RIGHT(B131,1)+1))</f>
        <v>JKS240702ERIMON_35C_sample_5</v>
      </c>
      <c r="C132" s="6" t="str">
        <f t="shared" ref="C132:D132" si="153">C131</f>
        <v>Erica monsoniana</v>
      </c>
      <c r="D132" s="6" t="str">
        <f t="shared" si="153"/>
        <v>35C</v>
      </c>
      <c r="E132" s="10">
        <f>IF(ISBLANK(A128),"",E131+1)</f>
        <v>5</v>
      </c>
      <c r="F132" s="11">
        <f t="shared" si="151"/>
        <v>45477.825</v>
      </c>
      <c r="G132" s="8">
        <v>2.287</v>
      </c>
    </row>
    <row r="133">
      <c r="A133" s="12" t="str">
        <f t="shared" si="149"/>
        <v>ERIMON</v>
      </c>
      <c r="B133" s="12" t="str">
        <f>IF(ISBLANK(A128),"",LEFT(B132,27)&amp;VALUE(RIGHT(B132,1)+1))</f>
        <v>JKS240702ERIMON_35C_sample_6</v>
      </c>
      <c r="C133" s="13" t="str">
        <f t="shared" ref="C133:D133" si="154">C132</f>
        <v>Erica monsoniana</v>
      </c>
      <c r="D133" s="13" t="str">
        <f t="shared" si="154"/>
        <v>35C</v>
      </c>
      <c r="E133" s="14">
        <f>IF(ISBLANK(A128),"",E132+1)</f>
        <v>6</v>
      </c>
      <c r="F133" s="15">
        <f t="shared" si="151"/>
        <v>45477.825</v>
      </c>
      <c r="G133" s="16">
        <v>0.715</v>
      </c>
    </row>
    <row r="134">
      <c r="A134" s="5" t="s">
        <v>8</v>
      </c>
      <c r="B134" s="6" t="str">
        <f t="array" ref="B134">IF(ISBLANK(A134),"",IF(A134="PROREP (L)",VLOOKUP(LEFT($A134,6),'Data Feed (35C)'!$A$1:$G$10,2,FALSE),IF(A134="PROREP (S)", INDEX('Data Feed (35C)'!B:B, MATCH(LEFT($A134,6), 'Data Feed (35C)'!$A$1:$A$10, 0) + 1), VLOOKUP($A134,'Data Feed (35C)'!$A$1:$G$10,2,FALSE))))</f>
        <v>JKL240702PROREP_35C_sample_1</v>
      </c>
      <c r="C134" s="6" t="str">
        <f t="array" ref="C134">IF(ISBLANK(A134),"",IF(A134="PROREP (L)",VLOOKUP(LEFT($A134,6),'Data Feed (35C)'!$A$1:$G$10,3,FALSE),IF(A134="PROREP (S)", INDEX('Data Feed (35C)'!C:C, MATCH(LEFT($A134,6), 'Data Feed (35C)'!$A$1:$A$10, 0) + 1, +1), VLOOKUP($A134,'Data Feed (35C)'!$A$1:$G$10,3,FALSE))))</f>
        <v>Protea repens</v>
      </c>
      <c r="D134" s="6" t="str">
        <f t="array" ref="D134">IF(ISBLANK(A134),"",IF(A134="PROREP (L)",VLOOKUP(LEFT($A134,6),'Data Feed (35C)'!$A$1:$G$10,4,FALSE),IF(A134="PROREP (S)", INDEX('Data Feed (35C)'!D:D, MATCH(LEFT($A134,6), 'Data Feed (35C)'!$A$1:$A$10, 0) + 1, +1), VLOOKUP($A134,'Data Feed (35C)'!$A$1:$G$10,4,FALSE))))</f>
        <v>35C</v>
      </c>
      <c r="E134" s="6">
        <f t="array" ref="E134">IF(ISBLANK(A134),"",IF(A134="PROREP (L)",VLOOKUP(LEFT($A134,6),'Data Feed (35C)'!$A$1:$G$10,7,FALSE),IF(A134="PROREP (S)", INDEX('Data Feed (35C)'!G:G, MATCH(LEFT($A134,6), 'Data Feed (35C)'!$A$1:$A$10, 0) + 1, +1), VLOOKUP($A134,'Data Feed (35C)'!$A$1:$G$10,7,FALSE))))</f>
        <v>1</v>
      </c>
      <c r="F134" s="7">
        <v>45477.82638888889</v>
      </c>
      <c r="G134" s="8">
        <v>0.486</v>
      </c>
    </row>
    <row r="135">
      <c r="A135" s="9" t="str">
        <f t="shared" ref="A135:A139" si="156">A134</f>
        <v>PROREP (L)</v>
      </c>
      <c r="B135" s="9" t="str">
        <f>IF(ISBLANK(A134),"",LEFT(B134,27)&amp;VALUE(RIGHT(B134,1)+1))</f>
        <v>JKL240702PROREP_35C_sample_2</v>
      </c>
      <c r="C135" s="6" t="str">
        <f t="shared" ref="C135:D135" si="155">C134</f>
        <v>Protea repens</v>
      </c>
      <c r="D135" s="6" t="str">
        <f t="shared" si="155"/>
        <v>35C</v>
      </c>
      <c r="E135" s="10">
        <f>IF(ISBLANK(A134),"",E134+1)</f>
        <v>2</v>
      </c>
      <c r="F135" s="11">
        <f t="shared" ref="F135:F139" si="158">F134</f>
        <v>45477.82639</v>
      </c>
      <c r="G135" s="8">
        <v>0.543</v>
      </c>
    </row>
    <row r="136">
      <c r="A136" s="9" t="str">
        <f t="shared" si="156"/>
        <v>PROREP (L)</v>
      </c>
      <c r="B136" s="9" t="str">
        <f>IF(ISBLANK(A134),"",LEFT(B135,27)&amp;VALUE(RIGHT(B135,1)+1))</f>
        <v>JKL240702PROREP_35C_sample_3</v>
      </c>
      <c r="C136" s="6" t="str">
        <f t="shared" ref="C136:D136" si="157">C135</f>
        <v>Protea repens</v>
      </c>
      <c r="D136" s="6" t="str">
        <f t="shared" si="157"/>
        <v>35C</v>
      </c>
      <c r="E136" s="10">
        <f>IF(ISBLANK(A134),"",E135+1)</f>
        <v>3</v>
      </c>
      <c r="F136" s="11">
        <f t="shared" si="158"/>
        <v>45477.82639</v>
      </c>
      <c r="G136" s="8">
        <v>0.664</v>
      </c>
    </row>
    <row r="137">
      <c r="A137" s="9" t="str">
        <f t="shared" si="156"/>
        <v>PROREP (L)</v>
      </c>
      <c r="B137" s="9" t="str">
        <f>IF(ISBLANK(A134),"",LEFT(B136,27)&amp;VALUE(RIGHT(B136,1)+1))</f>
        <v>JKL240702PROREP_35C_sample_4</v>
      </c>
      <c r="C137" s="6" t="str">
        <f t="shared" ref="C137:D137" si="159">C136</f>
        <v>Protea repens</v>
      </c>
      <c r="D137" s="6" t="str">
        <f t="shared" si="159"/>
        <v>35C</v>
      </c>
      <c r="E137" s="10">
        <f>IF(ISBLANK(A134),"",E136+1)</f>
        <v>4</v>
      </c>
      <c r="F137" s="11">
        <f t="shared" si="158"/>
        <v>45477.82639</v>
      </c>
      <c r="G137" s="8">
        <v>0.438</v>
      </c>
    </row>
    <row r="138">
      <c r="A138" s="9" t="str">
        <f t="shared" si="156"/>
        <v>PROREP (L)</v>
      </c>
      <c r="B138" s="9" t="str">
        <f>IF(ISBLANK(A134),"",LEFT(B137,27)&amp;VALUE(RIGHT(B137,1)+1))</f>
        <v>JKL240702PROREP_35C_sample_5</v>
      </c>
      <c r="C138" s="6" t="str">
        <f t="shared" ref="C138:D138" si="160">C137</f>
        <v>Protea repens</v>
      </c>
      <c r="D138" s="6" t="str">
        <f t="shared" si="160"/>
        <v>35C</v>
      </c>
      <c r="E138" s="10">
        <f>IF(ISBLANK(A134),"",E137+1)</f>
        <v>5</v>
      </c>
      <c r="F138" s="11">
        <f t="shared" si="158"/>
        <v>45477.82639</v>
      </c>
      <c r="G138" s="8">
        <v>0.395</v>
      </c>
    </row>
    <row r="139">
      <c r="A139" s="12" t="str">
        <f t="shared" si="156"/>
        <v>PROREP (L)</v>
      </c>
      <c r="B139" s="12" t="str">
        <f>IF(ISBLANK(A134),"",LEFT(B138,27)&amp;VALUE(RIGHT(B138,1)+1))</f>
        <v>JKL240702PROREP_35C_sample_6</v>
      </c>
      <c r="C139" s="13" t="str">
        <f t="shared" ref="C139:D139" si="161">C138</f>
        <v>Protea repens</v>
      </c>
      <c r="D139" s="13" t="str">
        <f t="shared" si="161"/>
        <v>35C</v>
      </c>
      <c r="E139" s="14">
        <f>IF(ISBLANK(A134),"",E138+1)</f>
        <v>6</v>
      </c>
      <c r="F139" s="15">
        <f t="shared" si="158"/>
        <v>45477.82639</v>
      </c>
      <c r="G139" s="16">
        <v>0.346</v>
      </c>
    </row>
    <row r="140">
      <c r="A140" s="5" t="s">
        <v>9</v>
      </c>
      <c r="B140" s="6" t="str">
        <f t="array" ref="B140">IF(ISBLANK(A140),"",IF(A140="PROREP (L)",VLOOKUP(LEFT($A140,6),'Data Feed (35C)'!$A$1:$G$10,2,FALSE),IF(A140="PROREP (S)", INDEX('Data Feed (35C)'!B:B, MATCH(LEFT($A140,6), 'Data Feed (35C)'!$A$1:$A$10, 0) + 1), VLOOKUP($A140,'Data Feed (35C)'!$A$1:$G$10,2,FALSE))))</f>
        <v>JKS240702PROREP_35C_sample_1</v>
      </c>
      <c r="C140" s="6" t="str">
        <f t="array" ref="C140">IF(ISBLANK(A140),"",IF(A140="PROREP (L)",VLOOKUP(LEFT($A140,6),'Data Feed (35C)'!$A$1:$G$10,3,FALSE),IF(A140="PROREP (S)", INDEX('Data Feed (35C)'!C:C, MATCH(LEFT($A140,6), 'Data Feed (35C)'!$A$1:$A$10, 0) + 1, +1), VLOOKUP($A140,'Data Feed (35C)'!$A$1:$G$10,3,FALSE))))</f>
        <v>Protea repens</v>
      </c>
      <c r="D140" s="6" t="str">
        <f t="array" ref="D140">IF(ISBLANK(A140),"",IF(A140="PROREP (L)",VLOOKUP(LEFT($A140,6),'Data Feed (35C)'!$A$1:$G$10,4,FALSE),IF(A140="PROREP (S)", INDEX('Data Feed (35C)'!D:D, MATCH(LEFT($A140,6), 'Data Feed (35C)'!$A$1:$A$10, 0) + 1, +1), VLOOKUP($A140,'Data Feed (35C)'!$A$1:$G$10,4,FALSE))))</f>
        <v>35C</v>
      </c>
      <c r="E140" s="6">
        <f t="array" ref="E140">IF(ISBLANK(A140),"",IF(A140="PROREP (L)",VLOOKUP(LEFT($A140,6),'Data Feed (35C)'!$A$1:$G$10,7,FALSE),IF(A140="PROREP (S)", INDEX('Data Feed (35C)'!G:G, MATCH(LEFT($A140,6), 'Data Feed (35C)'!$A$1:$A$10, 0) + 1, +1), VLOOKUP($A140,'Data Feed (35C)'!$A$1:$G$10,7,FALSE))))</f>
        <v>1</v>
      </c>
      <c r="F140" s="7">
        <v>45477.82777777778</v>
      </c>
      <c r="G140" s="8">
        <v>9.525</v>
      </c>
    </row>
    <row r="141">
      <c r="A141" s="9" t="str">
        <f t="shared" ref="A141:A145" si="163">A140</f>
        <v>PROREP (S)</v>
      </c>
      <c r="B141" s="9" t="str">
        <f>IF(ISBLANK(A140),"",LEFT(B140,27)&amp;VALUE(RIGHT(B140,1)+1))</f>
        <v>JKS240702PROREP_35C_sample_2</v>
      </c>
      <c r="C141" s="6" t="str">
        <f t="shared" ref="C141:D141" si="162">C140</f>
        <v>Protea repens</v>
      </c>
      <c r="D141" s="6" t="str">
        <f t="shared" si="162"/>
        <v>35C</v>
      </c>
      <c r="E141" s="10">
        <f>IF(ISBLANK(A140),"",E140+1)</f>
        <v>2</v>
      </c>
      <c r="F141" s="11">
        <f t="shared" ref="F141:F145" si="165">F140</f>
        <v>45477.82778</v>
      </c>
      <c r="G141" s="8">
        <v>18.043</v>
      </c>
    </row>
    <row r="142">
      <c r="A142" s="9" t="str">
        <f t="shared" si="163"/>
        <v>PROREP (S)</v>
      </c>
      <c r="B142" s="9" t="str">
        <f>IF(ISBLANK(A140),"",LEFT(B141,27)&amp;VALUE(RIGHT(B141,1)+1))</f>
        <v>JKS240702PROREP_35C_sample_3</v>
      </c>
      <c r="C142" s="6" t="str">
        <f t="shared" ref="C142:D142" si="164">C141</f>
        <v>Protea repens</v>
      </c>
      <c r="D142" s="6" t="str">
        <f t="shared" si="164"/>
        <v>35C</v>
      </c>
      <c r="E142" s="10">
        <f>IF(ISBLANK(A140),"",E141+1)</f>
        <v>3</v>
      </c>
      <c r="F142" s="11">
        <f t="shared" si="165"/>
        <v>45477.82778</v>
      </c>
      <c r="G142" s="8">
        <v>15.97</v>
      </c>
    </row>
    <row r="143">
      <c r="A143" s="9" t="str">
        <f t="shared" si="163"/>
        <v>PROREP (S)</v>
      </c>
      <c r="B143" s="9" t="str">
        <f>IF(ISBLANK(A140),"",LEFT(B142,27)&amp;VALUE(RIGHT(B142,1)+1))</f>
        <v>JKS240702PROREP_35C_sample_4</v>
      </c>
      <c r="C143" s="6" t="str">
        <f t="shared" ref="C143:D143" si="166">C142</f>
        <v>Protea repens</v>
      </c>
      <c r="D143" s="6" t="str">
        <f t="shared" si="166"/>
        <v>35C</v>
      </c>
      <c r="E143" s="10">
        <f>IF(ISBLANK(A140),"",E142+1)</f>
        <v>4</v>
      </c>
      <c r="F143" s="11">
        <f t="shared" si="165"/>
        <v>45477.82778</v>
      </c>
      <c r="G143" s="8">
        <v>3.765</v>
      </c>
    </row>
    <row r="144">
      <c r="A144" s="9" t="str">
        <f t="shared" si="163"/>
        <v>PROREP (S)</v>
      </c>
      <c r="B144" s="9" t="str">
        <f>IF(ISBLANK(A140),"",LEFT(B143,27)&amp;VALUE(RIGHT(B143,1)+1))</f>
        <v>JKS240702PROREP_35C_sample_5</v>
      </c>
      <c r="C144" s="6" t="str">
        <f t="shared" ref="C144:D144" si="167">C143</f>
        <v>Protea repens</v>
      </c>
      <c r="D144" s="6" t="str">
        <f t="shared" si="167"/>
        <v>35C</v>
      </c>
      <c r="E144" s="10">
        <f>IF(ISBLANK(A140),"",E143+1)</f>
        <v>5</v>
      </c>
      <c r="F144" s="11">
        <f t="shared" si="165"/>
        <v>45477.82778</v>
      </c>
      <c r="G144" s="8">
        <v>4.988</v>
      </c>
    </row>
    <row r="145">
      <c r="A145" s="12" t="str">
        <f t="shared" si="163"/>
        <v>PROREP (S)</v>
      </c>
      <c r="B145" s="12" t="str">
        <f>IF(ISBLANK(A140),"",LEFT(B144,27)&amp;VALUE(RIGHT(B144,1)+1))</f>
        <v>JKS240702PROREP_35C_sample_6</v>
      </c>
      <c r="C145" s="13" t="str">
        <f t="shared" ref="C145:D145" si="168">C144</f>
        <v>Protea repens</v>
      </c>
      <c r="D145" s="13" t="str">
        <f t="shared" si="168"/>
        <v>35C</v>
      </c>
      <c r="E145" s="14">
        <f>IF(ISBLANK(A140),"",E144+1)</f>
        <v>6</v>
      </c>
      <c r="F145" s="15">
        <f t="shared" si="165"/>
        <v>45477.82778</v>
      </c>
      <c r="G145" s="16">
        <v>7.235</v>
      </c>
    </row>
    <row r="146">
      <c r="A146" s="5" t="s">
        <v>10</v>
      </c>
      <c r="B146" s="6" t="str">
        <f t="array" ref="B146">IF(ISBLANK(A146),"",IF(A146="PROREP (L)",VLOOKUP(LEFT($A146,6),'Data Feed (35C)'!$A$1:$G$10,2,FALSE),IF(A146="PROREP (S)", INDEX('Data Feed (35C)'!B:B, MATCH(LEFT($A146,6), 'Data Feed (35C)'!$A$1:$A$10, 0) + 1), VLOOKUP($A146,'Data Feed (35C)'!$A$1:$G$10,2,FALSE))))</f>
        <v>JKS240702CANCON_35C_sample_1</v>
      </c>
      <c r="C146" s="6" t="str">
        <f t="array" ref="C146">IF(ISBLANK(A146),"",IF(A146="PROREP (L)",VLOOKUP(LEFT($A146,6),'Data Feed (35C)'!$A$1:$G$10,3,FALSE),IF(A146="PROREP (S)", INDEX('Data Feed (35C)'!C:C, MATCH(LEFT($A146,6), 'Data Feed (35C)'!$A$1:$A$10, 0) + 1, +1), VLOOKUP($A146,'Data Feed (35C)'!$A$1:$G$10,3,FALSE))))</f>
        <v>Cannomois congesta</v>
      </c>
      <c r="D146" s="6" t="str">
        <f t="array" ref="D146">IF(ISBLANK(A146),"",IF(A146="PROREP (L)",VLOOKUP(LEFT($A146,6),'Data Feed (35C)'!$A$1:$G$10,4,FALSE),IF(A146="PROREP (S)", INDEX('Data Feed (35C)'!D:D, MATCH(LEFT($A146,6), 'Data Feed (35C)'!$A$1:$A$10, 0) + 1, +1), VLOOKUP($A146,'Data Feed (35C)'!$A$1:$G$10,4,FALSE))))</f>
        <v>35C</v>
      </c>
      <c r="E146" s="6">
        <f t="array" ref="E146">IF(ISBLANK(A146),"",IF(A146="PROREP (L)",VLOOKUP(LEFT($A146,6),'Data Feed (35C)'!$A$1:$G$10,7,FALSE),IF(A146="PROREP (S)", INDEX('Data Feed (35C)'!G:G, MATCH(LEFT($A146,6), 'Data Feed (35C)'!$A$1:$A$10, 0) + 1, +1), VLOOKUP($A146,'Data Feed (35C)'!$A$1:$G$10,7,FALSE))))</f>
        <v>1</v>
      </c>
      <c r="F146" s="7">
        <v>45477.82916666667</v>
      </c>
      <c r="G146" s="8">
        <v>0.585</v>
      </c>
    </row>
    <row r="147">
      <c r="A147" s="9" t="str">
        <f t="shared" ref="A147:A151" si="170">A146</f>
        <v>CANCON</v>
      </c>
      <c r="B147" s="9" t="str">
        <f>IF(ISBLANK(A146),"",LEFT(B146,27)&amp;VALUE(RIGHT(B146,1)+1))</f>
        <v>JKS240702CANCON_35C_sample_2</v>
      </c>
      <c r="C147" s="6" t="str">
        <f t="shared" ref="C147:D147" si="169">C146</f>
        <v>Cannomois congesta</v>
      </c>
      <c r="D147" s="6" t="str">
        <f t="shared" si="169"/>
        <v>35C</v>
      </c>
      <c r="E147" s="10">
        <f>IF(ISBLANK(A146),"",E146+1)</f>
        <v>2</v>
      </c>
      <c r="F147" s="11">
        <f t="shared" ref="F147:F151" si="172">F146</f>
        <v>45477.82917</v>
      </c>
      <c r="G147" s="8">
        <v>2.453</v>
      </c>
    </row>
    <row r="148">
      <c r="A148" s="9" t="str">
        <f t="shared" si="170"/>
        <v>CANCON</v>
      </c>
      <c r="B148" s="9" t="str">
        <f>IF(ISBLANK(A146),"",LEFT(B147,27)&amp;VALUE(RIGHT(B147,1)+1))</f>
        <v>JKS240702CANCON_35C_sample_3</v>
      </c>
      <c r="C148" s="6" t="str">
        <f t="shared" ref="C148:D148" si="171">C147</f>
        <v>Cannomois congesta</v>
      </c>
      <c r="D148" s="6" t="str">
        <f t="shared" si="171"/>
        <v>35C</v>
      </c>
      <c r="E148" s="10">
        <f>IF(ISBLANK(A146),"",E147+1)</f>
        <v>3</v>
      </c>
      <c r="F148" s="11">
        <f t="shared" si="172"/>
        <v>45477.82917</v>
      </c>
      <c r="G148" s="8">
        <v>1.084</v>
      </c>
    </row>
    <row r="149">
      <c r="A149" s="9" t="str">
        <f t="shared" si="170"/>
        <v>CANCON</v>
      </c>
      <c r="B149" s="9" t="str">
        <f>IF(ISBLANK(A146),"",LEFT(B148,27)&amp;VALUE(RIGHT(B148,1)+1))</f>
        <v>JKS240702CANCON_35C_sample_4</v>
      </c>
      <c r="C149" s="6" t="str">
        <f t="shared" ref="C149:D149" si="173">C148</f>
        <v>Cannomois congesta</v>
      </c>
      <c r="D149" s="6" t="str">
        <f t="shared" si="173"/>
        <v>35C</v>
      </c>
      <c r="E149" s="10">
        <f>IF(ISBLANK(A146),"",E148+1)</f>
        <v>4</v>
      </c>
      <c r="F149" s="11">
        <f t="shared" si="172"/>
        <v>45477.82917</v>
      </c>
      <c r="G149" s="8">
        <v>1.231</v>
      </c>
    </row>
    <row r="150">
      <c r="A150" s="9" t="str">
        <f t="shared" si="170"/>
        <v>CANCON</v>
      </c>
      <c r="B150" s="9" t="str">
        <f>IF(ISBLANK(A146),"",LEFT(B149,27)&amp;VALUE(RIGHT(B149,1)+1))</f>
        <v>JKS240702CANCON_35C_sample_5</v>
      </c>
      <c r="C150" s="6" t="str">
        <f t="shared" ref="C150:D150" si="174">C149</f>
        <v>Cannomois congesta</v>
      </c>
      <c r="D150" s="6" t="str">
        <f t="shared" si="174"/>
        <v>35C</v>
      </c>
      <c r="E150" s="10">
        <f>IF(ISBLANK(A146),"",E149+1)</f>
        <v>5</v>
      </c>
      <c r="F150" s="11">
        <f t="shared" si="172"/>
        <v>45477.82917</v>
      </c>
      <c r="G150" s="8">
        <v>1.652</v>
      </c>
    </row>
    <row r="151">
      <c r="A151" s="12" t="str">
        <f t="shared" si="170"/>
        <v>CANCON</v>
      </c>
      <c r="B151" s="12" t="str">
        <f>IF(ISBLANK(A146),"",LEFT(B150,27)&amp;VALUE(RIGHT(B150,1)+1))</f>
        <v>JKS240702CANCON_35C_sample_6</v>
      </c>
      <c r="C151" s="13" t="str">
        <f t="shared" ref="C151:D151" si="175">C150</f>
        <v>Cannomois congesta</v>
      </c>
      <c r="D151" s="13" t="str">
        <f t="shared" si="175"/>
        <v>35C</v>
      </c>
      <c r="E151" s="14">
        <f>IF(ISBLANK(A146),"",E150+1)</f>
        <v>6</v>
      </c>
      <c r="F151" s="15">
        <f t="shared" si="172"/>
        <v>45477.82917</v>
      </c>
      <c r="G151" s="16">
        <v>1.85</v>
      </c>
    </row>
    <row r="152">
      <c r="A152" s="5" t="s">
        <v>7</v>
      </c>
      <c r="B152" s="6" t="str">
        <f t="array" ref="B152">IF(ISBLANK(A152),"",IF(A152="PROREP (L)",VLOOKUP(LEFT($A152,6),'Data Feed (35C)'!$A$1:$G$10,2,FALSE),IF(A152="PROREP (S)", INDEX('Data Feed (35C)'!B:B, MATCH(LEFT($A152,6), 'Data Feed (35C)'!$A$1:$A$10, 0) + 1), VLOOKUP($A152,'Data Feed (35C)'!$A$1:$G$10,2,FALSE))))</f>
        <v>JKS240702ERIMON_35C_sample_1</v>
      </c>
      <c r="C152" s="6" t="str">
        <f t="array" ref="C152">IF(ISBLANK(A152),"",IF(A152="PROREP (L)",VLOOKUP(LEFT($A152,6),'Data Feed (35C)'!$A$1:$G$10,3,FALSE),IF(A152="PROREP (S)", INDEX('Data Feed (35C)'!C:C, MATCH(LEFT($A152,6), 'Data Feed (35C)'!$A$1:$A$10, 0) + 1, +1), VLOOKUP($A152,'Data Feed (35C)'!$A$1:$G$10,3,FALSE))))</f>
        <v>Erica monsoniana</v>
      </c>
      <c r="D152" s="6" t="str">
        <f t="array" ref="D152">IF(ISBLANK(A152),"",IF(A152="PROREP (L)",VLOOKUP(LEFT($A152,6),'Data Feed (35C)'!$A$1:$G$10,4,FALSE),IF(A152="PROREP (S)", INDEX('Data Feed (35C)'!D:D, MATCH(LEFT($A152,6), 'Data Feed (35C)'!$A$1:$A$10, 0) + 1, +1), VLOOKUP($A152,'Data Feed (35C)'!$A$1:$G$10,4,FALSE))))</f>
        <v>35C</v>
      </c>
      <c r="E152" s="6">
        <f t="array" ref="E152">IF(ISBLANK(A152),"",IF(A152="PROREP (L)",VLOOKUP(LEFT($A152,6),'Data Feed (35C)'!$A$1:$G$10,7,FALSE),IF(A152="PROREP (S)", INDEX('Data Feed (35C)'!G:G, MATCH(LEFT($A152,6), 'Data Feed (35C)'!$A$1:$A$10, 0) + 1, +1), VLOOKUP($A152,'Data Feed (35C)'!$A$1:$G$10,7,FALSE))))</f>
        <v>1</v>
      </c>
      <c r="F152" s="7">
        <v>45477.87291666667</v>
      </c>
      <c r="G152" s="8">
        <v>2.445</v>
      </c>
    </row>
    <row r="153">
      <c r="A153" s="9" t="str">
        <f t="shared" ref="A153:A157" si="177">A152</f>
        <v>ERIMON</v>
      </c>
      <c r="B153" s="9" t="str">
        <f>IF(ISBLANK(A152),"",LEFT(B152,27)&amp;VALUE(RIGHT(B152,1)+1))</f>
        <v>JKS240702ERIMON_35C_sample_2</v>
      </c>
      <c r="C153" s="6" t="str">
        <f t="shared" ref="C153:D153" si="176">C152</f>
        <v>Erica monsoniana</v>
      </c>
      <c r="D153" s="6" t="str">
        <f t="shared" si="176"/>
        <v>35C</v>
      </c>
      <c r="E153" s="10">
        <f>IF(ISBLANK(A152),"",E152+1)</f>
        <v>2</v>
      </c>
      <c r="F153" s="11">
        <f t="shared" ref="F153:F157" si="179">F152</f>
        <v>45477.87292</v>
      </c>
      <c r="G153" s="8">
        <v>1.497</v>
      </c>
    </row>
    <row r="154">
      <c r="A154" s="9" t="str">
        <f t="shared" si="177"/>
        <v>ERIMON</v>
      </c>
      <c r="B154" s="9" t="str">
        <f>IF(ISBLANK(A152),"",LEFT(B153,27)&amp;VALUE(RIGHT(B153,1)+1))</f>
        <v>JKS240702ERIMON_35C_sample_3</v>
      </c>
      <c r="C154" s="6" t="str">
        <f t="shared" ref="C154:D154" si="178">C153</f>
        <v>Erica monsoniana</v>
      </c>
      <c r="D154" s="6" t="str">
        <f t="shared" si="178"/>
        <v>35C</v>
      </c>
      <c r="E154" s="10">
        <f>IF(ISBLANK(A152),"",E153+1)</f>
        <v>3</v>
      </c>
      <c r="F154" s="11">
        <f t="shared" si="179"/>
        <v>45477.87292</v>
      </c>
      <c r="G154" s="8">
        <v>0.507</v>
      </c>
    </row>
    <row r="155">
      <c r="A155" s="9" t="str">
        <f t="shared" si="177"/>
        <v>ERIMON</v>
      </c>
      <c r="B155" s="9" t="str">
        <f>IF(ISBLANK(A152),"",LEFT(B154,27)&amp;VALUE(RIGHT(B154,1)+1))</f>
        <v>JKS240702ERIMON_35C_sample_4</v>
      </c>
      <c r="C155" s="6" t="str">
        <f t="shared" ref="C155:D155" si="180">C154</f>
        <v>Erica monsoniana</v>
      </c>
      <c r="D155" s="6" t="str">
        <f t="shared" si="180"/>
        <v>35C</v>
      </c>
      <c r="E155" s="10">
        <f>IF(ISBLANK(A152),"",E154+1)</f>
        <v>4</v>
      </c>
      <c r="F155" s="11">
        <f t="shared" si="179"/>
        <v>45477.87292</v>
      </c>
      <c r="G155" s="8">
        <v>0.753</v>
      </c>
    </row>
    <row r="156">
      <c r="A156" s="9" t="str">
        <f t="shared" si="177"/>
        <v>ERIMON</v>
      </c>
      <c r="B156" s="9" t="str">
        <f>IF(ISBLANK(A152),"",LEFT(B155,27)&amp;VALUE(RIGHT(B155,1)+1))</f>
        <v>JKS240702ERIMON_35C_sample_5</v>
      </c>
      <c r="C156" s="6" t="str">
        <f t="shared" ref="C156:D156" si="181">C155</f>
        <v>Erica monsoniana</v>
      </c>
      <c r="D156" s="6" t="str">
        <f t="shared" si="181"/>
        <v>35C</v>
      </c>
      <c r="E156" s="10">
        <f>IF(ISBLANK(A152),"",E155+1)</f>
        <v>5</v>
      </c>
      <c r="F156" s="11">
        <f t="shared" si="179"/>
        <v>45477.87292</v>
      </c>
      <c r="G156" s="8">
        <v>2.175</v>
      </c>
    </row>
    <row r="157">
      <c r="A157" s="12" t="str">
        <f t="shared" si="177"/>
        <v>ERIMON</v>
      </c>
      <c r="B157" s="12" t="str">
        <f>IF(ISBLANK(A152),"",LEFT(B156,27)&amp;VALUE(RIGHT(B156,1)+1))</f>
        <v>JKS240702ERIMON_35C_sample_6</v>
      </c>
      <c r="C157" s="13" t="str">
        <f t="shared" ref="C157:D157" si="182">C156</f>
        <v>Erica monsoniana</v>
      </c>
      <c r="D157" s="13" t="str">
        <f t="shared" si="182"/>
        <v>35C</v>
      </c>
      <c r="E157" s="14">
        <f>IF(ISBLANK(A152),"",E156+1)</f>
        <v>6</v>
      </c>
      <c r="F157" s="15">
        <f t="shared" si="179"/>
        <v>45477.87292</v>
      </c>
      <c r="G157" s="16">
        <v>0.704</v>
      </c>
    </row>
    <row r="158">
      <c r="A158" s="5" t="s">
        <v>8</v>
      </c>
      <c r="B158" s="6" t="str">
        <f t="array" ref="B158">IF(ISBLANK(A158),"",IF(A158="PROREP (L)",VLOOKUP(LEFT($A158,6),'Data Feed (35C)'!$A$1:$G$10,2,FALSE),IF(A158="PROREP (S)", INDEX('Data Feed (35C)'!B:B, MATCH(LEFT($A158,6), 'Data Feed (35C)'!$A$1:$A$10, 0) + 1), VLOOKUP($A158,'Data Feed (35C)'!$A$1:$G$10,2,FALSE))))</f>
        <v>JKL240702PROREP_35C_sample_1</v>
      </c>
      <c r="C158" s="6" t="str">
        <f t="array" ref="C158">IF(ISBLANK(A158),"",IF(A158="PROREP (L)",VLOOKUP(LEFT($A158,6),'Data Feed (35C)'!$A$1:$G$10,3,FALSE),IF(A158="PROREP (S)", INDEX('Data Feed (35C)'!C:C, MATCH(LEFT($A158,6), 'Data Feed (35C)'!$A$1:$A$10, 0) + 1, +1), VLOOKUP($A158,'Data Feed (35C)'!$A$1:$G$10,3,FALSE))))</f>
        <v>Protea repens</v>
      </c>
      <c r="D158" s="6" t="str">
        <f t="array" ref="D158">IF(ISBLANK(A158),"",IF(A158="PROREP (L)",VLOOKUP(LEFT($A158,6),'Data Feed (35C)'!$A$1:$G$10,4,FALSE),IF(A158="PROREP (S)", INDEX('Data Feed (35C)'!D:D, MATCH(LEFT($A158,6), 'Data Feed (35C)'!$A$1:$A$10, 0) + 1, +1), VLOOKUP($A158,'Data Feed (35C)'!$A$1:$G$10,4,FALSE))))</f>
        <v>35C</v>
      </c>
      <c r="E158" s="6">
        <f t="array" ref="E158">IF(ISBLANK(A158),"",IF(A158="PROREP (L)",VLOOKUP(LEFT($A158,6),'Data Feed (35C)'!$A$1:$G$10,7,FALSE),IF(A158="PROREP (S)", INDEX('Data Feed (35C)'!G:G, MATCH(LEFT($A158,6), 'Data Feed (35C)'!$A$1:$A$10, 0) + 1, +1), VLOOKUP($A158,'Data Feed (35C)'!$A$1:$G$10,7,FALSE))))</f>
        <v>1</v>
      </c>
      <c r="F158" s="7">
        <v>45477.87430555555</v>
      </c>
      <c r="G158" s="8">
        <v>0.47</v>
      </c>
    </row>
    <row r="159">
      <c r="A159" s="9" t="str">
        <f t="shared" ref="A159:A163" si="184">A158</f>
        <v>PROREP (L)</v>
      </c>
      <c r="B159" s="9" t="str">
        <f>IF(ISBLANK(A158),"",LEFT(B158,27)&amp;VALUE(RIGHT(B158,1)+1))</f>
        <v>JKL240702PROREP_35C_sample_2</v>
      </c>
      <c r="C159" s="6" t="str">
        <f t="shared" ref="C159:D159" si="183">C158</f>
        <v>Protea repens</v>
      </c>
      <c r="D159" s="6" t="str">
        <f t="shared" si="183"/>
        <v>35C</v>
      </c>
      <c r="E159" s="10">
        <f>IF(ISBLANK(A158),"",E158+1)</f>
        <v>2</v>
      </c>
      <c r="F159" s="11">
        <f t="shared" ref="F159:F163" si="186">F158</f>
        <v>45477.87431</v>
      </c>
      <c r="G159" s="8">
        <v>0.535</v>
      </c>
    </row>
    <row r="160">
      <c r="A160" s="9" t="str">
        <f t="shared" si="184"/>
        <v>PROREP (L)</v>
      </c>
      <c r="B160" s="9" t="str">
        <f>IF(ISBLANK(A158),"",LEFT(B159,27)&amp;VALUE(RIGHT(B159,1)+1))</f>
        <v>JKL240702PROREP_35C_sample_3</v>
      </c>
      <c r="C160" s="6" t="str">
        <f t="shared" ref="C160:D160" si="185">C159</f>
        <v>Protea repens</v>
      </c>
      <c r="D160" s="6" t="str">
        <f t="shared" si="185"/>
        <v>35C</v>
      </c>
      <c r="E160" s="10">
        <f>IF(ISBLANK(A158),"",E159+1)</f>
        <v>3</v>
      </c>
      <c r="F160" s="11">
        <f t="shared" si="186"/>
        <v>45477.87431</v>
      </c>
      <c r="G160" s="8">
        <v>0.623</v>
      </c>
    </row>
    <row r="161">
      <c r="A161" s="9" t="str">
        <f t="shared" si="184"/>
        <v>PROREP (L)</v>
      </c>
      <c r="B161" s="9" t="str">
        <f>IF(ISBLANK(A158),"",LEFT(B160,27)&amp;VALUE(RIGHT(B160,1)+1))</f>
        <v>JKL240702PROREP_35C_sample_4</v>
      </c>
      <c r="C161" s="6" t="str">
        <f t="shared" ref="C161:D161" si="187">C160</f>
        <v>Protea repens</v>
      </c>
      <c r="D161" s="6" t="str">
        <f t="shared" si="187"/>
        <v>35C</v>
      </c>
      <c r="E161" s="10">
        <f>IF(ISBLANK(A158),"",E160+1)</f>
        <v>4</v>
      </c>
      <c r="F161" s="11">
        <f t="shared" si="186"/>
        <v>45477.87431</v>
      </c>
      <c r="G161" s="8">
        <v>0.431</v>
      </c>
    </row>
    <row r="162">
      <c r="A162" s="9" t="str">
        <f t="shared" si="184"/>
        <v>PROREP (L)</v>
      </c>
      <c r="B162" s="9" t="str">
        <f>IF(ISBLANK(A158),"",LEFT(B161,27)&amp;VALUE(RIGHT(B161,1)+1))</f>
        <v>JKL240702PROREP_35C_sample_5</v>
      </c>
      <c r="C162" s="6" t="str">
        <f t="shared" ref="C162:D162" si="188">C161</f>
        <v>Protea repens</v>
      </c>
      <c r="D162" s="6" t="str">
        <f t="shared" si="188"/>
        <v>35C</v>
      </c>
      <c r="E162" s="10">
        <f>IF(ISBLANK(A158),"",E161+1)</f>
        <v>5</v>
      </c>
      <c r="F162" s="11">
        <f t="shared" si="186"/>
        <v>45477.87431</v>
      </c>
      <c r="G162" s="8">
        <v>0.385</v>
      </c>
    </row>
    <row r="163">
      <c r="A163" s="12" t="str">
        <f t="shared" si="184"/>
        <v>PROREP (L)</v>
      </c>
      <c r="B163" s="12" t="str">
        <f>IF(ISBLANK(A158),"",LEFT(B162,27)&amp;VALUE(RIGHT(B162,1)+1))</f>
        <v>JKL240702PROREP_35C_sample_6</v>
      </c>
      <c r="C163" s="13" t="str">
        <f t="shared" ref="C163:D163" si="189">C162</f>
        <v>Protea repens</v>
      </c>
      <c r="D163" s="13" t="str">
        <f t="shared" si="189"/>
        <v>35C</v>
      </c>
      <c r="E163" s="14">
        <f>IF(ISBLANK(A158),"",E162+1)</f>
        <v>6</v>
      </c>
      <c r="F163" s="15">
        <f t="shared" si="186"/>
        <v>45477.87431</v>
      </c>
      <c r="G163" s="16">
        <v>0.337</v>
      </c>
    </row>
    <row r="164">
      <c r="A164" s="5" t="s">
        <v>9</v>
      </c>
      <c r="B164" s="6" t="str">
        <f t="array" ref="B164">IF(ISBLANK(A164),"",IF(A164="PROREP (L)",VLOOKUP(LEFT($A164,6),'Data Feed (35C)'!$A$1:$G$10,2,FALSE),IF(A164="PROREP (S)", INDEX('Data Feed (35C)'!B:B, MATCH(LEFT($A164,6), 'Data Feed (35C)'!$A$1:$A$10, 0) + 1), VLOOKUP($A164,'Data Feed (35C)'!$A$1:$G$10,2,FALSE))))</f>
        <v>JKS240702PROREP_35C_sample_1</v>
      </c>
      <c r="C164" s="6" t="str">
        <f t="array" ref="C164">IF(ISBLANK(A164),"",IF(A164="PROREP (L)",VLOOKUP(LEFT($A164,6),'Data Feed (35C)'!$A$1:$G$10,3,FALSE),IF(A164="PROREP (S)", INDEX('Data Feed (35C)'!C:C, MATCH(LEFT($A164,6), 'Data Feed (35C)'!$A$1:$A$10, 0) + 1, +1), VLOOKUP($A164,'Data Feed (35C)'!$A$1:$G$10,3,FALSE))))</f>
        <v>Protea repens</v>
      </c>
      <c r="D164" s="6" t="str">
        <f t="array" ref="D164">IF(ISBLANK(A164),"",IF(A164="PROREP (L)",VLOOKUP(LEFT($A164,6),'Data Feed (35C)'!$A$1:$G$10,4,FALSE),IF(A164="PROREP (S)", INDEX('Data Feed (35C)'!D:D, MATCH(LEFT($A164,6), 'Data Feed (35C)'!$A$1:$A$10, 0) + 1, +1), VLOOKUP($A164,'Data Feed (35C)'!$A$1:$G$10,4,FALSE))))</f>
        <v>35C</v>
      </c>
      <c r="E164" s="6">
        <f t="array" ref="E164">IF(ISBLANK(A164),"",IF(A164="PROREP (L)",VLOOKUP(LEFT($A164,6),'Data Feed (35C)'!$A$1:$G$10,7,FALSE),IF(A164="PROREP (S)", INDEX('Data Feed (35C)'!G:G, MATCH(LEFT($A164,6), 'Data Feed (35C)'!$A$1:$A$10, 0) + 1, +1), VLOOKUP($A164,'Data Feed (35C)'!$A$1:$G$10,7,FALSE))))</f>
        <v>1</v>
      </c>
      <c r="F164" s="7">
        <v>45477.87569444445</v>
      </c>
      <c r="G164" s="8">
        <v>9.387</v>
      </c>
    </row>
    <row r="165">
      <c r="A165" s="9" t="str">
        <f t="shared" ref="A165:A169" si="191">A164</f>
        <v>PROREP (S)</v>
      </c>
      <c r="B165" s="9" t="str">
        <f>IF(ISBLANK(A164),"",LEFT(B164,27)&amp;VALUE(RIGHT(B164,1)+1))</f>
        <v>JKS240702PROREP_35C_sample_2</v>
      </c>
      <c r="C165" s="6" t="str">
        <f t="shared" ref="C165:D165" si="190">C164</f>
        <v>Protea repens</v>
      </c>
      <c r="D165" s="6" t="str">
        <f t="shared" si="190"/>
        <v>35C</v>
      </c>
      <c r="E165" s="10">
        <f>IF(ISBLANK(A164),"",E164+1)</f>
        <v>2</v>
      </c>
      <c r="F165" s="11">
        <f t="shared" ref="F165:F169" si="193">F164</f>
        <v>45477.87569</v>
      </c>
      <c r="G165" s="8">
        <v>17.685</v>
      </c>
    </row>
    <row r="166">
      <c r="A166" s="9" t="str">
        <f t="shared" si="191"/>
        <v>PROREP (S)</v>
      </c>
      <c r="B166" s="9" t="str">
        <f>IF(ISBLANK(A164),"",LEFT(B165,27)&amp;VALUE(RIGHT(B165,1)+1))</f>
        <v>JKS240702PROREP_35C_sample_3</v>
      </c>
      <c r="C166" s="6" t="str">
        <f t="shared" ref="C166:D166" si="192">C165</f>
        <v>Protea repens</v>
      </c>
      <c r="D166" s="6" t="str">
        <f t="shared" si="192"/>
        <v>35C</v>
      </c>
      <c r="E166" s="10">
        <f>IF(ISBLANK(A164),"",E165+1)</f>
        <v>3</v>
      </c>
      <c r="F166" s="11">
        <f t="shared" si="193"/>
        <v>45477.87569</v>
      </c>
      <c r="G166" s="8">
        <v>14.886</v>
      </c>
    </row>
    <row r="167">
      <c r="A167" s="9" t="str">
        <f t="shared" si="191"/>
        <v>PROREP (S)</v>
      </c>
      <c r="B167" s="9" t="str">
        <f>IF(ISBLANK(A164),"",LEFT(B166,27)&amp;VALUE(RIGHT(B166,1)+1))</f>
        <v>JKS240702PROREP_35C_sample_4</v>
      </c>
      <c r="C167" s="6" t="str">
        <f t="shared" ref="C167:D167" si="194">C166</f>
        <v>Protea repens</v>
      </c>
      <c r="D167" s="6" t="str">
        <f t="shared" si="194"/>
        <v>35C</v>
      </c>
      <c r="E167" s="10">
        <f>IF(ISBLANK(A164),"",E166+1)</f>
        <v>4</v>
      </c>
      <c r="F167" s="11">
        <f t="shared" si="193"/>
        <v>45477.87569</v>
      </c>
      <c r="G167" s="8">
        <v>3.692</v>
      </c>
    </row>
    <row r="168">
      <c r="A168" s="9" t="str">
        <f t="shared" si="191"/>
        <v>PROREP (S)</v>
      </c>
      <c r="B168" s="9" t="str">
        <f>IF(ISBLANK(A164),"",LEFT(B167,27)&amp;VALUE(RIGHT(B167,1)+1))</f>
        <v>JKS240702PROREP_35C_sample_5</v>
      </c>
      <c r="C168" s="6" t="str">
        <f t="shared" ref="C168:D168" si="195">C167</f>
        <v>Protea repens</v>
      </c>
      <c r="D168" s="6" t="str">
        <f t="shared" si="195"/>
        <v>35C</v>
      </c>
      <c r="E168" s="10">
        <f>IF(ISBLANK(A164),"",E167+1)</f>
        <v>5</v>
      </c>
      <c r="F168" s="11">
        <f t="shared" si="193"/>
        <v>45477.87569</v>
      </c>
      <c r="G168" s="8">
        <v>4.856</v>
      </c>
    </row>
    <row r="169">
      <c r="A169" s="12" t="str">
        <f t="shared" si="191"/>
        <v>PROREP (S)</v>
      </c>
      <c r="B169" s="12" t="str">
        <f>IF(ISBLANK(A164),"",LEFT(B168,27)&amp;VALUE(RIGHT(B168,1)+1))</f>
        <v>JKS240702PROREP_35C_sample_6</v>
      </c>
      <c r="C169" s="13" t="str">
        <f t="shared" ref="C169:D169" si="196">C168</f>
        <v>Protea repens</v>
      </c>
      <c r="D169" s="13" t="str">
        <f t="shared" si="196"/>
        <v>35C</v>
      </c>
      <c r="E169" s="14">
        <f>IF(ISBLANK(A164),"",E168+1)</f>
        <v>6</v>
      </c>
      <c r="F169" s="15">
        <f t="shared" si="193"/>
        <v>45477.87569</v>
      </c>
      <c r="G169" s="16">
        <v>7.125</v>
      </c>
    </row>
    <row r="170">
      <c r="A170" s="5" t="s">
        <v>10</v>
      </c>
      <c r="B170" s="6" t="str">
        <f t="array" ref="B170">IF(ISBLANK(A170),"",IF(A170="PROREP (L)",VLOOKUP(LEFT($A170,6),'Data Feed (35C)'!$A$1:$G$10,2,FALSE),IF(A170="PROREP (S)", INDEX('Data Feed (35C)'!B:B, MATCH(LEFT($A170,6), 'Data Feed (35C)'!$A$1:$A$10, 0) + 1), VLOOKUP($A170,'Data Feed (35C)'!$A$1:$G$10,2,FALSE))))</f>
        <v>JKS240702CANCON_35C_sample_1</v>
      </c>
      <c r="C170" s="6" t="str">
        <f t="array" ref="C170">IF(ISBLANK(A170),"",IF(A170="PROREP (L)",VLOOKUP(LEFT($A170,6),'Data Feed (35C)'!$A$1:$G$10,3,FALSE),IF(A170="PROREP (S)", INDEX('Data Feed (35C)'!C:C, MATCH(LEFT($A170,6), 'Data Feed (35C)'!$A$1:$A$10, 0) + 1, +1), VLOOKUP($A170,'Data Feed (35C)'!$A$1:$G$10,3,FALSE))))</f>
        <v>Cannomois congesta</v>
      </c>
      <c r="D170" s="6" t="str">
        <f t="array" ref="D170">IF(ISBLANK(A170),"",IF(A170="PROREP (L)",VLOOKUP(LEFT($A170,6),'Data Feed (35C)'!$A$1:$G$10,4,FALSE),IF(A170="PROREP (S)", INDEX('Data Feed (35C)'!D:D, MATCH(LEFT($A170,6), 'Data Feed (35C)'!$A$1:$A$10, 0) + 1, +1), VLOOKUP($A170,'Data Feed (35C)'!$A$1:$G$10,4,FALSE))))</f>
        <v>35C</v>
      </c>
      <c r="E170" s="6">
        <f t="array" ref="E170">IF(ISBLANK(A170),"",IF(A170="PROREP (L)",VLOOKUP(LEFT($A170,6),'Data Feed (35C)'!$A$1:$G$10,7,FALSE),IF(A170="PROREP (S)", INDEX('Data Feed (35C)'!G:G, MATCH(LEFT($A170,6), 'Data Feed (35C)'!$A$1:$A$10, 0) + 1, +1), VLOOKUP($A170,'Data Feed (35C)'!$A$1:$G$10,7,FALSE))))</f>
        <v>1</v>
      </c>
      <c r="F170" s="7">
        <v>45477.87708333333</v>
      </c>
      <c r="G170" s="8">
        <v>0.573</v>
      </c>
    </row>
    <row r="171">
      <c r="A171" s="9" t="str">
        <f t="shared" ref="A171:A175" si="198">A170</f>
        <v>CANCON</v>
      </c>
      <c r="B171" s="9" t="str">
        <f>IF(ISBLANK(A170),"",LEFT(B170,27)&amp;VALUE(RIGHT(B170,1)+1))</f>
        <v>JKS240702CANCON_35C_sample_2</v>
      </c>
      <c r="C171" s="6" t="str">
        <f t="shared" ref="C171:D171" si="197">C170</f>
        <v>Cannomois congesta</v>
      </c>
      <c r="D171" s="6" t="str">
        <f t="shared" si="197"/>
        <v>35C</v>
      </c>
      <c r="E171" s="10">
        <f>IF(ISBLANK(A170),"",E170+1)</f>
        <v>2</v>
      </c>
      <c r="F171" s="11">
        <f t="shared" ref="F171:F175" si="200">F170</f>
        <v>45477.87708</v>
      </c>
      <c r="G171" s="8">
        <v>2.416</v>
      </c>
    </row>
    <row r="172">
      <c r="A172" s="9" t="str">
        <f t="shared" si="198"/>
        <v>CANCON</v>
      </c>
      <c r="B172" s="9" t="str">
        <f>IF(ISBLANK(A170),"",LEFT(B171,27)&amp;VALUE(RIGHT(B171,1)+1))</f>
        <v>JKS240702CANCON_35C_sample_3</v>
      </c>
      <c r="C172" s="6" t="str">
        <f t="shared" ref="C172:D172" si="199">C171</f>
        <v>Cannomois congesta</v>
      </c>
      <c r="D172" s="6" t="str">
        <f t="shared" si="199"/>
        <v>35C</v>
      </c>
      <c r="E172" s="10">
        <f>IF(ISBLANK(A170),"",E171+1)</f>
        <v>3</v>
      </c>
      <c r="F172" s="11">
        <f t="shared" si="200"/>
        <v>45477.87708</v>
      </c>
      <c r="G172" s="8">
        <v>1.066</v>
      </c>
    </row>
    <row r="173">
      <c r="A173" s="9" t="str">
        <f t="shared" si="198"/>
        <v>CANCON</v>
      </c>
      <c r="B173" s="9" t="str">
        <f>IF(ISBLANK(A170),"",LEFT(B172,27)&amp;VALUE(RIGHT(B172,1)+1))</f>
        <v>JKS240702CANCON_35C_sample_4</v>
      </c>
      <c r="C173" s="6" t="str">
        <f t="shared" ref="C173:D173" si="201">C172</f>
        <v>Cannomois congesta</v>
      </c>
      <c r="D173" s="6" t="str">
        <f t="shared" si="201"/>
        <v>35C</v>
      </c>
      <c r="E173" s="10">
        <f>IF(ISBLANK(A170),"",E172+1)</f>
        <v>4</v>
      </c>
      <c r="F173" s="11">
        <f t="shared" si="200"/>
        <v>45477.87708</v>
      </c>
      <c r="G173" s="8">
        <v>1.209</v>
      </c>
    </row>
    <row r="174">
      <c r="A174" s="9" t="str">
        <f t="shared" si="198"/>
        <v>CANCON</v>
      </c>
      <c r="B174" s="9" t="str">
        <f>IF(ISBLANK(A170),"",LEFT(B173,27)&amp;VALUE(RIGHT(B173,1)+1))</f>
        <v>JKS240702CANCON_35C_sample_5</v>
      </c>
      <c r="C174" s="6" t="str">
        <f t="shared" ref="C174:D174" si="202">C173</f>
        <v>Cannomois congesta</v>
      </c>
      <c r="D174" s="6" t="str">
        <f t="shared" si="202"/>
        <v>35C</v>
      </c>
      <c r="E174" s="10">
        <f>IF(ISBLANK(A170),"",E173+1)</f>
        <v>5</v>
      </c>
      <c r="F174" s="11">
        <f t="shared" si="200"/>
        <v>45477.87708</v>
      </c>
      <c r="G174" s="8">
        <v>1.606</v>
      </c>
    </row>
    <row r="175">
      <c r="A175" s="12" t="str">
        <f t="shared" si="198"/>
        <v>CANCON</v>
      </c>
      <c r="B175" s="12" t="str">
        <f>IF(ISBLANK(A170),"",LEFT(B174,27)&amp;VALUE(RIGHT(B174,1)+1))</f>
        <v>JKS240702CANCON_35C_sample_6</v>
      </c>
      <c r="C175" s="13" t="str">
        <f t="shared" ref="C175:D175" si="203">C174</f>
        <v>Cannomois congesta</v>
      </c>
      <c r="D175" s="13" t="str">
        <f t="shared" si="203"/>
        <v>35C</v>
      </c>
      <c r="E175" s="14">
        <f>IF(ISBLANK(A170),"",E174+1)</f>
        <v>6</v>
      </c>
      <c r="F175" s="15">
        <f t="shared" si="200"/>
        <v>45477.87708</v>
      </c>
      <c r="G175" s="16">
        <v>1.807</v>
      </c>
    </row>
    <row r="176">
      <c r="A176" s="5" t="s">
        <v>7</v>
      </c>
      <c r="B176" s="6" t="str">
        <f t="array" ref="B176">IF(ISBLANK(A176),"",IF(A176="PROREP (L)",VLOOKUP(LEFT($A176,6),'Data Feed (35C)'!$A$1:$G$10,2,FALSE),IF(A176="PROREP (S)", INDEX('Data Feed (35C)'!B:B, MATCH(LEFT($A176,6), 'Data Feed (35C)'!$A$1:$A$10, 0) + 1), VLOOKUP($A176,'Data Feed (35C)'!$A$1:$G$10,2,FALSE))))</f>
        <v>JKS240702ERIMON_35C_sample_1</v>
      </c>
      <c r="C176" s="6" t="str">
        <f t="array" ref="C176">IF(ISBLANK(A176),"",IF(A176="PROREP (L)",VLOOKUP(LEFT($A176,6),'Data Feed (35C)'!$A$1:$G$10,3,FALSE),IF(A176="PROREP (S)", INDEX('Data Feed (35C)'!C:C, MATCH(LEFT($A176,6), 'Data Feed (35C)'!$A$1:$A$10, 0) + 1, +1), VLOOKUP($A176,'Data Feed (35C)'!$A$1:$G$10,3,FALSE))))</f>
        <v>Erica monsoniana</v>
      </c>
      <c r="D176" s="6" t="str">
        <f t="array" ref="D176">IF(ISBLANK(A176),"",IF(A176="PROREP (L)",VLOOKUP(LEFT($A176,6),'Data Feed (35C)'!$A$1:$G$10,4,FALSE),IF(A176="PROREP (S)", INDEX('Data Feed (35C)'!D:D, MATCH(LEFT($A176,6), 'Data Feed (35C)'!$A$1:$A$10, 0) + 1, +1), VLOOKUP($A176,'Data Feed (35C)'!$A$1:$G$10,4,FALSE))))</f>
        <v>35C</v>
      </c>
      <c r="E176" s="6">
        <f t="array" ref="E176">IF(ISBLANK(A176),"",IF(A176="PROREP (L)",VLOOKUP(LEFT($A176,6),'Data Feed (35C)'!$A$1:$G$10,7,FALSE),IF(A176="PROREP (S)", INDEX('Data Feed (35C)'!G:G, MATCH(LEFT($A176,6), 'Data Feed (35C)'!$A$1:$A$10, 0) + 1, +1), VLOOKUP($A176,'Data Feed (35C)'!$A$1:$G$10,7,FALSE))))</f>
        <v>1</v>
      </c>
      <c r="F176" s="7">
        <v>45477.930555555555</v>
      </c>
      <c r="G176" s="8">
        <v>2.287</v>
      </c>
    </row>
    <row r="177">
      <c r="A177" s="9" t="str">
        <f t="shared" ref="A177:A181" si="205">A176</f>
        <v>ERIMON</v>
      </c>
      <c r="B177" s="9" t="str">
        <f>IF(ISBLANK(A176),"",LEFT(B176,27)&amp;VALUE(RIGHT(B176,1)+1))</f>
        <v>JKS240702ERIMON_35C_sample_2</v>
      </c>
      <c r="C177" s="6" t="str">
        <f t="shared" ref="C177:D177" si="204">C176</f>
        <v>Erica monsoniana</v>
      </c>
      <c r="D177" s="6" t="str">
        <f t="shared" si="204"/>
        <v>35C</v>
      </c>
      <c r="E177" s="10">
        <f>IF(ISBLANK(A176),"",E176+1)</f>
        <v>2</v>
      </c>
      <c r="F177" s="11">
        <f t="shared" ref="F177:F181" si="207">F176</f>
        <v>45477.93056</v>
      </c>
      <c r="G177" s="8">
        <v>1.415</v>
      </c>
    </row>
    <row r="178">
      <c r="A178" s="9" t="str">
        <f t="shared" si="205"/>
        <v>ERIMON</v>
      </c>
      <c r="B178" s="9" t="str">
        <f>IF(ISBLANK(A176),"",LEFT(B177,27)&amp;VALUE(RIGHT(B177,1)+1))</f>
        <v>JKS240702ERIMON_35C_sample_3</v>
      </c>
      <c r="C178" s="6" t="str">
        <f t="shared" ref="C178:D178" si="206">C177</f>
        <v>Erica monsoniana</v>
      </c>
      <c r="D178" s="6" t="str">
        <f t="shared" si="206"/>
        <v>35C</v>
      </c>
      <c r="E178" s="10">
        <f>IF(ISBLANK(A176),"",E177+1)</f>
        <v>3</v>
      </c>
      <c r="F178" s="11">
        <f t="shared" si="207"/>
        <v>45477.93056</v>
      </c>
      <c r="G178" s="8">
        <v>0.479</v>
      </c>
    </row>
    <row r="179">
      <c r="A179" s="9" t="str">
        <f t="shared" si="205"/>
        <v>ERIMON</v>
      </c>
      <c r="B179" s="9" t="str">
        <f>IF(ISBLANK(A176),"",LEFT(B178,27)&amp;VALUE(RIGHT(B178,1)+1))</f>
        <v>JKS240702ERIMON_35C_sample_4</v>
      </c>
      <c r="C179" s="6" t="str">
        <f t="shared" ref="C179:D179" si="208">C178</f>
        <v>Erica monsoniana</v>
      </c>
      <c r="D179" s="6" t="str">
        <f t="shared" si="208"/>
        <v>35C</v>
      </c>
      <c r="E179" s="10">
        <f>IF(ISBLANK(A176),"",E178+1)</f>
        <v>4</v>
      </c>
      <c r="F179" s="11">
        <f t="shared" si="207"/>
        <v>45477.93056</v>
      </c>
      <c r="G179" s="8">
        <v>0.713</v>
      </c>
    </row>
    <row r="180">
      <c r="A180" s="9" t="str">
        <f t="shared" si="205"/>
        <v>ERIMON</v>
      </c>
      <c r="B180" s="9" t="str">
        <f>IF(ISBLANK(A176),"",LEFT(B179,27)&amp;VALUE(RIGHT(B179,1)+1))</f>
        <v>JKS240702ERIMON_35C_sample_5</v>
      </c>
      <c r="C180" s="6" t="str">
        <f t="shared" ref="C180:D180" si="209">C179</f>
        <v>Erica monsoniana</v>
      </c>
      <c r="D180" s="6" t="str">
        <f t="shared" si="209"/>
        <v>35C</v>
      </c>
      <c r="E180" s="10">
        <f>IF(ISBLANK(A176),"",E179+1)</f>
        <v>5</v>
      </c>
      <c r="F180" s="11">
        <f t="shared" si="207"/>
        <v>45477.93056</v>
      </c>
      <c r="G180" s="8">
        <v>2.084</v>
      </c>
    </row>
    <row r="181">
      <c r="A181" s="12" t="str">
        <f t="shared" si="205"/>
        <v>ERIMON</v>
      </c>
      <c r="B181" s="12" t="str">
        <f>IF(ISBLANK(A176),"",LEFT(B180,27)&amp;VALUE(RIGHT(B180,1)+1))</f>
        <v>JKS240702ERIMON_35C_sample_6</v>
      </c>
      <c r="C181" s="13" t="str">
        <f t="shared" ref="C181:D181" si="210">C180</f>
        <v>Erica monsoniana</v>
      </c>
      <c r="D181" s="13" t="str">
        <f t="shared" si="210"/>
        <v>35C</v>
      </c>
      <c r="E181" s="14">
        <f>IF(ISBLANK(A176),"",E180+1)</f>
        <v>6</v>
      </c>
      <c r="F181" s="15">
        <f t="shared" si="207"/>
        <v>45477.93056</v>
      </c>
      <c r="G181" s="16">
        <v>0.692</v>
      </c>
    </row>
    <row r="182">
      <c r="A182" s="5" t="s">
        <v>8</v>
      </c>
      <c r="B182" s="6" t="str">
        <f t="array" ref="B182">IF(ISBLANK(A182),"",IF(A182="PROREP (L)",VLOOKUP(LEFT($A182,6),'Data Feed (35C)'!$A$1:$G$10,2,FALSE),IF(A182="PROREP (S)", INDEX('Data Feed (35C)'!B:B, MATCH(LEFT($A182,6), 'Data Feed (35C)'!$A$1:$A$10, 0) + 1), VLOOKUP($A182,'Data Feed (35C)'!$A$1:$G$10,2,FALSE))))</f>
        <v>JKL240702PROREP_35C_sample_1</v>
      </c>
      <c r="C182" s="6" t="str">
        <f t="array" ref="C182">IF(ISBLANK(A182),"",IF(A182="PROREP (L)",VLOOKUP(LEFT($A182,6),'Data Feed (35C)'!$A$1:$G$10,3,FALSE),IF(A182="PROREP (S)", INDEX('Data Feed (35C)'!C:C, MATCH(LEFT($A182,6), 'Data Feed (35C)'!$A$1:$A$10, 0) + 1, +1), VLOOKUP($A182,'Data Feed (35C)'!$A$1:$G$10,3,FALSE))))</f>
        <v>Protea repens</v>
      </c>
      <c r="D182" s="6" t="str">
        <f t="array" ref="D182">IF(ISBLANK(A182),"",IF(A182="PROREP (L)",VLOOKUP(LEFT($A182,6),'Data Feed (35C)'!$A$1:$G$10,4,FALSE),IF(A182="PROREP (S)", INDEX('Data Feed (35C)'!D:D, MATCH(LEFT($A182,6), 'Data Feed (35C)'!$A$1:$A$10, 0) + 1, +1), VLOOKUP($A182,'Data Feed (35C)'!$A$1:$G$10,4,FALSE))))</f>
        <v>35C</v>
      </c>
      <c r="E182" s="6">
        <f t="array" ref="E182">IF(ISBLANK(A182),"",IF(A182="PROREP (L)",VLOOKUP(LEFT($A182,6),'Data Feed (35C)'!$A$1:$G$10,7,FALSE),IF(A182="PROREP (S)", INDEX('Data Feed (35C)'!G:G, MATCH(LEFT($A182,6), 'Data Feed (35C)'!$A$1:$A$10, 0) + 1, +1), VLOOKUP($A182,'Data Feed (35C)'!$A$1:$G$10,7,FALSE))))</f>
        <v>1</v>
      </c>
      <c r="F182" s="7">
        <v>45477.93125</v>
      </c>
      <c r="G182" s="8">
        <v>0.472</v>
      </c>
    </row>
    <row r="183">
      <c r="A183" s="9" t="str">
        <f t="shared" ref="A183:A187" si="212">A182</f>
        <v>PROREP (L)</v>
      </c>
      <c r="B183" s="9" t="str">
        <f>IF(ISBLANK(A182),"",LEFT(B182,27)&amp;VALUE(RIGHT(B182,1)+1))</f>
        <v>JKL240702PROREP_35C_sample_2</v>
      </c>
      <c r="C183" s="6" t="str">
        <f t="shared" ref="C183:D183" si="211">C182</f>
        <v>Protea repens</v>
      </c>
      <c r="D183" s="6" t="str">
        <f t="shared" si="211"/>
        <v>35C</v>
      </c>
      <c r="E183" s="10">
        <f>IF(ISBLANK(A182),"",E182+1)</f>
        <v>2</v>
      </c>
      <c r="F183" s="11">
        <f t="shared" ref="F183:F187" si="214">F182</f>
        <v>45477.93125</v>
      </c>
      <c r="G183" s="8">
        <v>0.53</v>
      </c>
    </row>
    <row r="184">
      <c r="A184" s="9" t="str">
        <f t="shared" si="212"/>
        <v>PROREP (L)</v>
      </c>
      <c r="B184" s="9" t="str">
        <f>IF(ISBLANK(A182),"",LEFT(B183,27)&amp;VALUE(RIGHT(B183,1)+1))</f>
        <v>JKL240702PROREP_35C_sample_3</v>
      </c>
      <c r="C184" s="6" t="str">
        <f t="shared" ref="C184:D184" si="213">C183</f>
        <v>Protea repens</v>
      </c>
      <c r="D184" s="6" t="str">
        <f t="shared" si="213"/>
        <v>35C</v>
      </c>
      <c r="E184" s="10">
        <f>IF(ISBLANK(A182),"",E183+1)</f>
        <v>3</v>
      </c>
      <c r="F184" s="11">
        <f t="shared" si="214"/>
        <v>45477.93125</v>
      </c>
      <c r="G184" s="8">
        <v>0.584</v>
      </c>
    </row>
    <row r="185">
      <c r="A185" s="9" t="str">
        <f t="shared" si="212"/>
        <v>PROREP (L)</v>
      </c>
      <c r="B185" s="9" t="str">
        <f>IF(ISBLANK(A182),"",LEFT(B184,27)&amp;VALUE(RIGHT(B184,1)+1))</f>
        <v>JKL240702PROREP_35C_sample_4</v>
      </c>
      <c r="C185" s="6" t="str">
        <f t="shared" ref="C185:D185" si="215">C184</f>
        <v>Protea repens</v>
      </c>
      <c r="D185" s="6" t="str">
        <f t="shared" si="215"/>
        <v>35C</v>
      </c>
      <c r="E185" s="10">
        <f>IF(ISBLANK(A182),"",E184+1)</f>
        <v>4</v>
      </c>
      <c r="F185" s="11">
        <f t="shared" si="214"/>
        <v>45477.93125</v>
      </c>
      <c r="G185" s="8">
        <v>0.423</v>
      </c>
    </row>
    <row r="186">
      <c r="A186" s="9" t="str">
        <f t="shared" si="212"/>
        <v>PROREP (L)</v>
      </c>
      <c r="B186" s="9" t="str">
        <f>IF(ISBLANK(A182),"",LEFT(B185,27)&amp;VALUE(RIGHT(B185,1)+1))</f>
        <v>JKL240702PROREP_35C_sample_5</v>
      </c>
      <c r="C186" s="6" t="str">
        <f t="shared" ref="C186:D186" si="216">C185</f>
        <v>Protea repens</v>
      </c>
      <c r="D186" s="6" t="str">
        <f t="shared" si="216"/>
        <v>35C</v>
      </c>
      <c r="E186" s="10">
        <f>IF(ISBLANK(A182),"",E185+1)</f>
        <v>5</v>
      </c>
      <c r="F186" s="11">
        <f t="shared" si="214"/>
        <v>45477.93125</v>
      </c>
      <c r="G186" s="8">
        <v>0.384</v>
      </c>
    </row>
    <row r="187">
      <c r="A187" s="12" t="str">
        <f t="shared" si="212"/>
        <v>PROREP (L)</v>
      </c>
      <c r="B187" s="12" t="str">
        <f>IF(ISBLANK(A182),"",LEFT(B186,27)&amp;VALUE(RIGHT(B186,1)+1))</f>
        <v>JKL240702PROREP_35C_sample_6</v>
      </c>
      <c r="C187" s="13" t="str">
        <f t="shared" ref="C187:D187" si="217">C186</f>
        <v>Protea repens</v>
      </c>
      <c r="D187" s="13" t="str">
        <f t="shared" si="217"/>
        <v>35C</v>
      </c>
      <c r="E187" s="14">
        <f>IF(ISBLANK(A182),"",E186+1)</f>
        <v>6</v>
      </c>
      <c r="F187" s="15">
        <f t="shared" si="214"/>
        <v>45477.93125</v>
      </c>
      <c r="G187" s="16">
        <v>0.331</v>
      </c>
    </row>
    <row r="188">
      <c r="A188" s="5" t="s">
        <v>9</v>
      </c>
      <c r="B188" s="6" t="str">
        <f t="array" ref="B188">IF(ISBLANK(A188),"",IF(A188="PROREP (L)",VLOOKUP(LEFT($A188,6),'Data Feed (35C)'!$A$1:$G$10,2,FALSE),IF(A188="PROREP (S)", INDEX('Data Feed (35C)'!B:B, MATCH(LEFT($A188,6), 'Data Feed (35C)'!$A$1:$A$10, 0) + 1), VLOOKUP($A188,'Data Feed (35C)'!$A$1:$G$10,2,FALSE))))</f>
        <v>JKS240702PROREP_35C_sample_1</v>
      </c>
      <c r="C188" s="6" t="str">
        <f t="array" ref="C188">IF(ISBLANK(A188),"",IF(A188="PROREP (L)",VLOOKUP(LEFT($A188,6),'Data Feed (35C)'!$A$1:$G$10,3,FALSE),IF(A188="PROREP (S)", INDEX('Data Feed (35C)'!C:C, MATCH(LEFT($A188,6), 'Data Feed (35C)'!$A$1:$A$10, 0) + 1, +1), VLOOKUP($A188,'Data Feed (35C)'!$A$1:$G$10,3,FALSE))))</f>
        <v>Protea repens</v>
      </c>
      <c r="D188" s="6" t="str">
        <f t="array" ref="D188">IF(ISBLANK(A188),"",IF(A188="PROREP (L)",VLOOKUP(LEFT($A188,6),'Data Feed (35C)'!$A$1:$G$10,4,FALSE),IF(A188="PROREP (S)", INDEX('Data Feed (35C)'!D:D, MATCH(LEFT($A188,6), 'Data Feed (35C)'!$A$1:$A$10, 0) + 1, +1), VLOOKUP($A188,'Data Feed (35C)'!$A$1:$G$10,4,FALSE))))</f>
        <v>35C</v>
      </c>
      <c r="E188" s="6">
        <f t="array" ref="E188">IF(ISBLANK(A188),"",IF(A188="PROREP (L)",VLOOKUP(LEFT($A188,6),'Data Feed (35C)'!$A$1:$G$10,7,FALSE),IF(A188="PROREP (S)", INDEX('Data Feed (35C)'!G:G, MATCH(LEFT($A188,6), 'Data Feed (35C)'!$A$1:$A$10, 0) + 1, +1), VLOOKUP($A188,'Data Feed (35C)'!$A$1:$G$10,7,FALSE))))</f>
        <v>1</v>
      </c>
      <c r="F188" s="7">
        <v>45477.93263888889</v>
      </c>
      <c r="G188" s="8">
        <v>9.242</v>
      </c>
    </row>
    <row r="189">
      <c r="A189" s="9" t="str">
        <f t="shared" ref="A189:A193" si="219">A188</f>
        <v>PROREP (S)</v>
      </c>
      <c r="B189" s="9" t="str">
        <f>IF(ISBLANK(A188),"",LEFT(B188,27)&amp;VALUE(RIGHT(B188,1)+1))</f>
        <v>JKS240702PROREP_35C_sample_2</v>
      </c>
      <c r="C189" s="6" t="str">
        <f t="shared" ref="C189:D189" si="218">C188</f>
        <v>Protea repens</v>
      </c>
      <c r="D189" s="6" t="str">
        <f t="shared" si="218"/>
        <v>35C</v>
      </c>
      <c r="E189" s="10">
        <f>IF(ISBLANK(A188),"",E188+1)</f>
        <v>2</v>
      </c>
      <c r="F189" s="11">
        <f t="shared" ref="F189:F193" si="221">F188</f>
        <v>45477.93264</v>
      </c>
      <c r="G189" s="8">
        <v>17.285</v>
      </c>
    </row>
    <row r="190">
      <c r="A190" s="9" t="str">
        <f t="shared" si="219"/>
        <v>PROREP (S)</v>
      </c>
      <c r="B190" s="9" t="str">
        <f>IF(ISBLANK(A188),"",LEFT(B189,27)&amp;VALUE(RIGHT(B189,1)+1))</f>
        <v>JKS240702PROREP_35C_sample_3</v>
      </c>
      <c r="C190" s="6" t="str">
        <f t="shared" ref="C190:D190" si="220">C189</f>
        <v>Protea repens</v>
      </c>
      <c r="D190" s="6" t="str">
        <f t="shared" si="220"/>
        <v>35C</v>
      </c>
      <c r="E190" s="10">
        <f>IF(ISBLANK(A188),"",E189+1)</f>
        <v>3</v>
      </c>
      <c r="F190" s="11">
        <f t="shared" si="221"/>
        <v>45477.93264</v>
      </c>
      <c r="G190" s="8">
        <v>14.135</v>
      </c>
    </row>
    <row r="191">
      <c r="A191" s="9" t="str">
        <f t="shared" si="219"/>
        <v>PROREP (S)</v>
      </c>
      <c r="B191" s="9" t="str">
        <f>IF(ISBLANK(A188),"",LEFT(B190,27)&amp;VALUE(RIGHT(B190,1)+1))</f>
        <v>JKS240702PROREP_35C_sample_4</v>
      </c>
      <c r="C191" s="6" t="str">
        <f t="shared" ref="C191:D191" si="222">C190</f>
        <v>Protea repens</v>
      </c>
      <c r="D191" s="6" t="str">
        <f t="shared" si="222"/>
        <v>35C</v>
      </c>
      <c r="E191" s="10">
        <f>IF(ISBLANK(A188),"",E190+1)</f>
        <v>4</v>
      </c>
      <c r="F191" s="11">
        <f t="shared" si="221"/>
        <v>45477.93264</v>
      </c>
      <c r="G191" s="8">
        <v>3.622</v>
      </c>
    </row>
    <row r="192">
      <c r="A192" s="9" t="str">
        <f t="shared" si="219"/>
        <v>PROREP (S)</v>
      </c>
      <c r="B192" s="9" t="str">
        <f>IF(ISBLANK(A188),"",LEFT(B191,27)&amp;VALUE(RIGHT(B191,1)+1))</f>
        <v>JKS240702PROREP_35C_sample_5</v>
      </c>
      <c r="C192" s="6" t="str">
        <f t="shared" ref="C192:D192" si="223">C191</f>
        <v>Protea repens</v>
      </c>
      <c r="D192" s="6" t="str">
        <f t="shared" si="223"/>
        <v>35C</v>
      </c>
      <c r="E192" s="10">
        <f>IF(ISBLANK(A188),"",E191+1)</f>
        <v>5</v>
      </c>
      <c r="F192" s="11">
        <f t="shared" si="221"/>
        <v>45477.93264</v>
      </c>
      <c r="G192" s="8">
        <v>4.717</v>
      </c>
    </row>
    <row r="193">
      <c r="A193" s="12" t="str">
        <f t="shared" si="219"/>
        <v>PROREP (S)</v>
      </c>
      <c r="B193" s="12" t="str">
        <f>IF(ISBLANK(A188),"",LEFT(B192,27)&amp;VALUE(RIGHT(B192,1)+1))</f>
        <v>JKS240702PROREP_35C_sample_6</v>
      </c>
      <c r="C193" s="13" t="str">
        <f t="shared" ref="C193:D193" si="224">C192</f>
        <v>Protea repens</v>
      </c>
      <c r="D193" s="13" t="str">
        <f t="shared" si="224"/>
        <v>35C</v>
      </c>
      <c r="E193" s="14">
        <f>IF(ISBLANK(A188),"",E192+1)</f>
        <v>6</v>
      </c>
      <c r="F193" s="15">
        <f t="shared" si="221"/>
        <v>45477.93264</v>
      </c>
      <c r="G193" s="16">
        <v>7.02</v>
      </c>
    </row>
    <row r="194">
      <c r="A194" s="5" t="s">
        <v>10</v>
      </c>
      <c r="B194" s="6" t="str">
        <f t="array" ref="B194">IF(ISBLANK(A194),"",IF(A194="PROREP (L)",VLOOKUP(LEFT($A194,6),'Data Feed (35C)'!$A$1:$G$10,2,FALSE),IF(A194="PROREP (S)", INDEX('Data Feed (35C)'!B:B, MATCH(LEFT($A194,6), 'Data Feed (35C)'!$A$1:$A$10, 0) + 1), VLOOKUP($A194,'Data Feed (35C)'!$A$1:$G$10,2,FALSE))))</f>
        <v>JKS240702CANCON_35C_sample_1</v>
      </c>
      <c r="C194" s="6" t="str">
        <f t="array" ref="C194">IF(ISBLANK(A194),"",IF(A194="PROREP (L)",VLOOKUP(LEFT($A194,6),'Data Feed (35C)'!$A$1:$G$10,3,FALSE),IF(A194="PROREP (S)", INDEX('Data Feed (35C)'!C:C, MATCH(LEFT($A194,6), 'Data Feed (35C)'!$A$1:$A$10, 0) + 1, +1), VLOOKUP($A194,'Data Feed (35C)'!$A$1:$G$10,3,FALSE))))</f>
        <v>Cannomois congesta</v>
      </c>
      <c r="D194" s="6" t="str">
        <f t="array" ref="D194">IF(ISBLANK(A194),"",IF(A194="PROREP (L)",VLOOKUP(LEFT($A194,6),'Data Feed (35C)'!$A$1:$G$10,4,FALSE),IF(A194="PROREP (S)", INDEX('Data Feed (35C)'!D:D, MATCH(LEFT($A194,6), 'Data Feed (35C)'!$A$1:$A$10, 0) + 1, +1), VLOOKUP($A194,'Data Feed (35C)'!$A$1:$G$10,4,FALSE))))</f>
        <v>35C</v>
      </c>
      <c r="E194" s="6">
        <f t="array" ref="E194">IF(ISBLANK(A194),"",IF(A194="PROREP (L)",VLOOKUP(LEFT($A194,6),'Data Feed (35C)'!$A$1:$G$10,7,FALSE),IF(A194="PROREP (S)", INDEX('Data Feed (35C)'!G:G, MATCH(LEFT($A194,6), 'Data Feed (35C)'!$A$1:$A$10, 0) + 1, +1), VLOOKUP($A194,'Data Feed (35C)'!$A$1:$G$10,7,FALSE))))</f>
        <v>1</v>
      </c>
      <c r="F194" s="7">
        <v>45477.93402777778</v>
      </c>
      <c r="G194" s="8">
        <v>0.561</v>
      </c>
    </row>
    <row r="195">
      <c r="A195" s="9" t="str">
        <f t="shared" ref="A195:A199" si="226">A194</f>
        <v>CANCON</v>
      </c>
      <c r="B195" s="9" t="str">
        <f>IF(ISBLANK(A194),"",LEFT(B194,27)&amp;VALUE(RIGHT(B194,1)+1))</f>
        <v>JKS240702CANCON_35C_sample_2</v>
      </c>
      <c r="C195" s="6" t="str">
        <f t="shared" ref="C195:D195" si="225">C194</f>
        <v>Cannomois congesta</v>
      </c>
      <c r="D195" s="6" t="str">
        <f t="shared" si="225"/>
        <v>35C</v>
      </c>
      <c r="E195" s="10">
        <f>IF(ISBLANK(A194),"",E194+1)</f>
        <v>2</v>
      </c>
      <c r="F195" s="11">
        <f t="shared" ref="F195:F199" si="228">F194</f>
        <v>45477.93403</v>
      </c>
      <c r="G195" s="8">
        <v>2.365</v>
      </c>
    </row>
    <row r="196">
      <c r="A196" s="9" t="str">
        <f t="shared" si="226"/>
        <v>CANCON</v>
      </c>
      <c r="B196" s="9" t="str">
        <f>IF(ISBLANK(A194),"",LEFT(B195,27)&amp;VALUE(RIGHT(B195,1)+1))</f>
        <v>JKS240702CANCON_35C_sample_3</v>
      </c>
      <c r="C196" s="6" t="str">
        <f t="shared" ref="C196:D196" si="227">C195</f>
        <v>Cannomois congesta</v>
      </c>
      <c r="D196" s="6" t="str">
        <f t="shared" si="227"/>
        <v>35C</v>
      </c>
      <c r="E196" s="10">
        <f>IF(ISBLANK(A194),"",E195+1)</f>
        <v>3</v>
      </c>
      <c r="F196" s="11">
        <f t="shared" si="228"/>
        <v>45477.93403</v>
      </c>
      <c r="G196" s="8">
        <v>1.035</v>
      </c>
    </row>
    <row r="197">
      <c r="A197" s="9" t="str">
        <f t="shared" si="226"/>
        <v>CANCON</v>
      </c>
      <c r="B197" s="9" t="str">
        <f>IF(ISBLANK(A194),"",LEFT(B196,27)&amp;VALUE(RIGHT(B196,1)+1))</f>
        <v>JKS240702CANCON_35C_sample_4</v>
      </c>
      <c r="C197" s="6" t="str">
        <f t="shared" ref="C197:D197" si="229">C196</f>
        <v>Cannomois congesta</v>
      </c>
      <c r="D197" s="6" t="str">
        <f t="shared" si="229"/>
        <v>35C</v>
      </c>
      <c r="E197" s="10">
        <f>IF(ISBLANK(A194),"",E196+1)</f>
        <v>4</v>
      </c>
      <c r="F197" s="11">
        <f t="shared" si="228"/>
        <v>45477.93403</v>
      </c>
      <c r="G197" s="8">
        <v>1.175</v>
      </c>
    </row>
    <row r="198">
      <c r="A198" s="9" t="str">
        <f t="shared" si="226"/>
        <v>CANCON</v>
      </c>
      <c r="B198" s="9" t="str">
        <f>IF(ISBLANK(A194),"",LEFT(B197,27)&amp;VALUE(RIGHT(B197,1)+1))</f>
        <v>JKS240702CANCON_35C_sample_5</v>
      </c>
      <c r="C198" s="6" t="str">
        <f t="shared" ref="C198:D198" si="230">C197</f>
        <v>Cannomois congesta</v>
      </c>
      <c r="D198" s="6" t="str">
        <f t="shared" si="230"/>
        <v>35C</v>
      </c>
      <c r="E198" s="10">
        <f>IF(ISBLANK(A194),"",E197+1)</f>
        <v>5</v>
      </c>
      <c r="F198" s="11">
        <f t="shared" si="228"/>
        <v>45477.93403</v>
      </c>
      <c r="G198" s="8">
        <v>1.552</v>
      </c>
    </row>
    <row r="199">
      <c r="A199" s="12" t="str">
        <f t="shared" si="226"/>
        <v>CANCON</v>
      </c>
      <c r="B199" s="12" t="str">
        <f>IF(ISBLANK(A194),"",LEFT(B198,27)&amp;VALUE(RIGHT(B198,1)+1))</f>
        <v>JKS240702CANCON_35C_sample_6</v>
      </c>
      <c r="C199" s="13" t="str">
        <f t="shared" ref="C199:D199" si="231">C198</f>
        <v>Cannomois congesta</v>
      </c>
      <c r="D199" s="13" t="str">
        <f t="shared" si="231"/>
        <v>35C</v>
      </c>
      <c r="E199" s="14">
        <f>IF(ISBLANK(A194),"",E198+1)</f>
        <v>6</v>
      </c>
      <c r="F199" s="15">
        <f t="shared" si="228"/>
        <v>45477.93403</v>
      </c>
      <c r="G199" s="16">
        <v>1.75</v>
      </c>
    </row>
    <row r="200">
      <c r="A200" s="5" t="s">
        <v>7</v>
      </c>
      <c r="B200" s="6" t="str">
        <f t="array" ref="B200">IF(ISBLANK(A200),"",IF(A200="PROREP (L)",VLOOKUP(LEFT($A200,6),'Data Feed (35C)'!$A$1:$G$10,2,FALSE),IF(A200="PROREP (S)", INDEX('Data Feed (35C)'!B:B, MATCH(LEFT($A200,6), 'Data Feed (35C)'!$A$1:$A$10, 0) + 1), VLOOKUP($A200,'Data Feed (35C)'!$A$1:$G$10,2,FALSE))))</f>
        <v>JKS240702ERIMON_35C_sample_1</v>
      </c>
      <c r="C200" s="6" t="str">
        <f t="array" ref="C200">IF(ISBLANK(A200),"",IF(A200="PROREP (L)",VLOOKUP(LEFT($A200,6),'Data Feed (35C)'!$A$1:$G$10,3,FALSE),IF(A200="PROREP (S)", INDEX('Data Feed (35C)'!C:C, MATCH(LEFT($A200,6), 'Data Feed (35C)'!$A$1:$A$10, 0) + 1, +1), VLOOKUP($A200,'Data Feed (35C)'!$A$1:$G$10,3,FALSE))))</f>
        <v>Erica monsoniana</v>
      </c>
      <c r="D200" s="6" t="str">
        <f t="array" ref="D200">IF(ISBLANK(A200),"",IF(A200="PROREP (L)",VLOOKUP(LEFT($A200,6),'Data Feed (35C)'!$A$1:$G$10,4,FALSE),IF(A200="PROREP (S)", INDEX('Data Feed (35C)'!D:D, MATCH(LEFT($A200,6), 'Data Feed (35C)'!$A$1:$A$10, 0) + 1, +1), VLOOKUP($A200,'Data Feed (35C)'!$A$1:$G$10,4,FALSE))))</f>
        <v>35C</v>
      </c>
      <c r="E200" s="6">
        <f t="array" ref="E200">IF(ISBLANK(A200),"",IF(A200="PROREP (L)",VLOOKUP(LEFT($A200,6),'Data Feed (35C)'!$A$1:$G$10,7,FALSE),IF(A200="PROREP (S)", INDEX('Data Feed (35C)'!G:G, MATCH(LEFT($A200,6), 'Data Feed (35C)'!$A$1:$A$10, 0) + 1, +1), VLOOKUP($A200,'Data Feed (35C)'!$A$1:$G$10,7,FALSE))))</f>
        <v>1</v>
      </c>
      <c r="F200" s="7">
        <v>45477.99791666667</v>
      </c>
      <c r="G200" s="8">
        <v>2.148</v>
      </c>
    </row>
    <row r="201">
      <c r="A201" s="9" t="str">
        <f t="shared" ref="A201:A205" si="233">A200</f>
        <v>ERIMON</v>
      </c>
      <c r="B201" s="9" t="str">
        <f>IF(ISBLANK(A200),"",LEFT(B200,27)&amp;VALUE(RIGHT(B200,1)+1))</f>
        <v>JKS240702ERIMON_35C_sample_2</v>
      </c>
      <c r="C201" s="6" t="str">
        <f t="shared" ref="C201:D201" si="232">C200</f>
        <v>Erica monsoniana</v>
      </c>
      <c r="D201" s="6" t="str">
        <f t="shared" si="232"/>
        <v>35C</v>
      </c>
      <c r="E201" s="10">
        <f>IF(ISBLANK(A200),"",E200+1)</f>
        <v>2</v>
      </c>
      <c r="F201" s="11">
        <f t="shared" ref="F201:F205" si="235">F200</f>
        <v>45477.99792</v>
      </c>
      <c r="G201" s="8">
        <v>1.328</v>
      </c>
    </row>
    <row r="202">
      <c r="A202" s="9" t="str">
        <f t="shared" si="233"/>
        <v>ERIMON</v>
      </c>
      <c r="B202" s="9" t="str">
        <f>IF(ISBLANK(A200),"",LEFT(B201,27)&amp;VALUE(RIGHT(B201,1)+1))</f>
        <v>JKS240702ERIMON_35C_sample_3</v>
      </c>
      <c r="C202" s="6" t="str">
        <f t="shared" ref="C202:D202" si="234">C201</f>
        <v>Erica monsoniana</v>
      </c>
      <c r="D202" s="6" t="str">
        <f t="shared" si="234"/>
        <v>35C</v>
      </c>
      <c r="E202" s="10">
        <f>IF(ISBLANK(A200),"",E201+1)</f>
        <v>3</v>
      </c>
      <c r="F202" s="11">
        <f t="shared" si="235"/>
        <v>45477.99792</v>
      </c>
      <c r="G202" s="8">
        <v>0.455</v>
      </c>
    </row>
    <row r="203">
      <c r="A203" s="9" t="str">
        <f t="shared" si="233"/>
        <v>ERIMON</v>
      </c>
      <c r="B203" s="9" t="str">
        <f>IF(ISBLANK(A200),"",LEFT(B202,27)&amp;VALUE(RIGHT(B202,1)+1))</f>
        <v>JKS240702ERIMON_35C_sample_4</v>
      </c>
      <c r="C203" s="6" t="str">
        <f t="shared" ref="C203:D203" si="236">C202</f>
        <v>Erica monsoniana</v>
      </c>
      <c r="D203" s="6" t="str">
        <f t="shared" si="236"/>
        <v>35C</v>
      </c>
      <c r="E203" s="10">
        <f>IF(ISBLANK(A200),"",E202+1)</f>
        <v>4</v>
      </c>
      <c r="F203" s="11">
        <f t="shared" si="235"/>
        <v>45477.99792</v>
      </c>
      <c r="G203" s="8">
        <v>0.686</v>
      </c>
    </row>
    <row r="204">
      <c r="A204" s="9" t="str">
        <f t="shared" si="233"/>
        <v>ERIMON</v>
      </c>
      <c r="B204" s="9" t="str">
        <f>IF(ISBLANK(A200),"",LEFT(B203,27)&amp;VALUE(RIGHT(B203,1)+1))</f>
        <v>JKS240702ERIMON_35C_sample_5</v>
      </c>
      <c r="C204" s="6" t="str">
        <f t="shared" ref="C204:D204" si="237">C203</f>
        <v>Erica monsoniana</v>
      </c>
      <c r="D204" s="6" t="str">
        <f t="shared" si="237"/>
        <v>35C</v>
      </c>
      <c r="E204" s="10">
        <f>IF(ISBLANK(A200),"",E203+1)</f>
        <v>5</v>
      </c>
      <c r="F204" s="11">
        <f t="shared" si="235"/>
        <v>45477.99792</v>
      </c>
      <c r="G204" s="8">
        <v>2.019</v>
      </c>
    </row>
    <row r="205">
      <c r="A205" s="12" t="str">
        <f t="shared" si="233"/>
        <v>ERIMON</v>
      </c>
      <c r="B205" s="12" t="str">
        <f>IF(ISBLANK(A200),"",LEFT(B204,27)&amp;VALUE(RIGHT(B204,1)+1))</f>
        <v>JKS240702ERIMON_35C_sample_6</v>
      </c>
      <c r="C205" s="13" t="str">
        <f t="shared" ref="C205:D205" si="238">C204</f>
        <v>Erica monsoniana</v>
      </c>
      <c r="D205" s="13" t="str">
        <f t="shared" si="238"/>
        <v>35C</v>
      </c>
      <c r="E205" s="14">
        <f>IF(ISBLANK(A200),"",E204+1)</f>
        <v>6</v>
      </c>
      <c r="F205" s="15">
        <f t="shared" si="235"/>
        <v>45477.99792</v>
      </c>
      <c r="G205" s="16">
        <v>0.688</v>
      </c>
    </row>
    <row r="206">
      <c r="A206" s="5" t="s">
        <v>8</v>
      </c>
      <c r="B206" s="6" t="str">
        <f t="array" ref="B206">IF(ISBLANK(A206),"",IF(A206="PROREP (L)",VLOOKUP(LEFT($A206,6),'Data Feed (35C)'!$A$1:$G$10,2,FALSE),IF(A206="PROREP (S)", INDEX('Data Feed (35C)'!B:B, MATCH(LEFT($A206,6), 'Data Feed (35C)'!$A$1:$A$10, 0) + 1), VLOOKUP($A206,'Data Feed (35C)'!$A$1:$G$10,2,FALSE))))</f>
        <v>JKL240702PROREP_35C_sample_1</v>
      </c>
      <c r="C206" s="6" t="str">
        <f t="array" ref="C206">IF(ISBLANK(A206),"",IF(A206="PROREP (L)",VLOOKUP(LEFT($A206,6),'Data Feed (35C)'!$A$1:$G$10,3,FALSE),IF(A206="PROREP (S)", INDEX('Data Feed (35C)'!C:C, MATCH(LEFT($A206,6), 'Data Feed (35C)'!$A$1:$A$10, 0) + 1, +1), VLOOKUP($A206,'Data Feed (35C)'!$A$1:$G$10,3,FALSE))))</f>
        <v>Protea repens</v>
      </c>
      <c r="D206" s="6" t="str">
        <f t="array" ref="D206">IF(ISBLANK(A206),"",IF(A206="PROREP (L)",VLOOKUP(LEFT($A206,6),'Data Feed (35C)'!$A$1:$G$10,4,FALSE),IF(A206="PROREP (S)", INDEX('Data Feed (35C)'!D:D, MATCH(LEFT($A206,6), 'Data Feed (35C)'!$A$1:$A$10, 0) + 1, +1), VLOOKUP($A206,'Data Feed (35C)'!$A$1:$G$10,4,FALSE))))</f>
        <v>35C</v>
      </c>
      <c r="E206" s="6">
        <f t="array" ref="E206">IF(ISBLANK(A206),"",IF(A206="PROREP (L)",VLOOKUP(LEFT($A206,6),'Data Feed (35C)'!$A$1:$G$10,7,FALSE),IF(A206="PROREP (S)", INDEX('Data Feed (35C)'!G:G, MATCH(LEFT($A206,6), 'Data Feed (35C)'!$A$1:$A$10, 0) + 1, +1), VLOOKUP($A206,'Data Feed (35C)'!$A$1:$G$10,7,FALSE))))</f>
        <v>1</v>
      </c>
      <c r="F206" s="7">
        <v>45477.998611111114</v>
      </c>
      <c r="G206" s="8">
        <v>0.461</v>
      </c>
    </row>
    <row r="207">
      <c r="A207" s="9" t="str">
        <f t="shared" ref="A207:A211" si="240">A206</f>
        <v>PROREP (L)</v>
      </c>
      <c r="B207" s="9" t="str">
        <f>IF(ISBLANK(A206),"",LEFT(B206,27)&amp;VALUE(RIGHT(B206,1)+1))</f>
        <v>JKL240702PROREP_35C_sample_2</v>
      </c>
      <c r="C207" s="6" t="str">
        <f t="shared" ref="C207:D207" si="239">C206</f>
        <v>Protea repens</v>
      </c>
      <c r="D207" s="6" t="str">
        <f t="shared" si="239"/>
        <v>35C</v>
      </c>
      <c r="E207" s="10">
        <f>IF(ISBLANK(A206),"",E206+1)</f>
        <v>2</v>
      </c>
      <c r="F207" s="11">
        <f t="shared" ref="F207:F211" si="242">F206</f>
        <v>45477.99861</v>
      </c>
      <c r="G207" s="8">
        <v>0.518</v>
      </c>
    </row>
    <row r="208">
      <c r="A208" s="9" t="str">
        <f t="shared" si="240"/>
        <v>PROREP (L)</v>
      </c>
      <c r="B208" s="9" t="str">
        <f>IF(ISBLANK(A206),"",LEFT(B207,27)&amp;VALUE(RIGHT(B207,1)+1))</f>
        <v>JKL240702PROREP_35C_sample_3</v>
      </c>
      <c r="C208" s="6" t="str">
        <f t="shared" ref="C208:D208" si="241">C207</f>
        <v>Protea repens</v>
      </c>
      <c r="D208" s="6" t="str">
        <f t="shared" si="241"/>
        <v>35C</v>
      </c>
      <c r="E208" s="10">
        <f>IF(ISBLANK(A206),"",E207+1)</f>
        <v>3</v>
      </c>
      <c r="F208" s="11">
        <f t="shared" si="242"/>
        <v>45477.99861</v>
      </c>
      <c r="G208" s="8">
        <v>0.541</v>
      </c>
    </row>
    <row r="209">
      <c r="A209" s="9" t="str">
        <f t="shared" si="240"/>
        <v>PROREP (L)</v>
      </c>
      <c r="B209" s="9" t="str">
        <f>IF(ISBLANK(A206),"",LEFT(B208,27)&amp;VALUE(RIGHT(B208,1)+1))</f>
        <v>JKL240702PROREP_35C_sample_4</v>
      </c>
      <c r="C209" s="6" t="str">
        <f t="shared" ref="C209:D209" si="243">C208</f>
        <v>Protea repens</v>
      </c>
      <c r="D209" s="6" t="str">
        <f t="shared" si="243"/>
        <v>35C</v>
      </c>
      <c r="E209" s="10">
        <f>IF(ISBLANK(A206),"",E208+1)</f>
        <v>4</v>
      </c>
      <c r="F209" s="11">
        <f t="shared" si="242"/>
        <v>45477.99861</v>
      </c>
      <c r="G209" s="8">
        <v>0.407</v>
      </c>
    </row>
    <row r="210">
      <c r="A210" s="9" t="str">
        <f t="shared" si="240"/>
        <v>PROREP (L)</v>
      </c>
      <c r="B210" s="9" t="str">
        <f>IF(ISBLANK(A206),"",LEFT(B209,27)&amp;VALUE(RIGHT(B209,1)+1))</f>
        <v>JKL240702PROREP_35C_sample_5</v>
      </c>
      <c r="C210" s="6" t="str">
        <f t="shared" ref="C210:D210" si="244">C209</f>
        <v>Protea repens</v>
      </c>
      <c r="D210" s="6" t="str">
        <f t="shared" si="244"/>
        <v>35C</v>
      </c>
      <c r="E210" s="10">
        <f>IF(ISBLANK(A206),"",E209+1)</f>
        <v>5</v>
      </c>
      <c r="F210" s="11">
        <f t="shared" si="242"/>
        <v>45477.99861</v>
      </c>
      <c r="G210" s="8">
        <v>0.375</v>
      </c>
    </row>
    <row r="211">
      <c r="A211" s="12" t="str">
        <f t="shared" si="240"/>
        <v>PROREP (L)</v>
      </c>
      <c r="B211" s="12" t="str">
        <f>IF(ISBLANK(A206),"",LEFT(B210,27)&amp;VALUE(RIGHT(B210,1)+1))</f>
        <v>JKL240702PROREP_35C_sample_6</v>
      </c>
      <c r="C211" s="13" t="str">
        <f t="shared" ref="C211:D211" si="245">C210</f>
        <v>Protea repens</v>
      </c>
      <c r="D211" s="13" t="str">
        <f t="shared" si="245"/>
        <v>35C</v>
      </c>
      <c r="E211" s="14">
        <f>IF(ISBLANK(A206),"",E210+1)</f>
        <v>6</v>
      </c>
      <c r="F211" s="15">
        <f t="shared" si="242"/>
        <v>45477.99861</v>
      </c>
      <c r="G211" s="16">
        <v>0.32</v>
      </c>
    </row>
    <row r="212">
      <c r="A212" s="5" t="s">
        <v>9</v>
      </c>
      <c r="B212" s="6" t="str">
        <f t="array" ref="B212">IF(ISBLANK(A212),"",IF(A212="PROREP (L)",VLOOKUP(LEFT($A212,6),'Data Feed (35C)'!$A$1:$G$10,2,FALSE),IF(A212="PROREP (S)", INDEX('Data Feed (35C)'!B:B, MATCH(LEFT($A212,6), 'Data Feed (35C)'!$A$1:$A$10, 0) + 1), VLOOKUP($A212,'Data Feed (35C)'!$A$1:$G$10,2,FALSE))))</f>
        <v>JKS240702PROREP_35C_sample_1</v>
      </c>
      <c r="C212" s="6" t="str">
        <f t="array" ref="C212">IF(ISBLANK(A212),"",IF(A212="PROREP (L)",VLOOKUP(LEFT($A212,6),'Data Feed (35C)'!$A$1:$G$10,3,FALSE),IF(A212="PROREP (S)", INDEX('Data Feed (35C)'!C:C, MATCH(LEFT($A212,6), 'Data Feed (35C)'!$A$1:$A$10, 0) + 1, +1), VLOOKUP($A212,'Data Feed (35C)'!$A$1:$G$10,3,FALSE))))</f>
        <v>Protea repens</v>
      </c>
      <c r="D212" s="6" t="str">
        <f t="array" ref="D212">IF(ISBLANK(A212),"",IF(A212="PROREP (L)",VLOOKUP(LEFT($A212,6),'Data Feed (35C)'!$A$1:$G$10,4,FALSE),IF(A212="PROREP (S)", INDEX('Data Feed (35C)'!D:D, MATCH(LEFT($A212,6), 'Data Feed (35C)'!$A$1:$A$10, 0) + 1, +1), VLOOKUP($A212,'Data Feed (35C)'!$A$1:$G$10,4,FALSE))))</f>
        <v>35C</v>
      </c>
      <c r="E212" s="6">
        <f t="array" ref="E212">IF(ISBLANK(A212),"",IF(A212="PROREP (L)",VLOOKUP(LEFT($A212,6),'Data Feed (35C)'!$A$1:$G$10,7,FALSE),IF(A212="PROREP (S)", INDEX('Data Feed (35C)'!G:G, MATCH(LEFT($A212,6), 'Data Feed (35C)'!$A$1:$A$10, 0) + 1, +1), VLOOKUP($A212,'Data Feed (35C)'!$A$1:$G$10,7,FALSE))))</f>
        <v>1</v>
      </c>
      <c r="F212" s="7">
        <v>45478.0</v>
      </c>
      <c r="G212" s="8">
        <v>9.059</v>
      </c>
    </row>
    <row r="213">
      <c r="A213" s="9" t="str">
        <f t="shared" ref="A213:A217" si="247">A212</f>
        <v>PROREP (S)</v>
      </c>
      <c r="B213" s="9" t="str">
        <f>IF(ISBLANK(A212),"",LEFT(B212,27)&amp;VALUE(RIGHT(B212,1)+1))</f>
        <v>JKS240702PROREP_35C_sample_2</v>
      </c>
      <c r="C213" s="6" t="str">
        <f t="shared" ref="C213:D213" si="246">C212</f>
        <v>Protea repens</v>
      </c>
      <c r="D213" s="6" t="str">
        <f t="shared" si="246"/>
        <v>35C</v>
      </c>
      <c r="E213" s="10">
        <f>IF(ISBLANK(A212),"",E212+1)</f>
        <v>2</v>
      </c>
      <c r="F213" s="11">
        <f t="shared" ref="F213:F217" si="249">F212</f>
        <v>45478</v>
      </c>
      <c r="G213" s="8">
        <v>16.996</v>
      </c>
    </row>
    <row r="214">
      <c r="A214" s="9" t="str">
        <f t="shared" si="247"/>
        <v>PROREP (S)</v>
      </c>
      <c r="B214" s="9" t="str">
        <f>IF(ISBLANK(A212),"",LEFT(B213,27)&amp;VALUE(RIGHT(B213,1)+1))</f>
        <v>JKS240702PROREP_35C_sample_3</v>
      </c>
      <c r="C214" s="6" t="str">
        <f t="shared" ref="C214:D214" si="248">C213</f>
        <v>Protea repens</v>
      </c>
      <c r="D214" s="6" t="str">
        <f t="shared" si="248"/>
        <v>35C</v>
      </c>
      <c r="E214" s="10">
        <f>IF(ISBLANK(A212),"",E213+1)</f>
        <v>3</v>
      </c>
      <c r="F214" s="11">
        <f t="shared" si="249"/>
        <v>45478</v>
      </c>
      <c r="G214" s="8">
        <v>13.143</v>
      </c>
    </row>
    <row r="215">
      <c r="A215" s="9" t="str">
        <f t="shared" si="247"/>
        <v>PROREP (S)</v>
      </c>
      <c r="B215" s="9" t="str">
        <f>IF(ISBLANK(A212),"",LEFT(B214,27)&amp;VALUE(RIGHT(B214,1)+1))</f>
        <v>JKS240702PROREP_35C_sample_4</v>
      </c>
      <c r="C215" s="6" t="str">
        <f t="shared" ref="C215:D215" si="250">C214</f>
        <v>Protea repens</v>
      </c>
      <c r="D215" s="6" t="str">
        <f t="shared" si="250"/>
        <v>35C</v>
      </c>
      <c r="E215" s="10">
        <f>IF(ISBLANK(A212),"",E214+1)</f>
        <v>4</v>
      </c>
      <c r="F215" s="11">
        <f t="shared" si="249"/>
        <v>45478</v>
      </c>
      <c r="G215" s="8">
        <v>3.535</v>
      </c>
    </row>
    <row r="216">
      <c r="A216" s="9" t="str">
        <f t="shared" si="247"/>
        <v>PROREP (S)</v>
      </c>
      <c r="B216" s="9" t="str">
        <f>IF(ISBLANK(A212),"",LEFT(B215,27)&amp;VALUE(RIGHT(B215,1)+1))</f>
        <v>JKS240702PROREP_35C_sample_5</v>
      </c>
      <c r="C216" s="6" t="str">
        <f t="shared" ref="C216:D216" si="251">C215</f>
        <v>Protea repens</v>
      </c>
      <c r="D216" s="6" t="str">
        <f t="shared" si="251"/>
        <v>35C</v>
      </c>
      <c r="E216" s="10">
        <f>IF(ISBLANK(A212),"",E215+1)</f>
        <v>5</v>
      </c>
      <c r="F216" s="11">
        <f t="shared" si="249"/>
        <v>45478</v>
      </c>
      <c r="G216" s="8">
        <v>4.553</v>
      </c>
    </row>
    <row r="217">
      <c r="A217" s="12" t="str">
        <f t="shared" si="247"/>
        <v>PROREP (S)</v>
      </c>
      <c r="B217" s="12" t="str">
        <f>IF(ISBLANK(A212),"",LEFT(B216,27)&amp;VALUE(RIGHT(B216,1)+1))</f>
        <v>JKS240702PROREP_35C_sample_6</v>
      </c>
      <c r="C217" s="13" t="str">
        <f t="shared" ref="C217:D217" si="252">C216</f>
        <v>Protea repens</v>
      </c>
      <c r="D217" s="13" t="str">
        <f t="shared" si="252"/>
        <v>35C</v>
      </c>
      <c r="E217" s="14">
        <f>IF(ISBLANK(A212),"",E216+1)</f>
        <v>6</v>
      </c>
      <c r="F217" s="15">
        <f t="shared" si="249"/>
        <v>45478</v>
      </c>
      <c r="G217" s="16">
        <v>6.883</v>
      </c>
    </row>
    <row r="218">
      <c r="A218" s="5" t="s">
        <v>10</v>
      </c>
      <c r="B218" s="6" t="str">
        <f t="array" ref="B218">IF(ISBLANK(A218),"",IF(A218="PROREP (L)",VLOOKUP(LEFT($A218,6),'Data Feed (35C)'!$A$1:$G$10,2,FALSE),IF(A218="PROREP (S)", INDEX('Data Feed (35C)'!B:B, MATCH(LEFT($A218,6), 'Data Feed (35C)'!$A$1:$A$10, 0) + 1), VLOOKUP($A218,'Data Feed (35C)'!$A$1:$G$10,2,FALSE))))</f>
        <v>JKS240702CANCON_35C_sample_1</v>
      </c>
      <c r="C218" s="6" t="str">
        <f t="array" ref="C218">IF(ISBLANK(A218),"",IF(A218="PROREP (L)",VLOOKUP(LEFT($A218,6),'Data Feed (35C)'!$A$1:$G$10,3,FALSE),IF(A218="PROREP (S)", INDEX('Data Feed (35C)'!C:C, MATCH(LEFT($A218,6), 'Data Feed (35C)'!$A$1:$A$10, 0) + 1, +1), VLOOKUP($A218,'Data Feed (35C)'!$A$1:$G$10,3,FALSE))))</f>
        <v>Cannomois congesta</v>
      </c>
      <c r="D218" s="6" t="str">
        <f t="array" ref="D218">IF(ISBLANK(A218),"",IF(A218="PROREP (L)",VLOOKUP(LEFT($A218,6),'Data Feed (35C)'!$A$1:$G$10,4,FALSE),IF(A218="PROREP (S)", INDEX('Data Feed (35C)'!D:D, MATCH(LEFT($A218,6), 'Data Feed (35C)'!$A$1:$A$10, 0) + 1, +1), VLOOKUP($A218,'Data Feed (35C)'!$A$1:$G$10,4,FALSE))))</f>
        <v>35C</v>
      </c>
      <c r="E218" s="6">
        <f t="array" ref="E218">IF(ISBLANK(A218),"",IF(A218="PROREP (L)",VLOOKUP(LEFT($A218,6),'Data Feed (35C)'!$A$1:$G$10,7,FALSE),IF(A218="PROREP (S)", INDEX('Data Feed (35C)'!G:G, MATCH(LEFT($A218,6), 'Data Feed (35C)'!$A$1:$A$10, 0) + 1, +1), VLOOKUP($A218,'Data Feed (35C)'!$A$1:$G$10,7,FALSE))))</f>
        <v>1</v>
      </c>
      <c r="F218" s="7">
        <v>45478.001388888886</v>
      </c>
      <c r="G218" s="8">
        <v>0.543</v>
      </c>
    </row>
    <row r="219">
      <c r="A219" s="9" t="str">
        <f t="shared" ref="A219:A223" si="254">A218</f>
        <v>CANCON</v>
      </c>
      <c r="B219" s="9" t="str">
        <f>IF(ISBLANK(A218),"",LEFT(B218,27)&amp;VALUE(RIGHT(B218,1)+1))</f>
        <v>JKS240702CANCON_35C_sample_2</v>
      </c>
      <c r="C219" s="6" t="str">
        <f t="shared" ref="C219:D219" si="253">C218</f>
        <v>Cannomois congesta</v>
      </c>
      <c r="D219" s="6" t="str">
        <f t="shared" si="253"/>
        <v>35C</v>
      </c>
      <c r="E219" s="10">
        <f>IF(ISBLANK(A218),"",E218+1)</f>
        <v>2</v>
      </c>
      <c r="F219" s="11">
        <f t="shared" ref="F219:F223" si="256">F218</f>
        <v>45478.00139</v>
      </c>
      <c r="G219" s="8">
        <v>2.304</v>
      </c>
    </row>
    <row r="220">
      <c r="A220" s="9" t="str">
        <f t="shared" si="254"/>
        <v>CANCON</v>
      </c>
      <c r="B220" s="9" t="str">
        <f>IF(ISBLANK(A218),"",LEFT(B219,27)&amp;VALUE(RIGHT(B219,1)+1))</f>
        <v>JKS240702CANCON_35C_sample_3</v>
      </c>
      <c r="C220" s="6" t="str">
        <f t="shared" ref="C220:D220" si="255">C219</f>
        <v>Cannomois congesta</v>
      </c>
      <c r="D220" s="6" t="str">
        <f t="shared" si="255"/>
        <v>35C</v>
      </c>
      <c r="E220" s="10">
        <f>IF(ISBLANK(A218),"",E219+1)</f>
        <v>3</v>
      </c>
      <c r="F220" s="11">
        <f t="shared" si="256"/>
        <v>45478.00139</v>
      </c>
      <c r="G220" s="8">
        <v>1.002</v>
      </c>
    </row>
    <row r="221">
      <c r="A221" s="9" t="str">
        <f t="shared" si="254"/>
        <v>CANCON</v>
      </c>
      <c r="B221" s="9" t="str">
        <f>IF(ISBLANK(A218),"",LEFT(B220,27)&amp;VALUE(RIGHT(B220,1)+1))</f>
        <v>JKS240702CANCON_35C_sample_4</v>
      </c>
      <c r="C221" s="6" t="str">
        <f t="shared" ref="C221:D221" si="257">C220</f>
        <v>Cannomois congesta</v>
      </c>
      <c r="D221" s="6" t="str">
        <f t="shared" si="257"/>
        <v>35C</v>
      </c>
      <c r="E221" s="10">
        <f>IF(ISBLANK(A218),"",E220+1)</f>
        <v>4</v>
      </c>
      <c r="F221" s="11">
        <f t="shared" si="256"/>
        <v>45478.00139</v>
      </c>
      <c r="G221" s="8">
        <v>1.136</v>
      </c>
    </row>
    <row r="222">
      <c r="A222" s="9" t="str">
        <f t="shared" si="254"/>
        <v>CANCON</v>
      </c>
      <c r="B222" s="9" t="str">
        <f>IF(ISBLANK(A218),"",LEFT(B221,27)&amp;VALUE(RIGHT(B221,1)+1))</f>
        <v>JKS240702CANCON_35C_sample_5</v>
      </c>
      <c r="C222" s="6" t="str">
        <f t="shared" ref="C222:D222" si="258">C221</f>
        <v>Cannomois congesta</v>
      </c>
      <c r="D222" s="6" t="str">
        <f t="shared" si="258"/>
        <v>35C</v>
      </c>
      <c r="E222" s="10">
        <f>IF(ISBLANK(A218),"",E221+1)</f>
        <v>5</v>
      </c>
      <c r="F222" s="11">
        <f t="shared" si="256"/>
        <v>45478.00139</v>
      </c>
      <c r="G222" s="8">
        <v>1.488</v>
      </c>
    </row>
    <row r="223">
      <c r="A223" s="12" t="str">
        <f t="shared" si="254"/>
        <v>CANCON</v>
      </c>
      <c r="B223" s="12" t="str">
        <f>IF(ISBLANK(A218),"",LEFT(B222,27)&amp;VALUE(RIGHT(B222,1)+1))</f>
        <v>JKS240702CANCON_35C_sample_6</v>
      </c>
      <c r="C223" s="13" t="str">
        <f t="shared" ref="C223:D223" si="259">C222</f>
        <v>Cannomois congesta</v>
      </c>
      <c r="D223" s="13" t="str">
        <f t="shared" si="259"/>
        <v>35C</v>
      </c>
      <c r="E223" s="14">
        <f>IF(ISBLANK(A218),"",E222+1)</f>
        <v>6</v>
      </c>
      <c r="F223" s="15">
        <f t="shared" si="256"/>
        <v>45478.00139</v>
      </c>
      <c r="G223" s="16">
        <v>1.675</v>
      </c>
    </row>
    <row r="224">
      <c r="A224" s="5" t="s">
        <v>7</v>
      </c>
      <c r="B224" s="6" t="str">
        <f t="array" ref="B224">IF(ISBLANK(A224),"",IF(A224="PROREP (L)",VLOOKUP(LEFT($A224,6),'Data Feed (35C)'!$A$1:$G$10,2,FALSE),IF(A224="PROREP (S)", INDEX('Data Feed (35C)'!B:B, MATCH(LEFT($A224,6), 'Data Feed (35C)'!$A$1:$A$10, 0) + 1), VLOOKUP($A224,'Data Feed (35C)'!$A$1:$G$10,2,FALSE))))</f>
        <v>JKS240702ERIMON_35C_sample_1</v>
      </c>
      <c r="C224" s="6" t="str">
        <f t="array" ref="C224">IF(ISBLANK(A224),"",IF(A224="PROREP (L)",VLOOKUP(LEFT($A224,6),'Data Feed (35C)'!$A$1:$G$10,3,FALSE),IF(A224="PROREP (S)", INDEX('Data Feed (35C)'!C:C, MATCH(LEFT($A224,6), 'Data Feed (35C)'!$A$1:$A$10, 0) + 1, +1), VLOOKUP($A224,'Data Feed (35C)'!$A$1:$G$10,3,FALSE))))</f>
        <v>Erica monsoniana</v>
      </c>
      <c r="D224" s="6" t="str">
        <f t="array" ref="D224">IF(ISBLANK(A224),"",IF(A224="PROREP (L)",VLOOKUP(LEFT($A224,6),'Data Feed (35C)'!$A$1:$G$10,4,FALSE),IF(A224="PROREP (S)", INDEX('Data Feed (35C)'!D:D, MATCH(LEFT($A224,6), 'Data Feed (35C)'!$A$1:$A$10, 0) + 1, +1), VLOOKUP($A224,'Data Feed (35C)'!$A$1:$G$10,4,FALSE))))</f>
        <v>35C</v>
      </c>
      <c r="E224" s="6">
        <f t="array" ref="E224">IF(ISBLANK(A224),"",IF(A224="PROREP (L)",VLOOKUP(LEFT($A224,6),'Data Feed (35C)'!$A$1:$G$10,7,FALSE),IF(A224="PROREP (S)", INDEX('Data Feed (35C)'!G:G, MATCH(LEFT($A224,6), 'Data Feed (35C)'!$A$1:$A$10, 0) + 1, +1), VLOOKUP($A224,'Data Feed (35C)'!$A$1:$G$10,7,FALSE))))</f>
        <v>1</v>
      </c>
      <c r="F224" s="7">
        <v>45478.08611111111</v>
      </c>
      <c r="G224" s="8">
        <v>2.011</v>
      </c>
    </row>
    <row r="225">
      <c r="A225" s="9" t="str">
        <f t="shared" ref="A225:A229" si="261">A224</f>
        <v>ERIMON</v>
      </c>
      <c r="B225" s="9" t="str">
        <f>IF(ISBLANK(A224),"",LEFT(B224,27)&amp;VALUE(RIGHT(B224,1)+1))</f>
        <v>JKS240702ERIMON_35C_sample_2</v>
      </c>
      <c r="C225" s="6" t="str">
        <f t="shared" ref="C225:D225" si="260">C224</f>
        <v>Erica monsoniana</v>
      </c>
      <c r="D225" s="6" t="str">
        <f t="shared" si="260"/>
        <v>35C</v>
      </c>
      <c r="E225" s="10">
        <f>IF(ISBLANK(A224),"",E224+1)</f>
        <v>2</v>
      </c>
      <c r="F225" s="11">
        <f t="shared" ref="F225:F229" si="263">F224</f>
        <v>45478.08611</v>
      </c>
      <c r="G225" s="8">
        <v>1.239</v>
      </c>
    </row>
    <row r="226">
      <c r="A226" s="9" t="str">
        <f t="shared" si="261"/>
        <v>ERIMON</v>
      </c>
      <c r="B226" s="9" t="str">
        <f>IF(ISBLANK(A224),"",LEFT(B225,27)&amp;VALUE(RIGHT(B225,1)+1))</f>
        <v>JKS240702ERIMON_35C_sample_3</v>
      </c>
      <c r="C226" s="6" t="str">
        <f t="shared" ref="C226:D226" si="262">C225</f>
        <v>Erica monsoniana</v>
      </c>
      <c r="D226" s="6" t="str">
        <f t="shared" si="262"/>
        <v>35C</v>
      </c>
      <c r="E226" s="10">
        <f>IF(ISBLANK(A224),"",E225+1)</f>
        <v>3</v>
      </c>
      <c r="F226" s="11">
        <f t="shared" si="263"/>
        <v>45478.08611</v>
      </c>
      <c r="G226" s="8">
        <v>0.427</v>
      </c>
    </row>
    <row r="227">
      <c r="A227" s="9" t="str">
        <f t="shared" si="261"/>
        <v>ERIMON</v>
      </c>
      <c r="B227" s="9" t="str">
        <f>IF(ISBLANK(A224),"",LEFT(B226,27)&amp;VALUE(RIGHT(B226,1)+1))</f>
        <v>JKS240702ERIMON_35C_sample_4</v>
      </c>
      <c r="C227" s="6" t="str">
        <f t="shared" ref="C227:D227" si="264">C226</f>
        <v>Erica monsoniana</v>
      </c>
      <c r="D227" s="6" t="str">
        <f t="shared" si="264"/>
        <v>35C</v>
      </c>
      <c r="E227" s="10">
        <f>IF(ISBLANK(A224),"",E226+1)</f>
        <v>4</v>
      </c>
      <c r="F227" s="11">
        <f t="shared" si="263"/>
        <v>45478.08611</v>
      </c>
      <c r="G227" s="8">
        <v>0.662</v>
      </c>
    </row>
    <row r="228">
      <c r="A228" s="9" t="str">
        <f t="shared" si="261"/>
        <v>ERIMON</v>
      </c>
      <c r="B228" s="9" t="str">
        <f>IF(ISBLANK(A224),"",LEFT(B227,27)&amp;VALUE(RIGHT(B227,1)+1))</f>
        <v>JKS240702ERIMON_35C_sample_5</v>
      </c>
      <c r="C228" s="6" t="str">
        <f t="shared" ref="C228:D228" si="265">C227</f>
        <v>Erica monsoniana</v>
      </c>
      <c r="D228" s="6" t="str">
        <f t="shared" si="265"/>
        <v>35C</v>
      </c>
      <c r="E228" s="10">
        <f>IF(ISBLANK(A224),"",E227+1)</f>
        <v>5</v>
      </c>
      <c r="F228" s="11">
        <f t="shared" si="263"/>
        <v>45478.08611</v>
      </c>
      <c r="G228" s="8">
        <v>1.97</v>
      </c>
    </row>
    <row r="229">
      <c r="A229" s="12" t="str">
        <f t="shared" si="261"/>
        <v>ERIMON</v>
      </c>
      <c r="B229" s="12" t="str">
        <f>IF(ISBLANK(A224),"",LEFT(B228,27)&amp;VALUE(RIGHT(B228,1)+1))</f>
        <v>JKS240702ERIMON_35C_sample_6</v>
      </c>
      <c r="C229" s="13" t="str">
        <f t="shared" ref="C229:D229" si="266">C228</f>
        <v>Erica monsoniana</v>
      </c>
      <c r="D229" s="13" t="str">
        <f t="shared" si="266"/>
        <v>35C</v>
      </c>
      <c r="E229" s="14">
        <f>IF(ISBLANK(A224),"",E228+1)</f>
        <v>6</v>
      </c>
      <c r="F229" s="15">
        <f t="shared" si="263"/>
        <v>45478.08611</v>
      </c>
      <c r="G229" s="16">
        <v>0.675</v>
      </c>
    </row>
    <row r="230">
      <c r="A230" s="5" t="s">
        <v>8</v>
      </c>
      <c r="B230" s="6" t="str">
        <f t="array" ref="B230">IF(ISBLANK(A230),"",IF(A230="PROREP (L)",VLOOKUP(LEFT($A230,6),'Data Feed (35C)'!$A$1:$G$10,2,FALSE),IF(A230="PROREP (S)", INDEX('Data Feed (35C)'!B:B, MATCH(LEFT($A230,6), 'Data Feed (35C)'!$A$1:$A$10, 0) + 1), VLOOKUP($A230,'Data Feed (35C)'!$A$1:$G$10,2,FALSE))))</f>
        <v>JKL240702PROREP_35C_sample_1</v>
      </c>
      <c r="C230" s="6" t="str">
        <f t="array" ref="C230">IF(ISBLANK(A230),"",IF(A230="PROREP (L)",VLOOKUP(LEFT($A230,6),'Data Feed (35C)'!$A$1:$G$10,3,FALSE),IF(A230="PROREP (S)", INDEX('Data Feed (35C)'!C:C, MATCH(LEFT($A230,6), 'Data Feed (35C)'!$A$1:$A$10, 0) + 1, +1), VLOOKUP($A230,'Data Feed (35C)'!$A$1:$G$10,3,FALSE))))</f>
        <v>Protea repens</v>
      </c>
      <c r="D230" s="6" t="str">
        <f t="array" ref="D230">IF(ISBLANK(A230),"",IF(A230="PROREP (L)",VLOOKUP(LEFT($A230,6),'Data Feed (35C)'!$A$1:$G$10,4,FALSE),IF(A230="PROREP (S)", INDEX('Data Feed (35C)'!D:D, MATCH(LEFT($A230,6), 'Data Feed (35C)'!$A$1:$A$10, 0) + 1, +1), VLOOKUP($A230,'Data Feed (35C)'!$A$1:$G$10,4,FALSE))))</f>
        <v>35C</v>
      </c>
      <c r="E230" s="6">
        <f t="array" ref="E230">IF(ISBLANK(A230),"",IF(A230="PROREP (L)",VLOOKUP(LEFT($A230,6),'Data Feed (35C)'!$A$1:$G$10,7,FALSE),IF(A230="PROREP (S)", INDEX('Data Feed (35C)'!G:G, MATCH(LEFT($A230,6), 'Data Feed (35C)'!$A$1:$A$10, 0) + 1, +1), VLOOKUP($A230,'Data Feed (35C)'!$A$1:$G$10,7,FALSE))))</f>
        <v>1</v>
      </c>
      <c r="F230" s="7">
        <v>45478.0875</v>
      </c>
      <c r="G230" s="8">
        <v>0.456</v>
      </c>
    </row>
    <row r="231">
      <c r="A231" s="9" t="str">
        <f t="shared" ref="A231:A235" si="268">A230</f>
        <v>PROREP (L)</v>
      </c>
      <c r="B231" s="9" t="str">
        <f>IF(ISBLANK(A230),"",LEFT(B230,27)&amp;VALUE(RIGHT(B230,1)+1))</f>
        <v>JKL240702PROREP_35C_sample_2</v>
      </c>
      <c r="C231" s="6" t="str">
        <f t="shared" ref="C231:D231" si="267">C230</f>
        <v>Protea repens</v>
      </c>
      <c r="D231" s="6" t="str">
        <f t="shared" si="267"/>
        <v>35C</v>
      </c>
      <c r="E231" s="10">
        <f>IF(ISBLANK(A230),"",E230+1)</f>
        <v>2</v>
      </c>
      <c r="F231" s="11">
        <f t="shared" ref="F231:F235" si="270">F230</f>
        <v>45478.0875</v>
      </c>
      <c r="G231" s="8">
        <v>0.506</v>
      </c>
    </row>
    <row r="232">
      <c r="A232" s="9" t="str">
        <f t="shared" si="268"/>
        <v>PROREP (L)</v>
      </c>
      <c r="B232" s="9" t="str">
        <f>IF(ISBLANK(A230),"",LEFT(B231,27)&amp;VALUE(RIGHT(B231,1)+1))</f>
        <v>JKL240702PROREP_35C_sample_3</v>
      </c>
      <c r="C232" s="6" t="str">
        <f t="shared" ref="C232:D232" si="269">C231</f>
        <v>Protea repens</v>
      </c>
      <c r="D232" s="6" t="str">
        <f t="shared" si="269"/>
        <v>35C</v>
      </c>
      <c r="E232" s="10">
        <f>IF(ISBLANK(A230),"",E231+1)</f>
        <v>3</v>
      </c>
      <c r="F232" s="11">
        <f t="shared" si="270"/>
        <v>45478.0875</v>
      </c>
      <c r="G232" s="8">
        <v>0.498</v>
      </c>
    </row>
    <row r="233">
      <c r="A233" s="9" t="str">
        <f t="shared" si="268"/>
        <v>PROREP (L)</v>
      </c>
      <c r="B233" s="9" t="str">
        <f>IF(ISBLANK(A230),"",LEFT(B232,27)&amp;VALUE(RIGHT(B232,1)+1))</f>
        <v>JKL240702PROREP_35C_sample_4</v>
      </c>
      <c r="C233" s="6" t="str">
        <f t="shared" ref="C233:D233" si="271">C232</f>
        <v>Protea repens</v>
      </c>
      <c r="D233" s="6" t="str">
        <f t="shared" si="271"/>
        <v>35C</v>
      </c>
      <c r="E233" s="10">
        <f>IF(ISBLANK(A230),"",E232+1)</f>
        <v>4</v>
      </c>
      <c r="F233" s="11">
        <f t="shared" si="270"/>
        <v>45478.0875</v>
      </c>
      <c r="G233" s="8">
        <v>0.399</v>
      </c>
    </row>
    <row r="234">
      <c r="A234" s="9" t="str">
        <f t="shared" si="268"/>
        <v>PROREP (L)</v>
      </c>
      <c r="B234" s="9" t="str">
        <f>IF(ISBLANK(A230),"",LEFT(B233,27)&amp;VALUE(RIGHT(B233,1)+1))</f>
        <v>JKL240702PROREP_35C_sample_5</v>
      </c>
      <c r="C234" s="6" t="str">
        <f t="shared" ref="C234:D234" si="272">C233</f>
        <v>Protea repens</v>
      </c>
      <c r="D234" s="6" t="str">
        <f t="shared" si="272"/>
        <v>35C</v>
      </c>
      <c r="E234" s="10">
        <f>IF(ISBLANK(A230),"",E233+1)</f>
        <v>5</v>
      </c>
      <c r="F234" s="11">
        <f t="shared" si="270"/>
        <v>45478.0875</v>
      </c>
      <c r="G234" s="8">
        <v>0.37</v>
      </c>
    </row>
    <row r="235">
      <c r="A235" s="12" t="str">
        <f t="shared" si="268"/>
        <v>PROREP (L)</v>
      </c>
      <c r="B235" s="12" t="str">
        <f>IF(ISBLANK(A230),"",LEFT(B234,27)&amp;VALUE(RIGHT(B234,1)+1))</f>
        <v>JKL240702PROREP_35C_sample_6</v>
      </c>
      <c r="C235" s="13" t="str">
        <f t="shared" ref="C235:D235" si="273">C234</f>
        <v>Protea repens</v>
      </c>
      <c r="D235" s="13" t="str">
        <f t="shared" si="273"/>
        <v>35C</v>
      </c>
      <c r="E235" s="14">
        <f>IF(ISBLANK(A230),"",E234+1)</f>
        <v>6</v>
      </c>
      <c r="F235" s="15">
        <f t="shared" si="270"/>
        <v>45478.0875</v>
      </c>
      <c r="G235" s="16">
        <v>0.312</v>
      </c>
    </row>
    <row r="236">
      <c r="A236" s="5" t="s">
        <v>9</v>
      </c>
      <c r="B236" s="6" t="str">
        <f t="array" ref="B236">IF(ISBLANK(A236),"",IF(A236="PROREP (L)",VLOOKUP(LEFT($A236,6),'Data Feed (35C)'!$A$1:$G$10,2,FALSE),IF(A236="PROREP (S)", INDEX('Data Feed (35C)'!B:B, MATCH(LEFT($A236,6), 'Data Feed (35C)'!$A$1:$A$10, 0) + 1), VLOOKUP($A236,'Data Feed (35C)'!$A$1:$G$10,2,FALSE))))</f>
        <v>JKS240702PROREP_35C_sample_1</v>
      </c>
      <c r="C236" s="6" t="str">
        <f t="array" ref="C236">IF(ISBLANK(A236),"",IF(A236="PROREP (L)",VLOOKUP(LEFT($A236,6),'Data Feed (35C)'!$A$1:$G$10,3,FALSE),IF(A236="PROREP (S)", INDEX('Data Feed (35C)'!C:C, MATCH(LEFT($A236,6), 'Data Feed (35C)'!$A$1:$A$10, 0) + 1, +1), VLOOKUP($A236,'Data Feed (35C)'!$A$1:$G$10,3,FALSE))))</f>
        <v>Protea repens</v>
      </c>
      <c r="D236" s="6" t="str">
        <f t="array" ref="D236">IF(ISBLANK(A236),"",IF(A236="PROREP (L)",VLOOKUP(LEFT($A236,6),'Data Feed (35C)'!$A$1:$G$10,4,FALSE),IF(A236="PROREP (S)", INDEX('Data Feed (35C)'!D:D, MATCH(LEFT($A236,6), 'Data Feed (35C)'!$A$1:$A$10, 0) + 1, +1), VLOOKUP($A236,'Data Feed (35C)'!$A$1:$G$10,4,FALSE))))</f>
        <v>35C</v>
      </c>
      <c r="E236" s="6">
        <f t="array" ref="E236">IF(ISBLANK(A236),"",IF(A236="PROREP (L)",VLOOKUP(LEFT($A236,6),'Data Feed (35C)'!$A$1:$G$10,7,FALSE),IF(A236="PROREP (S)", INDEX('Data Feed (35C)'!G:G, MATCH(LEFT($A236,6), 'Data Feed (35C)'!$A$1:$A$10, 0) + 1, +1), VLOOKUP($A236,'Data Feed (35C)'!$A$1:$G$10,7,FALSE))))</f>
        <v>1</v>
      </c>
      <c r="F236" s="7">
        <v>45478.08888888889</v>
      </c>
      <c r="G236" s="8">
        <v>8.802</v>
      </c>
    </row>
    <row r="237">
      <c r="A237" s="9" t="str">
        <f t="shared" ref="A237:A241" si="275">A236</f>
        <v>PROREP (S)</v>
      </c>
      <c r="B237" s="9" t="str">
        <f>IF(ISBLANK(A236),"",LEFT(B236,27)&amp;VALUE(RIGHT(B236,1)+1))</f>
        <v>JKS240702PROREP_35C_sample_2</v>
      </c>
      <c r="C237" s="6" t="str">
        <f t="shared" ref="C237:D237" si="274">C236</f>
        <v>Protea repens</v>
      </c>
      <c r="D237" s="6" t="str">
        <f t="shared" si="274"/>
        <v>35C</v>
      </c>
      <c r="E237" s="10">
        <f>IF(ISBLANK(A236),"",E236+1)</f>
        <v>2</v>
      </c>
      <c r="F237" s="11">
        <f t="shared" ref="F237:F241" si="277">F236</f>
        <v>45478.08889</v>
      </c>
      <c r="G237" s="8">
        <v>16.555</v>
      </c>
    </row>
    <row r="238">
      <c r="A238" s="9" t="str">
        <f t="shared" si="275"/>
        <v>PROREP (S)</v>
      </c>
      <c r="B238" s="9" t="str">
        <f>IF(ISBLANK(A236),"",LEFT(B237,27)&amp;VALUE(RIGHT(B237,1)+1))</f>
        <v>JKS240702PROREP_35C_sample_3</v>
      </c>
      <c r="C238" s="6" t="str">
        <f t="shared" ref="C238:D238" si="276">C237</f>
        <v>Protea repens</v>
      </c>
      <c r="D238" s="6" t="str">
        <f t="shared" si="276"/>
        <v>35C</v>
      </c>
      <c r="E238" s="10">
        <f>IF(ISBLANK(A236),"",E237+1)</f>
        <v>3</v>
      </c>
      <c r="F238" s="11">
        <f t="shared" si="277"/>
        <v>45478.08889</v>
      </c>
      <c r="G238" s="8">
        <v>12.009</v>
      </c>
    </row>
    <row r="239">
      <c r="A239" s="9" t="str">
        <f t="shared" si="275"/>
        <v>PROREP (S)</v>
      </c>
      <c r="B239" s="9" t="str">
        <f>IF(ISBLANK(A236),"",LEFT(B238,27)&amp;VALUE(RIGHT(B238,1)+1))</f>
        <v>JKS240702PROREP_35C_sample_4</v>
      </c>
      <c r="C239" s="6" t="str">
        <f t="shared" ref="C239:D239" si="278">C238</f>
        <v>Protea repens</v>
      </c>
      <c r="D239" s="6" t="str">
        <f t="shared" si="278"/>
        <v>35C</v>
      </c>
      <c r="E239" s="10">
        <f>IF(ISBLANK(A236),"",E238+1)</f>
        <v>4</v>
      </c>
      <c r="F239" s="11">
        <f t="shared" si="277"/>
        <v>45478.08889</v>
      </c>
      <c r="G239" s="8">
        <v>3.42</v>
      </c>
    </row>
    <row r="240">
      <c r="A240" s="9" t="str">
        <f t="shared" si="275"/>
        <v>PROREP (S)</v>
      </c>
      <c r="B240" s="9" t="str">
        <f>IF(ISBLANK(A236),"",LEFT(B239,27)&amp;VALUE(RIGHT(B239,1)+1))</f>
        <v>JKS240702PROREP_35C_sample_5</v>
      </c>
      <c r="C240" s="6" t="str">
        <f t="shared" ref="C240:D240" si="279">C239</f>
        <v>Protea repens</v>
      </c>
      <c r="D240" s="6" t="str">
        <f t="shared" si="279"/>
        <v>35C</v>
      </c>
      <c r="E240" s="10">
        <f>IF(ISBLANK(A236),"",E239+1)</f>
        <v>5</v>
      </c>
      <c r="F240" s="11">
        <f t="shared" si="277"/>
        <v>45478.08889</v>
      </c>
      <c r="G240" s="8">
        <v>4.358</v>
      </c>
    </row>
    <row r="241">
      <c r="A241" s="12" t="str">
        <f t="shared" si="275"/>
        <v>PROREP (S)</v>
      </c>
      <c r="B241" s="12" t="str">
        <f>IF(ISBLANK(A236),"",LEFT(B240,27)&amp;VALUE(RIGHT(B240,1)+1))</f>
        <v>JKS240702PROREP_35C_sample_6</v>
      </c>
      <c r="C241" s="13" t="str">
        <f t="shared" ref="C241:D241" si="280">C240</f>
        <v>Protea repens</v>
      </c>
      <c r="D241" s="13" t="str">
        <f t="shared" si="280"/>
        <v>35C</v>
      </c>
      <c r="E241" s="14">
        <f>IF(ISBLANK(A236),"",E240+1)</f>
        <v>6</v>
      </c>
      <c r="F241" s="15">
        <f t="shared" si="277"/>
        <v>45478.08889</v>
      </c>
      <c r="G241" s="16">
        <v>6.716</v>
      </c>
    </row>
    <row r="242">
      <c r="A242" s="5" t="s">
        <v>10</v>
      </c>
      <c r="B242" s="6" t="str">
        <f t="array" ref="B242">IF(ISBLANK(A242),"",IF(A242="PROREP (L)",VLOOKUP(LEFT($A242,6),'Data Feed (35C)'!$A$1:$G$10,2,FALSE),IF(A242="PROREP (S)", INDEX('Data Feed (35C)'!B:B, MATCH(LEFT($A242,6), 'Data Feed (35C)'!$A$1:$A$10, 0) + 1), VLOOKUP($A242,'Data Feed (35C)'!$A$1:$G$10,2,FALSE))))</f>
        <v>JKS240702CANCON_35C_sample_1</v>
      </c>
      <c r="C242" s="6" t="str">
        <f t="array" ref="C242">IF(ISBLANK(A242),"",IF(A242="PROREP (L)",VLOOKUP(LEFT($A242,6),'Data Feed (35C)'!$A$1:$G$10,3,FALSE),IF(A242="PROREP (S)", INDEX('Data Feed (35C)'!C:C, MATCH(LEFT($A242,6), 'Data Feed (35C)'!$A$1:$A$10, 0) + 1, +1), VLOOKUP($A242,'Data Feed (35C)'!$A$1:$G$10,3,FALSE))))</f>
        <v>Cannomois congesta</v>
      </c>
      <c r="D242" s="6" t="str">
        <f t="array" ref="D242">IF(ISBLANK(A242),"",IF(A242="PROREP (L)",VLOOKUP(LEFT($A242,6),'Data Feed (35C)'!$A$1:$G$10,4,FALSE),IF(A242="PROREP (S)", INDEX('Data Feed (35C)'!D:D, MATCH(LEFT($A242,6), 'Data Feed (35C)'!$A$1:$A$10, 0) + 1, +1), VLOOKUP($A242,'Data Feed (35C)'!$A$1:$G$10,4,FALSE))))</f>
        <v>35C</v>
      </c>
      <c r="E242" s="6">
        <f t="array" ref="E242">IF(ISBLANK(A242),"",IF(A242="PROREP (L)",VLOOKUP(LEFT($A242,6),'Data Feed (35C)'!$A$1:$G$10,7,FALSE),IF(A242="PROREP (S)", INDEX('Data Feed (35C)'!G:G, MATCH(LEFT($A242,6), 'Data Feed (35C)'!$A$1:$A$10, 0) + 1, +1), VLOOKUP($A242,'Data Feed (35C)'!$A$1:$G$10,7,FALSE))))</f>
        <v>1</v>
      </c>
      <c r="F242" s="7">
        <v>45478.09027777778</v>
      </c>
      <c r="G242" s="8">
        <v>0.525</v>
      </c>
    </row>
    <row r="243">
      <c r="A243" s="9" t="str">
        <f t="shared" ref="A243:A247" si="282">A242</f>
        <v>CANCON</v>
      </c>
      <c r="B243" s="9" t="str">
        <f>IF(ISBLANK(A242),"",LEFT(B242,27)&amp;VALUE(RIGHT(B242,1)+1))</f>
        <v>JKS240702CANCON_35C_sample_2</v>
      </c>
      <c r="C243" s="6" t="str">
        <f t="shared" ref="C243:D243" si="281">C242</f>
        <v>Cannomois congesta</v>
      </c>
      <c r="D243" s="6" t="str">
        <f t="shared" si="281"/>
        <v>35C</v>
      </c>
      <c r="E243" s="10">
        <f>IF(ISBLANK(A242),"",E242+1)</f>
        <v>2</v>
      </c>
      <c r="F243" s="11">
        <f t="shared" ref="F243:F247" si="284">F242</f>
        <v>45478.09028</v>
      </c>
      <c r="G243" s="8">
        <v>2.237</v>
      </c>
    </row>
    <row r="244">
      <c r="A244" s="9" t="str">
        <f t="shared" si="282"/>
        <v>CANCON</v>
      </c>
      <c r="B244" s="9" t="str">
        <f>IF(ISBLANK(A242),"",LEFT(B243,27)&amp;VALUE(RIGHT(B243,1)+1))</f>
        <v>JKS240702CANCON_35C_sample_3</v>
      </c>
      <c r="C244" s="6" t="str">
        <f t="shared" ref="C244:D244" si="283">C243</f>
        <v>Cannomois congesta</v>
      </c>
      <c r="D244" s="6" t="str">
        <f t="shared" si="283"/>
        <v>35C</v>
      </c>
      <c r="E244" s="10">
        <f>IF(ISBLANK(A242),"",E243+1)</f>
        <v>3</v>
      </c>
      <c r="F244" s="11">
        <f t="shared" si="284"/>
        <v>45478.09028</v>
      </c>
      <c r="G244" s="8">
        <v>0.964</v>
      </c>
    </row>
    <row r="245">
      <c r="A245" s="9" t="str">
        <f t="shared" si="282"/>
        <v>CANCON</v>
      </c>
      <c r="B245" s="9" t="str">
        <f>IF(ISBLANK(A242),"",LEFT(B244,27)&amp;VALUE(RIGHT(B244,1)+1))</f>
        <v>JKS240702CANCON_35C_sample_4</v>
      </c>
      <c r="C245" s="6" t="str">
        <f t="shared" ref="C245:D245" si="285">C244</f>
        <v>Cannomois congesta</v>
      </c>
      <c r="D245" s="6" t="str">
        <f t="shared" si="285"/>
        <v>35C</v>
      </c>
      <c r="E245" s="10">
        <f>IF(ISBLANK(A242),"",E244+1)</f>
        <v>4</v>
      </c>
      <c r="F245" s="11">
        <f t="shared" si="284"/>
        <v>45478.09028</v>
      </c>
      <c r="G245" s="8">
        <v>1.088</v>
      </c>
    </row>
    <row r="246">
      <c r="A246" s="9" t="str">
        <f t="shared" si="282"/>
        <v>CANCON</v>
      </c>
      <c r="B246" s="9" t="str">
        <f>IF(ISBLANK(A242),"",LEFT(B245,27)&amp;VALUE(RIGHT(B245,1)+1))</f>
        <v>JKS240702CANCON_35C_sample_5</v>
      </c>
      <c r="C246" s="6" t="str">
        <f t="shared" ref="C246:D246" si="286">C245</f>
        <v>Cannomois congesta</v>
      </c>
      <c r="D246" s="6" t="str">
        <f t="shared" si="286"/>
        <v>35C</v>
      </c>
      <c r="E246" s="10">
        <f>IF(ISBLANK(A242),"",E245+1)</f>
        <v>5</v>
      </c>
      <c r="F246" s="11">
        <f t="shared" si="284"/>
        <v>45478.09028</v>
      </c>
      <c r="G246" s="8">
        <v>1.412</v>
      </c>
    </row>
    <row r="247">
      <c r="A247" s="12" t="str">
        <f t="shared" si="282"/>
        <v>CANCON</v>
      </c>
      <c r="B247" s="12" t="str">
        <f>IF(ISBLANK(A242),"",LEFT(B246,27)&amp;VALUE(RIGHT(B246,1)+1))</f>
        <v>JKS240702CANCON_35C_sample_6</v>
      </c>
      <c r="C247" s="13" t="str">
        <f t="shared" ref="C247:D247" si="287">C246</f>
        <v>Cannomois congesta</v>
      </c>
      <c r="D247" s="13" t="str">
        <f t="shared" si="287"/>
        <v>35C</v>
      </c>
      <c r="E247" s="14">
        <f>IF(ISBLANK(A242),"",E246+1)</f>
        <v>6</v>
      </c>
      <c r="F247" s="15">
        <f t="shared" si="284"/>
        <v>45478.09028</v>
      </c>
      <c r="G247" s="16">
        <v>1.596</v>
      </c>
    </row>
    <row r="248">
      <c r="A248" s="5" t="s">
        <v>7</v>
      </c>
      <c r="B248" s="6" t="str">
        <f t="array" ref="B248">IF(ISBLANK(A248),"",IF(A248="PROREP (L)",VLOOKUP(LEFT($A248,6),'Data Feed (35C)'!$A$1:$G$10,2,FALSE),IF(A248="PROREP (S)", INDEX('Data Feed (35C)'!B:B, MATCH(LEFT($A248,6), 'Data Feed (35C)'!$A$1:$A$10, 0) + 1), VLOOKUP($A248,'Data Feed (35C)'!$A$1:$G$10,2,FALSE))))</f>
        <v>JKS240702ERIMON_35C_sample_1</v>
      </c>
      <c r="C248" s="6" t="str">
        <f t="array" ref="C248">IF(ISBLANK(A248),"",IF(A248="PROREP (L)",VLOOKUP(LEFT($A248,6),'Data Feed (35C)'!$A$1:$G$10,3,FALSE),IF(A248="PROREP (S)", INDEX('Data Feed (35C)'!C:C, MATCH(LEFT($A248,6), 'Data Feed (35C)'!$A$1:$A$10, 0) + 1, +1), VLOOKUP($A248,'Data Feed (35C)'!$A$1:$G$10,3,FALSE))))</f>
        <v>Erica monsoniana</v>
      </c>
      <c r="D248" s="6" t="str">
        <f t="array" ref="D248">IF(ISBLANK(A248),"",IF(A248="PROREP (L)",VLOOKUP(LEFT($A248,6),'Data Feed (35C)'!$A$1:$G$10,4,FALSE),IF(A248="PROREP (S)", INDEX('Data Feed (35C)'!D:D, MATCH(LEFT($A248,6), 'Data Feed (35C)'!$A$1:$A$10, 0) + 1, +1), VLOOKUP($A248,'Data Feed (35C)'!$A$1:$G$10,4,FALSE))))</f>
        <v>35C</v>
      </c>
      <c r="E248" s="6">
        <f t="array" ref="E248">IF(ISBLANK(A248),"",IF(A248="PROREP (L)",VLOOKUP(LEFT($A248,6),'Data Feed (35C)'!$A$1:$G$10,7,FALSE),IF(A248="PROREP (S)", INDEX('Data Feed (35C)'!G:G, MATCH(LEFT($A248,6), 'Data Feed (35C)'!$A$1:$A$10, 0) + 1, +1), VLOOKUP($A248,'Data Feed (35C)'!$A$1:$G$10,7,FALSE))))</f>
        <v>1</v>
      </c>
      <c r="F248" s="7">
        <v>45478.209027777775</v>
      </c>
      <c r="G248" s="8">
        <v>1.902</v>
      </c>
    </row>
    <row r="249">
      <c r="A249" s="9" t="str">
        <f t="shared" ref="A249:A253" si="289">A248</f>
        <v>ERIMON</v>
      </c>
      <c r="B249" s="9" t="str">
        <f>IF(ISBLANK(A248),"",LEFT(B248,27)&amp;VALUE(RIGHT(B248,1)+1))</f>
        <v>JKS240702ERIMON_35C_sample_2</v>
      </c>
      <c r="C249" s="6" t="str">
        <f t="shared" ref="C249:D249" si="288">C248</f>
        <v>Erica monsoniana</v>
      </c>
      <c r="D249" s="6" t="str">
        <f t="shared" si="288"/>
        <v>35C</v>
      </c>
      <c r="E249" s="10">
        <f>IF(ISBLANK(A248),"",E248+1)</f>
        <v>2</v>
      </c>
      <c r="F249" s="11">
        <f t="shared" ref="F249:F253" si="291">F248</f>
        <v>45478.20903</v>
      </c>
      <c r="G249" s="8">
        <v>1.142</v>
      </c>
    </row>
    <row r="250">
      <c r="A250" s="9" t="str">
        <f t="shared" si="289"/>
        <v>ERIMON</v>
      </c>
      <c r="B250" s="9" t="str">
        <f>IF(ISBLANK(A248),"",LEFT(B249,27)&amp;VALUE(RIGHT(B249,1)+1))</f>
        <v>JKS240702ERIMON_35C_sample_3</v>
      </c>
      <c r="C250" s="6" t="str">
        <f t="shared" ref="C250:D250" si="290">C249</f>
        <v>Erica monsoniana</v>
      </c>
      <c r="D250" s="6" t="str">
        <f t="shared" si="290"/>
        <v>35C</v>
      </c>
      <c r="E250" s="10">
        <f>IF(ISBLANK(A248),"",E249+1)</f>
        <v>3</v>
      </c>
      <c r="F250" s="11">
        <f t="shared" si="291"/>
        <v>45478.20903</v>
      </c>
      <c r="G250" s="8">
        <v>0.39</v>
      </c>
    </row>
    <row r="251">
      <c r="A251" s="9" t="str">
        <f t="shared" si="289"/>
        <v>ERIMON</v>
      </c>
      <c r="B251" s="9" t="str">
        <f>IF(ISBLANK(A248),"",LEFT(B250,27)&amp;VALUE(RIGHT(B250,1)+1))</f>
        <v>JKS240702ERIMON_35C_sample_4</v>
      </c>
      <c r="C251" s="6" t="str">
        <f t="shared" ref="C251:D251" si="292">C250</f>
        <v>Erica monsoniana</v>
      </c>
      <c r="D251" s="6" t="str">
        <f t="shared" si="292"/>
        <v>35C</v>
      </c>
      <c r="E251" s="10">
        <f>IF(ISBLANK(A248),"",E250+1)</f>
        <v>4</v>
      </c>
      <c r="F251" s="11">
        <f t="shared" si="291"/>
        <v>45478.20903</v>
      </c>
      <c r="G251" s="8">
        <v>0.644</v>
      </c>
    </row>
    <row r="252">
      <c r="A252" s="9" t="str">
        <f t="shared" si="289"/>
        <v>ERIMON</v>
      </c>
      <c r="B252" s="9" t="str">
        <f>IF(ISBLANK(A248),"",LEFT(B251,27)&amp;VALUE(RIGHT(B251,1)+1))</f>
        <v>JKS240702ERIMON_35C_sample_5</v>
      </c>
      <c r="C252" s="6" t="str">
        <f t="shared" ref="C252:D252" si="293">C251</f>
        <v>Erica monsoniana</v>
      </c>
      <c r="D252" s="6" t="str">
        <f t="shared" si="293"/>
        <v>35C</v>
      </c>
      <c r="E252" s="10">
        <f>IF(ISBLANK(A248),"",E251+1)</f>
        <v>5</v>
      </c>
      <c r="F252" s="11">
        <f t="shared" si="291"/>
        <v>45478.20903</v>
      </c>
      <c r="G252" s="8">
        <v>1.933</v>
      </c>
    </row>
    <row r="253">
      <c r="A253" s="12" t="str">
        <f t="shared" si="289"/>
        <v>ERIMON</v>
      </c>
      <c r="B253" s="12" t="str">
        <f>IF(ISBLANK(A248),"",LEFT(B252,27)&amp;VALUE(RIGHT(B252,1)+1))</f>
        <v>JKS240702ERIMON_35C_sample_6</v>
      </c>
      <c r="C253" s="13" t="str">
        <f t="shared" ref="C253:D253" si="294">C252</f>
        <v>Erica monsoniana</v>
      </c>
      <c r="D253" s="13" t="str">
        <f t="shared" si="294"/>
        <v>35C</v>
      </c>
      <c r="E253" s="14">
        <f>IF(ISBLANK(A248),"",E252+1)</f>
        <v>6</v>
      </c>
      <c r="F253" s="15">
        <f t="shared" si="291"/>
        <v>45478.20903</v>
      </c>
      <c r="G253" s="16">
        <v>0.668</v>
      </c>
    </row>
    <row r="254">
      <c r="A254" s="5" t="s">
        <v>8</v>
      </c>
      <c r="B254" s="6" t="str">
        <f t="array" ref="B254">IF(ISBLANK(A254),"",IF(A254="PROREP (L)",VLOOKUP(LEFT($A254,6),'Data Feed (35C)'!$A$1:$G$10,2,FALSE),IF(A254="PROREP (S)", INDEX('Data Feed (35C)'!B:B, MATCH(LEFT($A254,6), 'Data Feed (35C)'!$A$1:$A$10, 0) + 1), VLOOKUP($A254,'Data Feed (35C)'!$A$1:$G$10,2,FALSE))))</f>
        <v>JKL240702PROREP_35C_sample_1</v>
      </c>
      <c r="C254" s="6" t="str">
        <f t="array" ref="C254">IF(ISBLANK(A254),"",IF(A254="PROREP (L)",VLOOKUP(LEFT($A254,6),'Data Feed (35C)'!$A$1:$G$10,3,FALSE),IF(A254="PROREP (S)", INDEX('Data Feed (35C)'!C:C, MATCH(LEFT($A254,6), 'Data Feed (35C)'!$A$1:$A$10, 0) + 1, +1), VLOOKUP($A254,'Data Feed (35C)'!$A$1:$G$10,3,FALSE))))</f>
        <v>Protea repens</v>
      </c>
      <c r="D254" s="6" t="str">
        <f t="array" ref="D254">IF(ISBLANK(A254),"",IF(A254="PROREP (L)",VLOOKUP(LEFT($A254,6),'Data Feed (35C)'!$A$1:$G$10,4,FALSE),IF(A254="PROREP (S)", INDEX('Data Feed (35C)'!D:D, MATCH(LEFT($A254,6), 'Data Feed (35C)'!$A$1:$A$10, 0) + 1, +1), VLOOKUP($A254,'Data Feed (35C)'!$A$1:$G$10,4,FALSE))))</f>
        <v>35C</v>
      </c>
      <c r="E254" s="6">
        <f t="array" ref="E254">IF(ISBLANK(A254),"",IF(A254="PROREP (L)",VLOOKUP(LEFT($A254,6),'Data Feed (35C)'!$A$1:$G$10,7,FALSE),IF(A254="PROREP (S)", INDEX('Data Feed (35C)'!G:G, MATCH(LEFT($A254,6), 'Data Feed (35C)'!$A$1:$A$10, 0) + 1, +1), VLOOKUP($A254,'Data Feed (35C)'!$A$1:$G$10,7,FALSE))))</f>
        <v>1</v>
      </c>
      <c r="F254" s="7">
        <v>45478.20972222222</v>
      </c>
      <c r="G254" s="8">
        <v>0.428</v>
      </c>
    </row>
    <row r="255">
      <c r="A255" s="9" t="str">
        <f t="shared" ref="A255:A259" si="296">A254</f>
        <v>PROREP (L)</v>
      </c>
      <c r="B255" s="9" t="str">
        <f>IF(ISBLANK(A254),"",LEFT(B254,27)&amp;VALUE(RIGHT(B254,1)+1))</f>
        <v>JKL240702PROREP_35C_sample_2</v>
      </c>
      <c r="C255" s="6" t="str">
        <f t="shared" ref="C255:D255" si="295">C254</f>
        <v>Protea repens</v>
      </c>
      <c r="D255" s="6" t="str">
        <f t="shared" si="295"/>
        <v>35C</v>
      </c>
      <c r="E255" s="10">
        <f>IF(ISBLANK(A254),"",E254+1)</f>
        <v>2</v>
      </c>
      <c r="F255" s="11">
        <f t="shared" ref="F255:F259" si="298">F254</f>
        <v>45478.20972</v>
      </c>
      <c r="G255" s="8">
        <v>0.48</v>
      </c>
    </row>
    <row r="256">
      <c r="A256" s="9" t="str">
        <f t="shared" si="296"/>
        <v>PROREP (L)</v>
      </c>
      <c r="B256" s="9" t="str">
        <f>IF(ISBLANK(A254),"",LEFT(B255,27)&amp;VALUE(RIGHT(B255,1)+1))</f>
        <v>JKL240702PROREP_35C_sample_3</v>
      </c>
      <c r="C256" s="6" t="str">
        <f t="shared" ref="C256:D256" si="297">C255</f>
        <v>Protea repens</v>
      </c>
      <c r="D256" s="6" t="str">
        <f t="shared" si="297"/>
        <v>35C</v>
      </c>
      <c r="E256" s="10">
        <f>IF(ISBLANK(A254),"",E255+1)</f>
        <v>3</v>
      </c>
      <c r="F256" s="11">
        <f t="shared" si="298"/>
        <v>45478.20972</v>
      </c>
      <c r="G256" s="8">
        <v>0.438</v>
      </c>
    </row>
    <row r="257">
      <c r="A257" s="9" t="str">
        <f t="shared" si="296"/>
        <v>PROREP (L)</v>
      </c>
      <c r="B257" s="9" t="str">
        <f>IF(ISBLANK(A254),"",LEFT(B256,27)&amp;VALUE(RIGHT(B256,1)+1))</f>
        <v>JKL240702PROREP_35C_sample_4</v>
      </c>
      <c r="C257" s="6" t="str">
        <f t="shared" ref="C257:D257" si="299">C256</f>
        <v>Protea repens</v>
      </c>
      <c r="D257" s="6" t="str">
        <f t="shared" si="299"/>
        <v>35C</v>
      </c>
      <c r="E257" s="10">
        <f>IF(ISBLANK(A254),"",E256+1)</f>
        <v>4</v>
      </c>
      <c r="F257" s="11">
        <f t="shared" si="298"/>
        <v>45478.20972</v>
      </c>
      <c r="G257" s="8">
        <v>0.373</v>
      </c>
    </row>
    <row r="258">
      <c r="A258" s="9" t="str">
        <f t="shared" si="296"/>
        <v>PROREP (L)</v>
      </c>
      <c r="B258" s="9" t="str">
        <f>IF(ISBLANK(A254),"",LEFT(B257,27)&amp;VALUE(RIGHT(B257,1)+1))</f>
        <v>JKL240702PROREP_35C_sample_5</v>
      </c>
      <c r="C258" s="6" t="str">
        <f t="shared" ref="C258:D258" si="300">C257</f>
        <v>Protea repens</v>
      </c>
      <c r="D258" s="6" t="str">
        <f t="shared" si="300"/>
        <v>35C</v>
      </c>
      <c r="E258" s="10">
        <f>IF(ISBLANK(A254),"",E257+1)</f>
        <v>5</v>
      </c>
      <c r="F258" s="11">
        <f t="shared" si="298"/>
        <v>45478.20972</v>
      </c>
      <c r="G258" s="8">
        <v>0.345</v>
      </c>
    </row>
    <row r="259">
      <c r="A259" s="12" t="str">
        <f t="shared" si="296"/>
        <v>PROREP (L)</v>
      </c>
      <c r="B259" s="12" t="str">
        <f>IF(ISBLANK(A254),"",LEFT(B258,27)&amp;VALUE(RIGHT(B258,1)+1))</f>
        <v>JKL240702PROREP_35C_sample_6</v>
      </c>
      <c r="C259" s="13" t="str">
        <f t="shared" ref="C259:D259" si="301">C258</f>
        <v>Protea repens</v>
      </c>
      <c r="D259" s="13" t="str">
        <f t="shared" si="301"/>
        <v>35C</v>
      </c>
      <c r="E259" s="14">
        <f>IF(ISBLANK(A254),"",E258+1)</f>
        <v>6</v>
      </c>
      <c r="F259" s="15">
        <f t="shared" si="298"/>
        <v>45478.20972</v>
      </c>
      <c r="G259" s="16">
        <v>0.288</v>
      </c>
    </row>
    <row r="260">
      <c r="A260" s="5" t="s">
        <v>9</v>
      </c>
      <c r="B260" s="6" t="str">
        <f t="array" ref="B260">IF(ISBLANK(A260),"",IF(A260="PROREP (L)",VLOOKUP(LEFT($A260,6),'Data Feed (35C)'!$A$1:$G$10,2,FALSE),IF(A260="PROREP (S)", INDEX('Data Feed (35C)'!B:B, MATCH(LEFT($A260,6), 'Data Feed (35C)'!$A$1:$A$10, 0) + 1), VLOOKUP($A260,'Data Feed (35C)'!$A$1:$G$10,2,FALSE))))</f>
        <v>JKS240702PROREP_35C_sample_1</v>
      </c>
      <c r="C260" s="6" t="str">
        <f t="array" ref="C260">IF(ISBLANK(A260),"",IF(A260="PROREP (L)",VLOOKUP(LEFT($A260,6),'Data Feed (35C)'!$A$1:$G$10,3,FALSE),IF(A260="PROREP (S)", INDEX('Data Feed (35C)'!C:C, MATCH(LEFT($A260,6), 'Data Feed (35C)'!$A$1:$A$10, 0) + 1, +1), VLOOKUP($A260,'Data Feed (35C)'!$A$1:$G$10,3,FALSE))))</f>
        <v>Protea repens</v>
      </c>
      <c r="D260" s="6" t="str">
        <f t="array" ref="D260">IF(ISBLANK(A260),"",IF(A260="PROREP (L)",VLOOKUP(LEFT($A260,6),'Data Feed (35C)'!$A$1:$G$10,4,FALSE),IF(A260="PROREP (S)", INDEX('Data Feed (35C)'!D:D, MATCH(LEFT($A260,6), 'Data Feed (35C)'!$A$1:$A$10, 0) + 1, +1), VLOOKUP($A260,'Data Feed (35C)'!$A$1:$G$10,4,FALSE))))</f>
        <v>35C</v>
      </c>
      <c r="E260" s="6">
        <f t="array" ref="E260">IF(ISBLANK(A260),"",IF(A260="PROREP (L)",VLOOKUP(LEFT($A260,6),'Data Feed (35C)'!$A$1:$G$10,7,FALSE),IF(A260="PROREP (S)", INDEX('Data Feed (35C)'!G:G, MATCH(LEFT($A260,6), 'Data Feed (35C)'!$A$1:$A$10, 0) + 1, +1), VLOOKUP($A260,'Data Feed (35C)'!$A$1:$G$10,7,FALSE))))</f>
        <v>1</v>
      </c>
      <c r="F260" s="7">
        <v>45478.21111111111</v>
      </c>
      <c r="G260" s="8">
        <v>8.459</v>
      </c>
    </row>
    <row r="261">
      <c r="A261" s="9" t="str">
        <f t="shared" ref="A261:A265" si="303">A260</f>
        <v>PROREP (S)</v>
      </c>
      <c r="B261" s="9" t="str">
        <f>IF(ISBLANK(A260),"",LEFT(B260,27)&amp;VALUE(RIGHT(B260,1)+1))</f>
        <v>JKS240702PROREP_35C_sample_2</v>
      </c>
      <c r="C261" s="6" t="str">
        <f t="shared" ref="C261:D261" si="302">C260</f>
        <v>Protea repens</v>
      </c>
      <c r="D261" s="6" t="str">
        <f t="shared" si="302"/>
        <v>35C</v>
      </c>
      <c r="E261" s="10">
        <f>IF(ISBLANK(A260),"",E260+1)</f>
        <v>2</v>
      </c>
      <c r="F261" s="11">
        <f t="shared" ref="F261:F265" si="305">F260</f>
        <v>45478.21111</v>
      </c>
      <c r="G261" s="8">
        <v>15.801</v>
      </c>
    </row>
    <row r="262">
      <c r="A262" s="9" t="str">
        <f t="shared" si="303"/>
        <v>PROREP (S)</v>
      </c>
      <c r="B262" s="9" t="str">
        <f>IF(ISBLANK(A260),"",LEFT(B261,27)&amp;VALUE(RIGHT(B261,1)+1))</f>
        <v>JKS240702PROREP_35C_sample_3</v>
      </c>
      <c r="C262" s="6" t="str">
        <f t="shared" ref="C262:D262" si="304">C261</f>
        <v>Protea repens</v>
      </c>
      <c r="D262" s="6" t="str">
        <f t="shared" si="304"/>
        <v>35C</v>
      </c>
      <c r="E262" s="10">
        <f>IF(ISBLANK(A260),"",E261+1)</f>
        <v>3</v>
      </c>
      <c r="F262" s="11">
        <f t="shared" si="305"/>
        <v>45478.21111</v>
      </c>
      <c r="G262" s="8">
        <v>10.849</v>
      </c>
    </row>
    <row r="263">
      <c r="A263" s="9" t="str">
        <f t="shared" si="303"/>
        <v>PROREP (S)</v>
      </c>
      <c r="B263" s="9" t="str">
        <f>IF(ISBLANK(A260),"",LEFT(B262,27)&amp;VALUE(RIGHT(B262,1)+1))</f>
        <v>JKS240702PROREP_35C_sample_4</v>
      </c>
      <c r="C263" s="6" t="str">
        <f t="shared" ref="C263:D263" si="306">C262</f>
        <v>Protea repens</v>
      </c>
      <c r="D263" s="6" t="str">
        <f t="shared" si="306"/>
        <v>35C</v>
      </c>
      <c r="E263" s="10">
        <f>IF(ISBLANK(A260),"",E262+1)</f>
        <v>4</v>
      </c>
      <c r="F263" s="11">
        <f t="shared" si="305"/>
        <v>45478.21111</v>
      </c>
      <c r="G263" s="8">
        <v>3.271</v>
      </c>
    </row>
    <row r="264">
      <c r="A264" s="9" t="str">
        <f t="shared" si="303"/>
        <v>PROREP (S)</v>
      </c>
      <c r="B264" s="9" t="str">
        <f>IF(ISBLANK(A260),"",LEFT(B263,27)&amp;VALUE(RIGHT(B263,1)+1))</f>
        <v>JKS240702PROREP_35C_sample_5</v>
      </c>
      <c r="C264" s="6" t="str">
        <f t="shared" ref="C264:D264" si="307">C263</f>
        <v>Protea repens</v>
      </c>
      <c r="D264" s="6" t="str">
        <f t="shared" si="307"/>
        <v>35C</v>
      </c>
      <c r="E264" s="10">
        <f>IF(ISBLANK(A260),"",E263+1)</f>
        <v>5</v>
      </c>
      <c r="F264" s="11">
        <f t="shared" si="305"/>
        <v>45478.21111</v>
      </c>
      <c r="G264" s="8">
        <v>4.104</v>
      </c>
    </row>
    <row r="265">
      <c r="A265" s="12" t="str">
        <f t="shared" si="303"/>
        <v>PROREP (S)</v>
      </c>
      <c r="B265" s="12" t="str">
        <f>IF(ISBLANK(A260),"",LEFT(B264,27)&amp;VALUE(RIGHT(B264,1)+1))</f>
        <v>JKS240702PROREP_35C_sample_6</v>
      </c>
      <c r="C265" s="13" t="str">
        <f t="shared" ref="C265:D265" si="308">C264</f>
        <v>Protea repens</v>
      </c>
      <c r="D265" s="13" t="str">
        <f t="shared" si="308"/>
        <v>35C</v>
      </c>
      <c r="E265" s="14">
        <f>IF(ISBLANK(A260),"",E264+1)</f>
        <v>6</v>
      </c>
      <c r="F265" s="15">
        <f t="shared" si="305"/>
        <v>45478.21111</v>
      </c>
      <c r="G265" s="16">
        <v>6.489</v>
      </c>
    </row>
    <row r="266">
      <c r="A266" s="5" t="s">
        <v>10</v>
      </c>
      <c r="B266" s="6" t="str">
        <f t="array" ref="B266">IF(ISBLANK(A266),"",IF(A266="PROREP (L)",VLOOKUP(LEFT($A266,6),'Data Feed (35C)'!$A$1:$G$10,2,FALSE),IF(A266="PROREP (S)", INDEX('Data Feed (35C)'!B:B, MATCH(LEFT($A266,6), 'Data Feed (35C)'!$A$1:$A$10, 0) + 1), VLOOKUP($A266,'Data Feed (35C)'!$A$1:$G$10,2,FALSE))))</f>
        <v>JKS240702CANCON_35C_sample_1</v>
      </c>
      <c r="C266" s="6" t="str">
        <f t="array" ref="C266">IF(ISBLANK(A266),"",IF(A266="PROREP (L)",VLOOKUP(LEFT($A266,6),'Data Feed (35C)'!$A$1:$G$10,3,FALSE),IF(A266="PROREP (S)", INDEX('Data Feed (35C)'!C:C, MATCH(LEFT($A266,6), 'Data Feed (35C)'!$A$1:$A$10, 0) + 1, +1), VLOOKUP($A266,'Data Feed (35C)'!$A$1:$G$10,3,FALSE))))</f>
        <v>Cannomois congesta</v>
      </c>
      <c r="D266" s="6" t="str">
        <f t="array" ref="D266">IF(ISBLANK(A266),"",IF(A266="PROREP (L)",VLOOKUP(LEFT($A266,6),'Data Feed (35C)'!$A$1:$G$10,4,FALSE),IF(A266="PROREP (S)", INDEX('Data Feed (35C)'!D:D, MATCH(LEFT($A266,6), 'Data Feed (35C)'!$A$1:$A$10, 0) + 1, +1), VLOOKUP($A266,'Data Feed (35C)'!$A$1:$G$10,4,FALSE))))</f>
        <v>35C</v>
      </c>
      <c r="E266" s="6">
        <f t="array" ref="E266">IF(ISBLANK(A266),"",IF(A266="PROREP (L)",VLOOKUP(LEFT($A266,6),'Data Feed (35C)'!$A$1:$G$10,7,FALSE),IF(A266="PROREP (S)", INDEX('Data Feed (35C)'!G:G, MATCH(LEFT($A266,6), 'Data Feed (35C)'!$A$1:$A$10, 0) + 1, +1), VLOOKUP($A266,'Data Feed (35C)'!$A$1:$G$10,7,FALSE))))</f>
        <v>1</v>
      </c>
      <c r="F266" s="7">
        <v>45478.2125</v>
      </c>
      <c r="G266" s="8">
        <v>0.502</v>
      </c>
    </row>
    <row r="267">
      <c r="A267" s="9" t="str">
        <f t="shared" ref="A267:A271" si="310">A266</f>
        <v>CANCON</v>
      </c>
      <c r="B267" s="9" t="str">
        <f>IF(ISBLANK(A266),"",LEFT(B266,27)&amp;VALUE(RIGHT(B266,1)+1))</f>
        <v>JKS240702CANCON_35C_sample_2</v>
      </c>
      <c r="C267" s="6" t="str">
        <f t="shared" ref="C267:D267" si="309">C266</f>
        <v>Cannomois congesta</v>
      </c>
      <c r="D267" s="6" t="str">
        <f t="shared" si="309"/>
        <v>35C</v>
      </c>
      <c r="E267" s="10">
        <f>IF(ISBLANK(A266),"",E266+1)</f>
        <v>2</v>
      </c>
      <c r="F267" s="11">
        <f t="shared" ref="F267:F271" si="312">F266</f>
        <v>45478.2125</v>
      </c>
      <c r="G267" s="8">
        <v>2.145</v>
      </c>
    </row>
    <row r="268">
      <c r="A268" s="9" t="str">
        <f t="shared" si="310"/>
        <v>CANCON</v>
      </c>
      <c r="B268" s="9" t="str">
        <f>IF(ISBLANK(A266),"",LEFT(B267,27)&amp;VALUE(RIGHT(B267,1)+1))</f>
        <v>JKS240702CANCON_35C_sample_3</v>
      </c>
      <c r="C268" s="6" t="str">
        <f t="shared" ref="C268:D268" si="311">C267</f>
        <v>Cannomois congesta</v>
      </c>
      <c r="D268" s="6" t="str">
        <f t="shared" si="311"/>
        <v>35C</v>
      </c>
      <c r="E268" s="10">
        <f>IF(ISBLANK(A266),"",E267+1)</f>
        <v>3</v>
      </c>
      <c r="F268" s="11">
        <f t="shared" si="312"/>
        <v>45478.2125</v>
      </c>
      <c r="G268" s="8">
        <v>0.906</v>
      </c>
    </row>
    <row r="269">
      <c r="A269" s="9" t="str">
        <f t="shared" si="310"/>
        <v>CANCON</v>
      </c>
      <c r="B269" s="9" t="str">
        <f>IF(ISBLANK(A266),"",LEFT(B268,27)&amp;VALUE(RIGHT(B268,1)+1))</f>
        <v>JKS240702CANCON_35C_sample_4</v>
      </c>
      <c r="C269" s="6" t="str">
        <f t="shared" ref="C269:D269" si="313">C268</f>
        <v>Cannomois congesta</v>
      </c>
      <c r="D269" s="6" t="str">
        <f t="shared" si="313"/>
        <v>35C</v>
      </c>
      <c r="E269" s="10">
        <f>IF(ISBLANK(A266),"",E268+1)</f>
        <v>4</v>
      </c>
      <c r="F269" s="11">
        <f t="shared" si="312"/>
        <v>45478.2125</v>
      </c>
      <c r="G269" s="8">
        <v>1.022</v>
      </c>
    </row>
    <row r="270">
      <c r="A270" s="9" t="str">
        <f t="shared" si="310"/>
        <v>CANCON</v>
      </c>
      <c r="B270" s="9" t="str">
        <f>IF(ISBLANK(A266),"",LEFT(B269,27)&amp;VALUE(RIGHT(B269,1)+1))</f>
        <v>JKS240702CANCON_35C_sample_5</v>
      </c>
      <c r="C270" s="6" t="str">
        <f t="shared" ref="C270:D270" si="314">C269</f>
        <v>Cannomois congesta</v>
      </c>
      <c r="D270" s="6" t="str">
        <f t="shared" si="314"/>
        <v>35C</v>
      </c>
      <c r="E270" s="10">
        <f>IF(ISBLANK(A266),"",E269+1)</f>
        <v>5</v>
      </c>
      <c r="F270" s="11">
        <f t="shared" si="312"/>
        <v>45478.2125</v>
      </c>
      <c r="G270" s="8"/>
    </row>
    <row r="271">
      <c r="A271" s="12" t="str">
        <f t="shared" si="310"/>
        <v>CANCON</v>
      </c>
      <c r="B271" s="12" t="str">
        <f>IF(ISBLANK(A266),"",LEFT(B270,27)&amp;VALUE(RIGHT(B270,1)+1))</f>
        <v>JKS240702CANCON_35C_sample_6</v>
      </c>
      <c r="C271" s="13" t="str">
        <f t="shared" ref="C271:D271" si="315">C270</f>
        <v>Cannomois congesta</v>
      </c>
      <c r="D271" s="13" t="str">
        <f t="shared" si="315"/>
        <v>35C</v>
      </c>
      <c r="E271" s="14">
        <f>IF(ISBLANK(A266),"",E270+1)</f>
        <v>6</v>
      </c>
      <c r="F271" s="15">
        <f t="shared" si="312"/>
        <v>45478.2125</v>
      </c>
      <c r="G271" s="16">
        <v>1.493</v>
      </c>
    </row>
    <row r="272">
      <c r="A272" s="5" t="s">
        <v>7</v>
      </c>
      <c r="B272" s="6" t="str">
        <f t="array" ref="B272">IF(ISBLANK(A272),"",IF(A272="PROREP (L)",VLOOKUP(LEFT($A272,6),'Data Feed (35C)'!$A$1:$G$10,2,FALSE),IF(A272="PROREP (S)", INDEX('Data Feed (35C)'!B:B, MATCH(LEFT($A272,6), 'Data Feed (35C)'!$A$1:$A$10, 0) + 1), VLOOKUP($A272,'Data Feed (35C)'!$A$1:$G$10,2,FALSE))))</f>
        <v>JKS240702ERIMON_35C_sample_1</v>
      </c>
      <c r="C272" s="6" t="str">
        <f t="array" ref="C272">IF(ISBLANK(A272),"",IF(A272="PROREP (L)",VLOOKUP(LEFT($A272,6),'Data Feed (35C)'!$A$1:$G$10,3,FALSE),IF(A272="PROREP (S)", INDEX('Data Feed (35C)'!C:C, MATCH(LEFT($A272,6), 'Data Feed (35C)'!$A$1:$A$10, 0) + 1, +1), VLOOKUP($A272,'Data Feed (35C)'!$A$1:$G$10,3,FALSE))))</f>
        <v>Erica monsoniana</v>
      </c>
      <c r="D272" s="6" t="str">
        <f t="array" ref="D272">IF(ISBLANK(A272),"",IF(A272="PROREP (L)",VLOOKUP(LEFT($A272,6),'Data Feed (35C)'!$A$1:$G$10,4,FALSE),IF(A272="PROREP (S)", INDEX('Data Feed (35C)'!D:D, MATCH(LEFT($A272,6), 'Data Feed (35C)'!$A$1:$A$10, 0) + 1, +1), VLOOKUP($A272,'Data Feed (35C)'!$A$1:$G$10,4,FALSE))))</f>
        <v>35C</v>
      </c>
      <c r="E272" s="6">
        <f t="array" ref="E272">IF(ISBLANK(A272),"",IF(A272="PROREP (L)",VLOOKUP(LEFT($A272,6),'Data Feed (35C)'!$A$1:$G$10,7,FALSE),IF(A272="PROREP (S)", INDEX('Data Feed (35C)'!G:G, MATCH(LEFT($A272,6), 'Data Feed (35C)'!$A$1:$A$10, 0) + 1, +1), VLOOKUP($A272,'Data Feed (35C)'!$A$1:$G$10,7,FALSE))))</f>
        <v>1</v>
      </c>
      <c r="F272" s="7">
        <v>45478.35486111111</v>
      </c>
      <c r="G272" s="8">
        <v>1.821</v>
      </c>
    </row>
    <row r="273">
      <c r="A273" s="9" t="str">
        <f t="shared" ref="A273:A277" si="317">A272</f>
        <v>ERIMON</v>
      </c>
      <c r="B273" s="9" t="str">
        <f>IF(ISBLANK(A272),"",LEFT(B272,27)&amp;VALUE(RIGHT(B272,1)+1))</f>
        <v>JKS240702ERIMON_35C_sample_2</v>
      </c>
      <c r="C273" s="6" t="str">
        <f t="shared" ref="C273:D273" si="316">C272</f>
        <v>Erica monsoniana</v>
      </c>
      <c r="D273" s="6" t="str">
        <f t="shared" si="316"/>
        <v>35C</v>
      </c>
      <c r="E273" s="10">
        <f>IF(ISBLANK(A272),"",E272+1)</f>
        <v>2</v>
      </c>
      <c r="F273" s="11">
        <f t="shared" ref="F273:F277" si="319">F272</f>
        <v>45478.35486</v>
      </c>
      <c r="G273" s="8">
        <v>1.072</v>
      </c>
    </row>
    <row r="274">
      <c r="A274" s="9" t="str">
        <f t="shared" si="317"/>
        <v>ERIMON</v>
      </c>
      <c r="B274" s="9" t="str">
        <f>IF(ISBLANK(A272),"",LEFT(B273,27)&amp;VALUE(RIGHT(B273,1)+1))</f>
        <v>JKS240702ERIMON_35C_sample_3</v>
      </c>
      <c r="C274" s="6" t="str">
        <f t="shared" ref="C274:D274" si="318">C273</f>
        <v>Erica monsoniana</v>
      </c>
      <c r="D274" s="6" t="str">
        <f t="shared" si="318"/>
        <v>35C</v>
      </c>
      <c r="E274" s="10">
        <f>IF(ISBLANK(A272),"",E273+1)</f>
        <v>3</v>
      </c>
      <c r="F274" s="11">
        <f t="shared" si="319"/>
        <v>45478.35486</v>
      </c>
      <c r="G274" s="8">
        <v>0.369</v>
      </c>
    </row>
    <row r="275">
      <c r="A275" s="9" t="str">
        <f t="shared" si="317"/>
        <v>ERIMON</v>
      </c>
      <c r="B275" s="9" t="str">
        <f>IF(ISBLANK(A272),"",LEFT(B274,27)&amp;VALUE(RIGHT(B274,1)+1))</f>
        <v>JKS240702ERIMON_35C_sample_4</v>
      </c>
      <c r="C275" s="6" t="str">
        <f t="shared" ref="C275:D275" si="320">C274</f>
        <v>Erica monsoniana</v>
      </c>
      <c r="D275" s="6" t="str">
        <f t="shared" si="320"/>
        <v>35C</v>
      </c>
      <c r="E275" s="10">
        <f>IF(ISBLANK(A272),"",E274+1)</f>
        <v>4</v>
      </c>
      <c r="F275" s="11">
        <f t="shared" si="319"/>
        <v>45478.35486</v>
      </c>
      <c r="G275" s="8">
        <v>0.633</v>
      </c>
    </row>
    <row r="276">
      <c r="A276" s="9" t="str">
        <f t="shared" si="317"/>
        <v>ERIMON</v>
      </c>
      <c r="B276" s="9" t="str">
        <f>IF(ISBLANK(A272),"",LEFT(B275,27)&amp;VALUE(RIGHT(B275,1)+1))</f>
        <v>JKS240702ERIMON_35C_sample_5</v>
      </c>
      <c r="C276" s="6" t="str">
        <f t="shared" ref="C276:D276" si="321">C275</f>
        <v>Erica monsoniana</v>
      </c>
      <c r="D276" s="6" t="str">
        <f t="shared" si="321"/>
        <v>35C</v>
      </c>
      <c r="E276" s="10">
        <f>IF(ISBLANK(A272),"",E275+1)</f>
        <v>5</v>
      </c>
      <c r="F276" s="11">
        <f t="shared" si="319"/>
        <v>45478.35486</v>
      </c>
      <c r="G276" s="8">
        <v>1.901</v>
      </c>
    </row>
    <row r="277">
      <c r="A277" s="12" t="str">
        <f t="shared" si="317"/>
        <v>ERIMON</v>
      </c>
      <c r="B277" s="12" t="str">
        <f>IF(ISBLANK(A272),"",LEFT(B276,27)&amp;VALUE(RIGHT(B276,1)+1))</f>
        <v>JKS240702ERIMON_35C_sample_6</v>
      </c>
      <c r="C277" s="13" t="str">
        <f t="shared" ref="C277:D277" si="322">C276</f>
        <v>Erica monsoniana</v>
      </c>
      <c r="D277" s="13" t="str">
        <f t="shared" si="322"/>
        <v>35C</v>
      </c>
      <c r="E277" s="14">
        <f>IF(ISBLANK(A272),"",E276+1)</f>
        <v>6</v>
      </c>
      <c r="F277" s="15">
        <f t="shared" si="319"/>
        <v>45478.35486</v>
      </c>
      <c r="G277" s="16">
        <v>0.656</v>
      </c>
    </row>
    <row r="278">
      <c r="A278" s="5" t="s">
        <v>8</v>
      </c>
      <c r="B278" s="6" t="str">
        <f t="array" ref="B278">IF(ISBLANK(A278),"",IF(A278="PROREP (L)",VLOOKUP(LEFT($A278,6),'Data Feed (35C)'!$A$1:$G$10,2,FALSE),IF(A278="PROREP (S)", INDEX('Data Feed (35C)'!B:B, MATCH(LEFT($A278,6), 'Data Feed (35C)'!$A$1:$A$10, 0) + 1), VLOOKUP($A278,'Data Feed (35C)'!$A$1:$G$10,2,FALSE))))</f>
        <v>JKL240702PROREP_35C_sample_1</v>
      </c>
      <c r="C278" s="6" t="str">
        <f t="array" ref="C278">IF(ISBLANK(A278),"",IF(A278="PROREP (L)",VLOOKUP(LEFT($A278,6),'Data Feed (35C)'!$A$1:$G$10,3,FALSE),IF(A278="PROREP (S)", INDEX('Data Feed (35C)'!C:C, MATCH(LEFT($A278,6), 'Data Feed (35C)'!$A$1:$A$10, 0) + 1, +1), VLOOKUP($A278,'Data Feed (35C)'!$A$1:$G$10,3,FALSE))))</f>
        <v>Protea repens</v>
      </c>
      <c r="D278" s="6" t="str">
        <f t="array" ref="D278">IF(ISBLANK(A278),"",IF(A278="PROREP (L)",VLOOKUP(LEFT($A278,6),'Data Feed (35C)'!$A$1:$G$10,4,FALSE),IF(A278="PROREP (S)", INDEX('Data Feed (35C)'!D:D, MATCH(LEFT($A278,6), 'Data Feed (35C)'!$A$1:$A$10, 0) + 1, +1), VLOOKUP($A278,'Data Feed (35C)'!$A$1:$G$10,4,FALSE))))</f>
        <v>35C</v>
      </c>
      <c r="E278" s="6">
        <f t="array" ref="E278">IF(ISBLANK(A278),"",IF(A278="PROREP (L)",VLOOKUP(LEFT($A278,6),'Data Feed (35C)'!$A$1:$G$10,7,FALSE),IF(A278="PROREP (S)", INDEX('Data Feed (35C)'!G:G, MATCH(LEFT($A278,6), 'Data Feed (35C)'!$A$1:$A$10, 0) + 1, +1), VLOOKUP($A278,'Data Feed (35C)'!$A$1:$G$10,7,FALSE))))</f>
        <v>1</v>
      </c>
      <c r="F278" s="7">
        <v>45478.35625</v>
      </c>
      <c r="G278" s="8">
        <v>0.406</v>
      </c>
    </row>
    <row r="279">
      <c r="A279" s="9" t="str">
        <f t="shared" ref="A279:A283" si="324">A278</f>
        <v>PROREP (L)</v>
      </c>
      <c r="B279" s="9" t="str">
        <f>IF(ISBLANK(A278),"",LEFT(B278,27)&amp;VALUE(RIGHT(B278,1)+1))</f>
        <v>JKL240702PROREP_35C_sample_2</v>
      </c>
      <c r="C279" s="6" t="str">
        <f t="shared" ref="C279:D279" si="323">C278</f>
        <v>Protea repens</v>
      </c>
      <c r="D279" s="6" t="str">
        <f t="shared" si="323"/>
        <v>35C</v>
      </c>
      <c r="E279" s="10">
        <f>IF(ISBLANK(A278),"",E278+1)</f>
        <v>2</v>
      </c>
      <c r="F279" s="11">
        <f t="shared" ref="F279:F283" si="326">F278</f>
        <v>45478.35625</v>
      </c>
      <c r="G279" s="8">
        <v>0.459</v>
      </c>
    </row>
    <row r="280">
      <c r="A280" s="9" t="str">
        <f t="shared" si="324"/>
        <v>PROREP (L)</v>
      </c>
      <c r="B280" s="9" t="str">
        <f>IF(ISBLANK(A278),"",LEFT(B279,27)&amp;VALUE(RIGHT(B279,1)+1))</f>
        <v>JKL240702PROREP_35C_sample_3</v>
      </c>
      <c r="C280" s="6" t="str">
        <f t="shared" ref="C280:D280" si="325">C279</f>
        <v>Protea repens</v>
      </c>
      <c r="D280" s="6" t="str">
        <f t="shared" si="325"/>
        <v>35C</v>
      </c>
      <c r="E280" s="10">
        <f>IF(ISBLANK(A278),"",E279+1)</f>
        <v>3</v>
      </c>
      <c r="F280" s="11">
        <f t="shared" si="326"/>
        <v>45478.35625</v>
      </c>
      <c r="G280" s="8">
        <v>0.404</v>
      </c>
    </row>
    <row r="281">
      <c r="A281" s="9" t="str">
        <f t="shared" si="324"/>
        <v>PROREP (L)</v>
      </c>
      <c r="B281" s="9" t="str">
        <f>IF(ISBLANK(A278),"",LEFT(B280,27)&amp;VALUE(RIGHT(B280,1)+1))</f>
        <v>JKL240702PROREP_35C_sample_4</v>
      </c>
      <c r="C281" s="6" t="str">
        <f t="shared" ref="C281:D281" si="327">C280</f>
        <v>Protea repens</v>
      </c>
      <c r="D281" s="6" t="str">
        <f t="shared" si="327"/>
        <v>35C</v>
      </c>
      <c r="E281" s="10">
        <f>IF(ISBLANK(A278),"",E280+1)</f>
        <v>4</v>
      </c>
      <c r="F281" s="11">
        <f t="shared" si="326"/>
        <v>45478.35625</v>
      </c>
      <c r="G281" s="8">
        <v>0.353</v>
      </c>
    </row>
    <row r="282">
      <c r="A282" s="9" t="str">
        <f t="shared" si="324"/>
        <v>PROREP (L)</v>
      </c>
      <c r="B282" s="9" t="str">
        <f>IF(ISBLANK(A278),"",LEFT(B281,27)&amp;VALUE(RIGHT(B281,1)+1))</f>
        <v>JKL240702PROREP_35C_sample_5</v>
      </c>
      <c r="C282" s="6" t="str">
        <f t="shared" ref="C282:D282" si="328">C281</f>
        <v>Protea repens</v>
      </c>
      <c r="D282" s="6" t="str">
        <f t="shared" si="328"/>
        <v>35C</v>
      </c>
      <c r="E282" s="10">
        <f>IF(ISBLANK(A278),"",E281+1)</f>
        <v>5</v>
      </c>
      <c r="F282" s="11">
        <f t="shared" si="326"/>
        <v>45478.35625</v>
      </c>
      <c r="G282" s="8">
        <v>0.333</v>
      </c>
    </row>
    <row r="283">
      <c r="A283" s="12" t="str">
        <f t="shared" si="324"/>
        <v>PROREP (L)</v>
      </c>
      <c r="B283" s="12" t="str">
        <f>IF(ISBLANK(A278),"",LEFT(B282,27)&amp;VALUE(RIGHT(B282,1)+1))</f>
        <v>JKL240702PROREP_35C_sample_6</v>
      </c>
      <c r="C283" s="13" t="str">
        <f t="shared" ref="C283:D283" si="329">C282</f>
        <v>Protea repens</v>
      </c>
      <c r="D283" s="13" t="str">
        <f t="shared" si="329"/>
        <v>35C</v>
      </c>
      <c r="E283" s="14">
        <f>IF(ISBLANK(A278),"",E282+1)</f>
        <v>6</v>
      </c>
      <c r="F283" s="15">
        <f t="shared" si="326"/>
        <v>45478.35625</v>
      </c>
      <c r="G283" s="16">
        <v>0.265</v>
      </c>
    </row>
    <row r="284">
      <c r="A284" s="5" t="s">
        <v>9</v>
      </c>
      <c r="B284" s="6" t="str">
        <f t="array" ref="B284">IF(ISBLANK(A284),"",IF(A284="PROREP (L)",VLOOKUP(LEFT($A284,6),'Data Feed (35C)'!$A$1:$G$10,2,FALSE),IF(A284="PROREP (S)", INDEX('Data Feed (35C)'!B:B, MATCH(LEFT($A284,6), 'Data Feed (35C)'!$A$1:$A$10, 0) + 1), VLOOKUP($A284,'Data Feed (35C)'!$A$1:$G$10,2,FALSE))))</f>
        <v>JKS240702PROREP_35C_sample_1</v>
      </c>
      <c r="C284" s="6" t="str">
        <f t="array" ref="C284">IF(ISBLANK(A284),"",IF(A284="PROREP (L)",VLOOKUP(LEFT($A284,6),'Data Feed (35C)'!$A$1:$G$10,3,FALSE),IF(A284="PROREP (S)", INDEX('Data Feed (35C)'!C:C, MATCH(LEFT($A284,6), 'Data Feed (35C)'!$A$1:$A$10, 0) + 1, +1), VLOOKUP($A284,'Data Feed (35C)'!$A$1:$G$10,3,FALSE))))</f>
        <v>Protea repens</v>
      </c>
      <c r="D284" s="6" t="str">
        <f t="array" ref="D284">IF(ISBLANK(A284),"",IF(A284="PROREP (L)",VLOOKUP(LEFT($A284,6),'Data Feed (35C)'!$A$1:$G$10,4,FALSE),IF(A284="PROREP (S)", INDEX('Data Feed (35C)'!D:D, MATCH(LEFT($A284,6), 'Data Feed (35C)'!$A$1:$A$10, 0) + 1, +1), VLOOKUP($A284,'Data Feed (35C)'!$A$1:$G$10,4,FALSE))))</f>
        <v>35C</v>
      </c>
      <c r="E284" s="6">
        <f t="array" ref="E284">IF(ISBLANK(A284),"",IF(A284="PROREP (L)",VLOOKUP(LEFT($A284,6),'Data Feed (35C)'!$A$1:$G$10,7,FALSE),IF(A284="PROREP (S)", INDEX('Data Feed (35C)'!G:G, MATCH(LEFT($A284,6), 'Data Feed (35C)'!$A$1:$A$10, 0) + 1, +1), VLOOKUP($A284,'Data Feed (35C)'!$A$1:$G$10,7,FALSE))))</f>
        <v>1</v>
      </c>
      <c r="F284" s="7">
        <v>45478.35763888889</v>
      </c>
      <c r="G284" s="8">
        <v>7.977</v>
      </c>
    </row>
    <row r="285">
      <c r="A285" s="9" t="str">
        <f t="shared" ref="A285:A289" si="331">A284</f>
        <v>PROREP (S)</v>
      </c>
      <c r="B285" s="9" t="str">
        <f>IF(ISBLANK(A284),"",LEFT(B284,27)&amp;VALUE(RIGHT(B284,1)+1))</f>
        <v>JKS240702PROREP_35C_sample_2</v>
      </c>
      <c r="C285" s="6" t="str">
        <f t="shared" ref="C285:D285" si="330">C284</f>
        <v>Protea repens</v>
      </c>
      <c r="D285" s="6" t="str">
        <f t="shared" si="330"/>
        <v>35C</v>
      </c>
      <c r="E285" s="10">
        <f>IF(ISBLANK(A284),"",E284+1)</f>
        <v>2</v>
      </c>
      <c r="F285" s="11">
        <f t="shared" ref="F285:F289" si="333">F284</f>
        <v>45478.35764</v>
      </c>
      <c r="G285" s="8">
        <v>15.33</v>
      </c>
    </row>
    <row r="286">
      <c r="A286" s="9" t="str">
        <f t="shared" si="331"/>
        <v>PROREP (S)</v>
      </c>
      <c r="B286" s="9" t="str">
        <f>IF(ISBLANK(A284),"",LEFT(B285,27)&amp;VALUE(RIGHT(B285,1)+1))</f>
        <v>JKS240702PROREP_35C_sample_3</v>
      </c>
      <c r="C286" s="6" t="str">
        <f t="shared" ref="C286:D286" si="332">C285</f>
        <v>Protea repens</v>
      </c>
      <c r="D286" s="6" t="str">
        <f t="shared" si="332"/>
        <v>35C</v>
      </c>
      <c r="E286" s="10">
        <f>IF(ISBLANK(A284),"",E285+1)</f>
        <v>3</v>
      </c>
      <c r="F286" s="11">
        <f t="shared" si="333"/>
        <v>45478.35764</v>
      </c>
      <c r="G286" s="8">
        <v>10.014</v>
      </c>
    </row>
    <row r="287">
      <c r="A287" s="9" t="str">
        <f t="shared" si="331"/>
        <v>PROREP (S)</v>
      </c>
      <c r="B287" s="9" t="str">
        <f>IF(ISBLANK(A284),"",LEFT(B286,27)&amp;VALUE(RIGHT(B286,1)+1))</f>
        <v>JKS240702PROREP_35C_sample_4</v>
      </c>
      <c r="C287" s="6" t="str">
        <f t="shared" ref="C287:D287" si="334">C286</f>
        <v>Protea repens</v>
      </c>
      <c r="D287" s="6" t="str">
        <f t="shared" si="334"/>
        <v>35C</v>
      </c>
      <c r="E287" s="10">
        <f>IF(ISBLANK(A284),"",E286+1)</f>
        <v>4</v>
      </c>
      <c r="F287" s="11">
        <f t="shared" si="333"/>
        <v>45478.35764</v>
      </c>
      <c r="G287" s="8">
        <v>3.099</v>
      </c>
    </row>
    <row r="288">
      <c r="A288" s="9" t="str">
        <f t="shared" si="331"/>
        <v>PROREP (S)</v>
      </c>
      <c r="B288" s="9" t="str">
        <f>IF(ISBLANK(A284),"",LEFT(B287,27)&amp;VALUE(RIGHT(B287,1)+1))</f>
        <v>JKS240702PROREP_35C_sample_5</v>
      </c>
      <c r="C288" s="6" t="str">
        <f t="shared" ref="C288:D288" si="335">C287</f>
        <v>Protea repens</v>
      </c>
      <c r="D288" s="6" t="str">
        <f t="shared" si="335"/>
        <v>35C</v>
      </c>
      <c r="E288" s="10">
        <f>IF(ISBLANK(A284),"",E287+1)</f>
        <v>5</v>
      </c>
      <c r="F288" s="11">
        <f t="shared" si="333"/>
        <v>45478.35764</v>
      </c>
      <c r="G288" s="8">
        <v>3.837</v>
      </c>
    </row>
    <row r="289">
      <c r="A289" s="12" t="str">
        <f t="shared" si="331"/>
        <v>PROREP (S)</v>
      </c>
      <c r="B289" s="12" t="str">
        <f>IF(ISBLANK(A284),"",LEFT(B288,27)&amp;VALUE(RIGHT(B288,1)+1))</f>
        <v>JKS240702PROREP_35C_sample_6</v>
      </c>
      <c r="C289" s="13" t="str">
        <f t="shared" ref="C289:D289" si="336">C288</f>
        <v>Protea repens</v>
      </c>
      <c r="D289" s="13" t="str">
        <f t="shared" si="336"/>
        <v>35C</v>
      </c>
      <c r="E289" s="14">
        <f>IF(ISBLANK(A284),"",E288+1)</f>
        <v>6</v>
      </c>
      <c r="F289" s="15">
        <f t="shared" si="333"/>
        <v>45478.35764</v>
      </c>
      <c r="G289" s="8">
        <v>6.219</v>
      </c>
    </row>
    <row r="290">
      <c r="A290" s="5" t="s">
        <v>10</v>
      </c>
      <c r="B290" s="6" t="str">
        <f t="array" ref="B290">IF(ISBLANK(A290),"",IF(A290="PROREP (L)",VLOOKUP(LEFT($A290,6),'Data Feed (35C)'!$A$1:$G$10,2,FALSE),IF(A290="PROREP (S)", INDEX('Data Feed (35C)'!B:B, MATCH(LEFT($A290,6), 'Data Feed (35C)'!$A$1:$A$10, 0) + 1), VLOOKUP($A290,'Data Feed (35C)'!$A$1:$G$10,2,FALSE))))</f>
        <v>JKS240702CANCON_35C_sample_1</v>
      </c>
      <c r="C290" s="6" t="str">
        <f t="array" ref="C290">IF(ISBLANK(A290),"",IF(A290="PROREP (L)",VLOOKUP(LEFT($A290,6),'Data Feed (35C)'!$A$1:$G$10,3,FALSE),IF(A290="PROREP (S)", INDEX('Data Feed (35C)'!C:C, MATCH(LEFT($A290,6), 'Data Feed (35C)'!$A$1:$A$10, 0) + 1, +1), VLOOKUP($A290,'Data Feed (35C)'!$A$1:$G$10,3,FALSE))))</f>
        <v>Cannomois congesta</v>
      </c>
      <c r="D290" s="6" t="str">
        <f t="array" ref="D290">IF(ISBLANK(A290),"",IF(A290="PROREP (L)",VLOOKUP(LEFT($A290,6),'Data Feed (35C)'!$A$1:$G$10,4,FALSE),IF(A290="PROREP (S)", INDEX('Data Feed (35C)'!D:D, MATCH(LEFT($A290,6), 'Data Feed (35C)'!$A$1:$A$10, 0) + 1, +1), VLOOKUP($A290,'Data Feed (35C)'!$A$1:$G$10,4,FALSE))))</f>
        <v>35C</v>
      </c>
      <c r="E290" s="6">
        <f t="array" ref="E290">IF(ISBLANK(A290),"",IF(A290="PROREP (L)",VLOOKUP(LEFT($A290,6),'Data Feed (35C)'!$A$1:$G$10,7,FALSE),IF(A290="PROREP (S)", INDEX('Data Feed (35C)'!G:G, MATCH(LEFT($A290,6), 'Data Feed (35C)'!$A$1:$A$10, 0) + 1, +1), VLOOKUP($A290,'Data Feed (35C)'!$A$1:$G$10,7,FALSE))))</f>
        <v>1</v>
      </c>
      <c r="F290" s="7">
        <v>45478.35972222222</v>
      </c>
      <c r="G290" s="8">
        <v>0.475</v>
      </c>
    </row>
    <row r="291">
      <c r="A291" s="9" t="str">
        <f t="shared" ref="A291:A295" si="338">A290</f>
        <v>CANCON</v>
      </c>
      <c r="B291" s="9" t="str">
        <f>IF(ISBLANK(A290),"",LEFT(B290,27)&amp;VALUE(RIGHT(B290,1)+1))</f>
        <v>JKS240702CANCON_35C_sample_2</v>
      </c>
      <c r="C291" s="6" t="str">
        <f t="shared" ref="C291:D291" si="337">C290</f>
        <v>Cannomois congesta</v>
      </c>
      <c r="D291" s="6" t="str">
        <f t="shared" si="337"/>
        <v>35C</v>
      </c>
      <c r="E291" s="10">
        <f>IF(ISBLANK(A290),"",E290+1)</f>
        <v>2</v>
      </c>
      <c r="F291" s="11">
        <f t="shared" ref="F291:F295" si="340">F290</f>
        <v>45478.35972</v>
      </c>
      <c r="G291" s="8">
        <v>2.027</v>
      </c>
    </row>
    <row r="292">
      <c r="A292" s="9" t="str">
        <f t="shared" si="338"/>
        <v>CANCON</v>
      </c>
      <c r="B292" s="9" t="str">
        <f>IF(ISBLANK(A290),"",LEFT(B291,27)&amp;VALUE(RIGHT(B291,1)+1))</f>
        <v>JKS240702CANCON_35C_sample_3</v>
      </c>
      <c r="C292" s="6" t="str">
        <f t="shared" ref="C292:D292" si="339">C291</f>
        <v>Cannomois congesta</v>
      </c>
      <c r="D292" s="6" t="str">
        <f t="shared" si="339"/>
        <v>35C</v>
      </c>
      <c r="E292" s="10">
        <f>IF(ISBLANK(A290),"",E291+1)</f>
        <v>3</v>
      </c>
      <c r="F292" s="11">
        <f t="shared" si="340"/>
        <v>45478.35972</v>
      </c>
      <c r="G292" s="8">
        <v>0.857</v>
      </c>
    </row>
    <row r="293">
      <c r="A293" s="9" t="str">
        <f t="shared" si="338"/>
        <v>CANCON</v>
      </c>
      <c r="B293" s="9" t="str">
        <f>IF(ISBLANK(A290),"",LEFT(B292,27)&amp;VALUE(RIGHT(B292,1)+1))</f>
        <v>JKS240702CANCON_35C_sample_4</v>
      </c>
      <c r="C293" s="6" t="str">
        <f t="shared" ref="C293:D293" si="341">C292</f>
        <v>Cannomois congesta</v>
      </c>
      <c r="D293" s="6" t="str">
        <f t="shared" si="341"/>
        <v>35C</v>
      </c>
      <c r="E293" s="10">
        <f>IF(ISBLANK(A290),"",E292+1)</f>
        <v>4</v>
      </c>
      <c r="F293" s="11">
        <f t="shared" si="340"/>
        <v>45478.35972</v>
      </c>
      <c r="G293" s="8">
        <v>0.953</v>
      </c>
    </row>
    <row r="294">
      <c r="A294" s="9" t="str">
        <f t="shared" si="338"/>
        <v>CANCON</v>
      </c>
      <c r="B294" s="9" t="str">
        <f>IF(ISBLANK(A290),"",LEFT(B293,27)&amp;VALUE(RIGHT(B293,1)+1))</f>
        <v>JKS240702CANCON_35C_sample_5</v>
      </c>
      <c r="C294" s="6" t="str">
        <f t="shared" ref="C294:D294" si="342">C293</f>
        <v>Cannomois congesta</v>
      </c>
      <c r="D294" s="6" t="str">
        <f t="shared" si="342"/>
        <v>35C</v>
      </c>
      <c r="E294" s="10">
        <f>IF(ISBLANK(A290),"",E293+1)</f>
        <v>5</v>
      </c>
      <c r="F294" s="11">
        <f t="shared" si="340"/>
        <v>45478.35972</v>
      </c>
      <c r="G294" s="8">
        <v>1.186</v>
      </c>
    </row>
    <row r="295">
      <c r="A295" s="12" t="str">
        <f t="shared" si="338"/>
        <v>CANCON</v>
      </c>
      <c r="B295" s="12" t="str">
        <f>IF(ISBLANK(A290),"",LEFT(B294,27)&amp;VALUE(RIGHT(B294,1)+1))</f>
        <v>JKS240702CANCON_35C_sample_6</v>
      </c>
      <c r="C295" s="13" t="str">
        <f t="shared" ref="C295:D295" si="343">C294</f>
        <v>Cannomois congesta</v>
      </c>
      <c r="D295" s="13" t="str">
        <f t="shared" si="343"/>
        <v>35C</v>
      </c>
      <c r="E295" s="14">
        <f>IF(ISBLANK(A290),"",E294+1)</f>
        <v>6</v>
      </c>
      <c r="F295" s="15">
        <f t="shared" si="340"/>
        <v>45478.35972</v>
      </c>
      <c r="G295" s="16">
        <v>1.403</v>
      </c>
    </row>
    <row r="296">
      <c r="A296" s="5" t="s">
        <v>7</v>
      </c>
      <c r="B296" s="6" t="str">
        <f t="array" ref="B296">IF(ISBLANK(A296),"",IF(A296="PROREP (L)",VLOOKUP(LEFT($A296,6),'Data Feed (35C)'!$A$1:$G$10,2,FALSE),IF(A296="PROREP (S)", INDEX('Data Feed (35C)'!B:B, MATCH(LEFT($A296,6), 'Data Feed (35C)'!$A$1:$A$10, 0) + 1), VLOOKUP($A296,'Data Feed (35C)'!$A$1:$G$10,2,FALSE))))</f>
        <v>JKS240702ERIMON_35C_sample_1</v>
      </c>
      <c r="C296" s="6" t="str">
        <f t="array" ref="C296">IF(ISBLANK(A296),"",IF(A296="PROREP (L)",VLOOKUP(LEFT($A296,6),'Data Feed (35C)'!$A$1:$G$10,3,FALSE),IF(A296="PROREP (S)", INDEX('Data Feed (35C)'!C:C, MATCH(LEFT($A296,6), 'Data Feed (35C)'!$A$1:$A$10, 0) + 1, +1), VLOOKUP($A296,'Data Feed (35C)'!$A$1:$G$10,3,FALSE))))</f>
        <v>Erica monsoniana</v>
      </c>
      <c r="D296" s="6" t="str">
        <f t="array" ref="D296">IF(ISBLANK(A296),"",IF(A296="PROREP (L)",VLOOKUP(LEFT($A296,6),'Data Feed (35C)'!$A$1:$G$10,4,FALSE),IF(A296="PROREP (S)", INDEX('Data Feed (35C)'!D:D, MATCH(LEFT($A296,6), 'Data Feed (35C)'!$A$1:$A$10, 0) + 1, +1), VLOOKUP($A296,'Data Feed (35C)'!$A$1:$G$10,4,FALSE))))</f>
        <v>35C</v>
      </c>
      <c r="E296" s="6">
        <f t="array" ref="E296">IF(ISBLANK(A296),"",IF(A296="PROREP (L)",VLOOKUP(LEFT($A296,6),'Data Feed (35C)'!$A$1:$G$10,7,FALSE),IF(A296="PROREP (S)", INDEX('Data Feed (35C)'!G:G, MATCH(LEFT($A296,6), 'Data Feed (35C)'!$A$1:$A$10, 0) + 1, +1), VLOOKUP($A296,'Data Feed (35C)'!$A$1:$G$10,7,FALSE))))</f>
        <v>1</v>
      </c>
      <c r="F296" s="7">
        <v>45478.49513888889</v>
      </c>
      <c r="G296" s="8">
        <v>1.765</v>
      </c>
    </row>
    <row r="297">
      <c r="A297" s="9" t="str">
        <f t="shared" ref="A297:A301" si="345">A296</f>
        <v>ERIMON</v>
      </c>
      <c r="B297" s="9" t="str">
        <f>IF(ISBLANK(A296),"",LEFT(B296,27)&amp;VALUE(RIGHT(B296,1)+1))</f>
        <v>JKS240702ERIMON_35C_sample_2</v>
      </c>
      <c r="C297" s="6" t="str">
        <f t="shared" ref="C297:D297" si="344">C296</f>
        <v>Erica monsoniana</v>
      </c>
      <c r="D297" s="6" t="str">
        <f t="shared" si="344"/>
        <v>35C</v>
      </c>
      <c r="E297" s="10">
        <f>IF(ISBLANK(A296),"",E296+1)</f>
        <v>2</v>
      </c>
      <c r="F297" s="11">
        <f t="shared" ref="F297:F301" si="347">F296</f>
        <v>45478.49514</v>
      </c>
      <c r="G297" s="8">
        <v>1.031</v>
      </c>
    </row>
    <row r="298">
      <c r="A298" s="9" t="str">
        <f t="shared" si="345"/>
        <v>ERIMON</v>
      </c>
      <c r="B298" s="9" t="str">
        <f>IF(ISBLANK(A296),"",LEFT(B297,27)&amp;VALUE(RIGHT(B297,1)+1))</f>
        <v>JKS240702ERIMON_35C_sample_3</v>
      </c>
      <c r="C298" s="6" t="str">
        <f t="shared" ref="C298:D298" si="346">C297</f>
        <v>Erica monsoniana</v>
      </c>
      <c r="D298" s="6" t="str">
        <f t="shared" si="346"/>
        <v>35C</v>
      </c>
      <c r="E298" s="10">
        <f>IF(ISBLANK(A296),"",E297+1)</f>
        <v>3</v>
      </c>
      <c r="F298" s="11">
        <f t="shared" si="347"/>
        <v>45478.49514</v>
      </c>
      <c r="G298" s="8">
        <v>0.344</v>
      </c>
    </row>
    <row r="299">
      <c r="A299" s="9" t="str">
        <f t="shared" si="345"/>
        <v>ERIMON</v>
      </c>
      <c r="B299" s="9" t="str">
        <f>IF(ISBLANK(A296),"",LEFT(B298,27)&amp;VALUE(RIGHT(B298,1)+1))</f>
        <v>JKS240702ERIMON_35C_sample_4</v>
      </c>
      <c r="C299" s="6" t="str">
        <f t="shared" ref="C299:D299" si="348">C298</f>
        <v>Erica monsoniana</v>
      </c>
      <c r="D299" s="6" t="str">
        <f t="shared" si="348"/>
        <v>35C</v>
      </c>
      <c r="E299" s="10">
        <f>IF(ISBLANK(A296),"",E298+1)</f>
        <v>4</v>
      </c>
      <c r="F299" s="11">
        <f t="shared" si="347"/>
        <v>45478.49514</v>
      </c>
      <c r="G299" s="8">
        <v>0.621</v>
      </c>
    </row>
    <row r="300">
      <c r="A300" s="9" t="str">
        <f t="shared" si="345"/>
        <v>ERIMON</v>
      </c>
      <c r="B300" s="9" t="str">
        <f>IF(ISBLANK(A296),"",LEFT(B299,27)&amp;VALUE(RIGHT(B299,1)+1))</f>
        <v>JKS240702ERIMON_35C_sample_5</v>
      </c>
      <c r="C300" s="6" t="str">
        <f t="shared" ref="C300:D300" si="349">C299</f>
        <v>Erica monsoniana</v>
      </c>
      <c r="D300" s="6" t="str">
        <f t="shared" si="349"/>
        <v>35C</v>
      </c>
      <c r="E300" s="10">
        <f>IF(ISBLANK(A296),"",E299+1)</f>
        <v>5</v>
      </c>
      <c r="F300" s="11">
        <f t="shared" si="347"/>
        <v>45478.49514</v>
      </c>
      <c r="G300" s="8">
        <v>1.87</v>
      </c>
    </row>
    <row r="301">
      <c r="A301" s="12" t="str">
        <f t="shared" si="345"/>
        <v>ERIMON</v>
      </c>
      <c r="B301" s="12" t="str">
        <f>IF(ISBLANK(A296),"",LEFT(B300,27)&amp;VALUE(RIGHT(B300,1)+1))</f>
        <v>JKS240702ERIMON_35C_sample_6</v>
      </c>
      <c r="C301" s="13" t="str">
        <f t="shared" ref="C301:D301" si="350">C300</f>
        <v>Erica monsoniana</v>
      </c>
      <c r="D301" s="13" t="str">
        <f t="shared" si="350"/>
        <v>35C</v>
      </c>
      <c r="E301" s="14">
        <f>IF(ISBLANK(A296),"",E300+1)</f>
        <v>6</v>
      </c>
      <c r="F301" s="15">
        <f t="shared" si="347"/>
        <v>45478.49514</v>
      </c>
      <c r="G301" s="16">
        <v>0.638</v>
      </c>
    </row>
    <row r="302">
      <c r="A302" s="5" t="s">
        <v>8</v>
      </c>
      <c r="B302" s="6" t="str">
        <f t="array" ref="B302">IF(ISBLANK(A302),"",IF(A302="PROREP (L)",VLOOKUP(LEFT($A302,6),'Data Feed (35C)'!$A$1:$G$10,2,FALSE),IF(A302="PROREP (S)", INDEX('Data Feed (35C)'!B:B, MATCH(LEFT($A302,6), 'Data Feed (35C)'!$A$1:$A$10, 0) + 1), VLOOKUP($A302,'Data Feed (35C)'!$A$1:$G$10,2,FALSE))))</f>
        <v>JKL240702PROREP_35C_sample_1</v>
      </c>
      <c r="C302" s="6" t="str">
        <f t="array" ref="C302">IF(ISBLANK(A302),"",IF(A302="PROREP (L)",VLOOKUP(LEFT($A302,6),'Data Feed (35C)'!$A$1:$G$10,3,FALSE),IF(A302="PROREP (S)", INDEX('Data Feed (35C)'!C:C, MATCH(LEFT($A302,6), 'Data Feed (35C)'!$A$1:$A$10, 0) + 1, +1), VLOOKUP($A302,'Data Feed (35C)'!$A$1:$G$10,3,FALSE))))</f>
        <v>Protea repens</v>
      </c>
      <c r="D302" s="6" t="str">
        <f t="array" ref="D302">IF(ISBLANK(A302),"",IF(A302="PROREP (L)",VLOOKUP(LEFT($A302,6),'Data Feed (35C)'!$A$1:$G$10,4,FALSE),IF(A302="PROREP (S)", INDEX('Data Feed (35C)'!D:D, MATCH(LEFT($A302,6), 'Data Feed (35C)'!$A$1:$A$10, 0) + 1, +1), VLOOKUP($A302,'Data Feed (35C)'!$A$1:$G$10,4,FALSE))))</f>
        <v>35C</v>
      </c>
      <c r="E302" s="6">
        <f t="array" ref="E302">IF(ISBLANK(A302),"",IF(A302="PROREP (L)",VLOOKUP(LEFT($A302,6),'Data Feed (35C)'!$A$1:$G$10,7,FALSE),IF(A302="PROREP (S)", INDEX('Data Feed (35C)'!G:G, MATCH(LEFT($A302,6), 'Data Feed (35C)'!$A$1:$A$10, 0) + 1, +1), VLOOKUP($A302,'Data Feed (35C)'!$A$1:$G$10,7,FALSE))))</f>
        <v>1</v>
      </c>
      <c r="F302" s="7">
        <v>45478.49791666667</v>
      </c>
      <c r="G302" s="8">
        <v>0.342</v>
      </c>
    </row>
    <row r="303">
      <c r="A303" s="9" t="str">
        <f t="shared" ref="A303:A307" si="352">A302</f>
        <v>PROREP (L)</v>
      </c>
      <c r="B303" s="9" t="str">
        <f>IF(ISBLANK(A302),"",LEFT(B302,27)&amp;VALUE(RIGHT(B302,1)+1))</f>
        <v>JKL240702PROREP_35C_sample_2</v>
      </c>
      <c r="C303" s="6" t="str">
        <f t="shared" ref="C303:D303" si="351">C302</f>
        <v>Protea repens</v>
      </c>
      <c r="D303" s="6" t="str">
        <f t="shared" si="351"/>
        <v>35C</v>
      </c>
      <c r="E303" s="10">
        <f>IF(ISBLANK(A302),"",E302+1)</f>
        <v>2</v>
      </c>
      <c r="F303" s="11">
        <f t="shared" ref="F303:F307" si="354">F302</f>
        <v>45478.49792</v>
      </c>
      <c r="G303" s="8">
        <v>0.426</v>
      </c>
    </row>
    <row r="304">
      <c r="A304" s="9" t="str">
        <f t="shared" si="352"/>
        <v>PROREP (L)</v>
      </c>
      <c r="B304" s="9" t="str">
        <f>IF(ISBLANK(A302),"",LEFT(B303,27)&amp;VALUE(RIGHT(B303,1)+1))</f>
        <v>JKL240702PROREP_35C_sample_3</v>
      </c>
      <c r="C304" s="6" t="str">
        <f t="shared" ref="C304:D304" si="353">C303</f>
        <v>Protea repens</v>
      </c>
      <c r="D304" s="6" t="str">
        <f t="shared" si="353"/>
        <v>35C</v>
      </c>
      <c r="E304" s="10">
        <f>IF(ISBLANK(A302),"",E303+1)</f>
        <v>3</v>
      </c>
      <c r="F304" s="11">
        <f t="shared" si="354"/>
        <v>45478.49792</v>
      </c>
      <c r="G304" s="8">
        <v>0.383</v>
      </c>
    </row>
    <row r="305">
      <c r="A305" s="9" t="str">
        <f t="shared" si="352"/>
        <v>PROREP (L)</v>
      </c>
      <c r="B305" s="9" t="str">
        <f>IF(ISBLANK(A302),"",LEFT(B304,27)&amp;VALUE(RIGHT(B304,1)+1))</f>
        <v>JKL240702PROREP_35C_sample_4</v>
      </c>
      <c r="C305" s="6" t="str">
        <f t="shared" ref="C305:D305" si="355">C304</f>
        <v>Protea repens</v>
      </c>
      <c r="D305" s="6" t="str">
        <f t="shared" si="355"/>
        <v>35C</v>
      </c>
      <c r="E305" s="10">
        <f>IF(ISBLANK(A302),"",E304+1)</f>
        <v>4</v>
      </c>
      <c r="F305" s="11">
        <f t="shared" si="354"/>
        <v>45478.49792</v>
      </c>
      <c r="G305" s="8">
        <v>0.328</v>
      </c>
    </row>
    <row r="306">
      <c r="A306" s="9" t="str">
        <f t="shared" si="352"/>
        <v>PROREP (L)</v>
      </c>
      <c r="B306" s="9" t="str">
        <f>IF(ISBLANK(A302),"",LEFT(B305,27)&amp;VALUE(RIGHT(B305,1)+1))</f>
        <v>JKL240702PROREP_35C_sample_5</v>
      </c>
      <c r="C306" s="6" t="str">
        <f t="shared" ref="C306:D306" si="356">C305</f>
        <v>Protea repens</v>
      </c>
      <c r="D306" s="6" t="str">
        <f t="shared" si="356"/>
        <v>35C</v>
      </c>
      <c r="E306" s="10">
        <f>IF(ISBLANK(A302),"",E305+1)</f>
        <v>5</v>
      </c>
      <c r="F306" s="11">
        <f t="shared" si="354"/>
        <v>45478.49792</v>
      </c>
      <c r="G306" s="8">
        <v>0.315</v>
      </c>
    </row>
    <row r="307">
      <c r="A307" s="12" t="str">
        <f t="shared" si="352"/>
        <v>PROREP (L)</v>
      </c>
      <c r="B307" s="12" t="str">
        <f>IF(ISBLANK(A302),"",LEFT(B306,27)&amp;VALUE(RIGHT(B306,1)+1))</f>
        <v>JKL240702PROREP_35C_sample_6</v>
      </c>
      <c r="C307" s="13" t="str">
        <f t="shared" ref="C307:D307" si="357">C306</f>
        <v>Protea repens</v>
      </c>
      <c r="D307" s="13" t="str">
        <f t="shared" si="357"/>
        <v>35C</v>
      </c>
      <c r="E307" s="14">
        <f>IF(ISBLANK(A302),"",E306+1)</f>
        <v>6</v>
      </c>
      <c r="F307" s="15">
        <f t="shared" si="354"/>
        <v>45478.49792</v>
      </c>
      <c r="G307" s="16">
        <v>0.234</v>
      </c>
    </row>
    <row r="308">
      <c r="A308" s="5" t="s">
        <v>9</v>
      </c>
      <c r="B308" s="6" t="str">
        <f t="array" ref="B308">IF(ISBLANK(A308),"",IF(A308="PROREP (L)",VLOOKUP(LEFT($A308,6),'Data Feed (35C)'!$A$1:$G$10,2,FALSE),IF(A308="PROREP (S)", INDEX('Data Feed (35C)'!B:B, MATCH(LEFT($A308,6), 'Data Feed (35C)'!$A$1:$A$10, 0) + 1), VLOOKUP($A308,'Data Feed (35C)'!$A$1:$G$10,2,FALSE))))</f>
        <v>JKS240702PROREP_35C_sample_1</v>
      </c>
      <c r="C308" s="6" t="str">
        <f t="array" ref="C308">IF(ISBLANK(A308),"",IF(A308="PROREP (L)",VLOOKUP(LEFT($A308,6),'Data Feed (35C)'!$A$1:$G$10,3,FALSE),IF(A308="PROREP (S)", INDEX('Data Feed (35C)'!C:C, MATCH(LEFT($A308,6), 'Data Feed (35C)'!$A$1:$A$10, 0) + 1, +1), VLOOKUP($A308,'Data Feed (35C)'!$A$1:$G$10,3,FALSE))))</f>
        <v>Protea repens</v>
      </c>
      <c r="D308" s="6" t="str">
        <f t="array" ref="D308">IF(ISBLANK(A308),"",IF(A308="PROREP (L)",VLOOKUP(LEFT($A308,6),'Data Feed (35C)'!$A$1:$G$10,4,FALSE),IF(A308="PROREP (S)", INDEX('Data Feed (35C)'!D:D, MATCH(LEFT($A308,6), 'Data Feed (35C)'!$A$1:$A$10, 0) + 1, +1), VLOOKUP($A308,'Data Feed (35C)'!$A$1:$G$10,4,FALSE))))</f>
        <v>35C</v>
      </c>
      <c r="E308" s="6">
        <f t="array" ref="E308">IF(ISBLANK(A308),"",IF(A308="PROREP (L)",VLOOKUP(LEFT($A308,6),'Data Feed (35C)'!$A$1:$G$10,7,FALSE),IF(A308="PROREP (S)", INDEX('Data Feed (35C)'!G:G, MATCH(LEFT($A308,6), 'Data Feed (35C)'!$A$1:$A$10, 0) + 1, +1), VLOOKUP($A308,'Data Feed (35C)'!$A$1:$G$10,7,FALSE))))</f>
        <v>1</v>
      </c>
      <c r="F308" s="7">
        <v>45478.49930555555</v>
      </c>
      <c r="G308" s="8">
        <v>7.211</v>
      </c>
    </row>
    <row r="309">
      <c r="A309" s="9" t="str">
        <f t="shared" ref="A309:A313" si="359">A308</f>
        <v>PROREP (S)</v>
      </c>
      <c r="B309" s="9" t="str">
        <f>IF(ISBLANK(A308),"",LEFT(B308,27)&amp;VALUE(RIGHT(B308,1)+1))</f>
        <v>JKS240702PROREP_35C_sample_2</v>
      </c>
      <c r="C309" s="6" t="str">
        <f t="shared" ref="C309:D309" si="358">C308</f>
        <v>Protea repens</v>
      </c>
      <c r="D309" s="6" t="str">
        <f t="shared" si="358"/>
        <v>35C</v>
      </c>
      <c r="E309" s="10">
        <f>IF(ISBLANK(A308),"",E308+1)</f>
        <v>2</v>
      </c>
      <c r="F309" s="11">
        <f t="shared" ref="F309:F313" si="361">F308</f>
        <v>45478.49931</v>
      </c>
      <c r="G309" s="8">
        <v>14.718</v>
      </c>
    </row>
    <row r="310">
      <c r="A310" s="9" t="str">
        <f t="shared" si="359"/>
        <v>PROREP (S)</v>
      </c>
      <c r="B310" s="9" t="str">
        <f>IF(ISBLANK(A308),"",LEFT(B309,27)&amp;VALUE(RIGHT(B309,1)+1))</f>
        <v>JKS240702PROREP_35C_sample_3</v>
      </c>
      <c r="C310" s="6" t="str">
        <f t="shared" ref="C310:D310" si="360">C309</f>
        <v>Protea repens</v>
      </c>
      <c r="D310" s="6" t="str">
        <f t="shared" si="360"/>
        <v>35C</v>
      </c>
      <c r="E310" s="10">
        <f>IF(ISBLANK(A308),"",E309+1)</f>
        <v>3</v>
      </c>
      <c r="F310" s="11">
        <f t="shared" si="361"/>
        <v>45478.49931</v>
      </c>
      <c r="G310" s="8">
        <v>9.664</v>
      </c>
    </row>
    <row r="311">
      <c r="A311" s="9" t="str">
        <f t="shared" si="359"/>
        <v>PROREP (S)</v>
      </c>
      <c r="B311" s="9" t="str">
        <f>IF(ISBLANK(A308),"",LEFT(B310,27)&amp;VALUE(RIGHT(B310,1)+1))</f>
        <v>JKS240702PROREP_35C_sample_4</v>
      </c>
      <c r="C311" s="6" t="str">
        <f t="shared" ref="C311:D311" si="362">C310</f>
        <v>Protea repens</v>
      </c>
      <c r="D311" s="6" t="str">
        <f t="shared" si="362"/>
        <v>35C</v>
      </c>
      <c r="E311" s="10">
        <f>IF(ISBLANK(A308),"",E310+1)</f>
        <v>4</v>
      </c>
      <c r="F311" s="11">
        <f t="shared" si="361"/>
        <v>45478.49931</v>
      </c>
      <c r="G311" s="8">
        <v>2.94</v>
      </c>
    </row>
    <row r="312">
      <c r="A312" s="9" t="str">
        <f t="shared" si="359"/>
        <v>PROREP (S)</v>
      </c>
      <c r="B312" s="9" t="str">
        <f>IF(ISBLANK(A308),"",LEFT(B311,27)&amp;VALUE(RIGHT(B311,1)+1))</f>
        <v>JKS240702PROREP_35C_sample_5</v>
      </c>
      <c r="C312" s="6" t="str">
        <f t="shared" ref="C312:D312" si="363">C311</f>
        <v>Protea repens</v>
      </c>
      <c r="D312" s="6" t="str">
        <f t="shared" si="363"/>
        <v>35C</v>
      </c>
      <c r="E312" s="10">
        <f>IF(ISBLANK(A308),"",E311+1)</f>
        <v>5</v>
      </c>
      <c r="F312" s="11">
        <f t="shared" si="361"/>
        <v>45478.49931</v>
      </c>
      <c r="G312" s="8">
        <v>3.654</v>
      </c>
    </row>
    <row r="313">
      <c r="A313" s="12" t="str">
        <f t="shared" si="359"/>
        <v>PROREP (S)</v>
      </c>
      <c r="B313" s="12" t="str">
        <f>IF(ISBLANK(A308),"",LEFT(B312,27)&amp;VALUE(RIGHT(B312,1)+1))</f>
        <v>JKS240702PROREP_35C_sample_6</v>
      </c>
      <c r="C313" s="13" t="str">
        <f t="shared" ref="C313:D313" si="364">C312</f>
        <v>Protea repens</v>
      </c>
      <c r="D313" s="13" t="str">
        <f t="shared" si="364"/>
        <v>35C</v>
      </c>
      <c r="E313" s="14">
        <f>IF(ISBLANK(A308),"",E312+1)</f>
        <v>6</v>
      </c>
      <c r="F313" s="15">
        <f t="shared" si="361"/>
        <v>45478.49931</v>
      </c>
      <c r="G313" s="16">
        <v>5.975</v>
      </c>
    </row>
    <row r="314">
      <c r="A314" s="5" t="s">
        <v>10</v>
      </c>
      <c r="B314" s="6" t="str">
        <f t="array" ref="B314">IF(ISBLANK(A314),"",IF(A314="PROREP (L)",VLOOKUP(LEFT($A314,6),'Data Feed (35C)'!$A$1:$G$10,2,FALSE),IF(A314="PROREP (S)", INDEX('Data Feed (35C)'!B:B, MATCH(LEFT($A314,6), 'Data Feed (35C)'!$A$1:$A$10, 0) + 1), VLOOKUP($A314,'Data Feed (35C)'!$A$1:$G$10,2,FALSE))))</f>
        <v>JKS240702CANCON_35C_sample_1</v>
      </c>
      <c r="C314" s="6" t="str">
        <f t="array" ref="C314">IF(ISBLANK(A314),"",IF(A314="PROREP (L)",VLOOKUP(LEFT($A314,6),'Data Feed (35C)'!$A$1:$G$10,3,FALSE),IF(A314="PROREP (S)", INDEX('Data Feed (35C)'!C:C, MATCH(LEFT($A314,6), 'Data Feed (35C)'!$A$1:$A$10, 0) + 1, +1), VLOOKUP($A314,'Data Feed (35C)'!$A$1:$G$10,3,FALSE))))</f>
        <v>Cannomois congesta</v>
      </c>
      <c r="D314" s="6" t="str">
        <f t="array" ref="D314">IF(ISBLANK(A314),"",IF(A314="PROREP (L)",VLOOKUP(LEFT($A314,6),'Data Feed (35C)'!$A$1:$G$10,4,FALSE),IF(A314="PROREP (S)", INDEX('Data Feed (35C)'!D:D, MATCH(LEFT($A314,6), 'Data Feed (35C)'!$A$1:$A$10, 0) + 1, +1), VLOOKUP($A314,'Data Feed (35C)'!$A$1:$G$10,4,FALSE))))</f>
        <v>35C</v>
      </c>
      <c r="E314" s="6">
        <f t="array" ref="E314">IF(ISBLANK(A314),"",IF(A314="PROREP (L)",VLOOKUP(LEFT($A314,6),'Data Feed (35C)'!$A$1:$G$10,7,FALSE),IF(A314="PROREP (S)", INDEX('Data Feed (35C)'!G:G, MATCH(LEFT($A314,6), 'Data Feed (35C)'!$A$1:$A$10, 0) + 1, +1), VLOOKUP($A314,'Data Feed (35C)'!$A$1:$G$10,7,FALSE))))</f>
        <v>1</v>
      </c>
      <c r="F314" s="7">
        <v>45478.50069444445</v>
      </c>
      <c r="G314" s="8">
        <v>0.451</v>
      </c>
    </row>
    <row r="315">
      <c r="A315" s="9" t="str">
        <f t="shared" ref="A315:A319" si="366">A314</f>
        <v>CANCON</v>
      </c>
      <c r="B315" s="9" t="str">
        <f>IF(ISBLANK(A314),"",LEFT(B314,27)&amp;VALUE(RIGHT(B314,1)+1))</f>
        <v>JKS240702CANCON_35C_sample_2</v>
      </c>
      <c r="C315" s="6" t="str">
        <f t="shared" ref="C315:D315" si="365">C314</f>
        <v>Cannomois congesta</v>
      </c>
      <c r="D315" s="6" t="str">
        <f t="shared" si="365"/>
        <v>35C</v>
      </c>
      <c r="E315" s="10">
        <f>IF(ISBLANK(A314),"",E314+1)</f>
        <v>2</v>
      </c>
      <c r="F315" s="11">
        <f t="shared" ref="F315:F319" si="368">F314</f>
        <v>45478.50069</v>
      </c>
      <c r="G315" s="8">
        <v>1.962</v>
      </c>
    </row>
    <row r="316">
      <c r="A316" s="9" t="str">
        <f t="shared" si="366"/>
        <v>CANCON</v>
      </c>
      <c r="B316" s="9" t="str">
        <f>IF(ISBLANK(A314),"",LEFT(B315,27)&amp;VALUE(RIGHT(B315,1)+1))</f>
        <v>JKS240702CANCON_35C_sample_3</v>
      </c>
      <c r="C316" s="6" t="str">
        <f t="shared" ref="C316:D316" si="367">C315</f>
        <v>Cannomois congesta</v>
      </c>
      <c r="D316" s="6" t="str">
        <f t="shared" si="367"/>
        <v>35C</v>
      </c>
      <c r="E316" s="10">
        <f>IF(ISBLANK(A314),"",E315+1)</f>
        <v>3</v>
      </c>
      <c r="F316" s="11">
        <f t="shared" si="368"/>
        <v>45478.50069</v>
      </c>
      <c r="G316" s="8">
        <v>0.792</v>
      </c>
    </row>
    <row r="317">
      <c r="A317" s="9" t="str">
        <f t="shared" si="366"/>
        <v>CANCON</v>
      </c>
      <c r="B317" s="9" t="str">
        <f>IF(ISBLANK(A314),"",LEFT(B316,27)&amp;VALUE(RIGHT(B316,1)+1))</f>
        <v>JKS240702CANCON_35C_sample_4</v>
      </c>
      <c r="C317" s="6" t="str">
        <f t="shared" ref="C317:D317" si="369">C316</f>
        <v>Cannomois congesta</v>
      </c>
      <c r="D317" s="6" t="str">
        <f t="shared" si="369"/>
        <v>35C</v>
      </c>
      <c r="E317" s="10">
        <f>IF(ISBLANK(A314),"",E316+1)</f>
        <v>4</v>
      </c>
      <c r="F317" s="11">
        <f t="shared" si="368"/>
        <v>45478.50069</v>
      </c>
      <c r="G317" s="8">
        <v>0.85</v>
      </c>
    </row>
    <row r="318">
      <c r="A318" s="9" t="str">
        <f t="shared" si="366"/>
        <v>CANCON</v>
      </c>
      <c r="B318" s="9" t="str">
        <f>IF(ISBLANK(A314),"",LEFT(B317,27)&amp;VALUE(RIGHT(B317,1)+1))</f>
        <v>JKS240702CANCON_35C_sample_5</v>
      </c>
      <c r="C318" s="6" t="str">
        <f t="shared" ref="C318:D318" si="370">C317</f>
        <v>Cannomois congesta</v>
      </c>
      <c r="D318" s="6" t="str">
        <f t="shared" si="370"/>
        <v>35C</v>
      </c>
      <c r="E318" s="10">
        <f>IF(ISBLANK(A314),"",E317+1)</f>
        <v>5</v>
      </c>
      <c r="F318" s="11">
        <f t="shared" si="368"/>
        <v>45478.50069</v>
      </c>
      <c r="G318" s="8"/>
    </row>
    <row r="319">
      <c r="A319" s="12" t="str">
        <f t="shared" si="366"/>
        <v>CANCON</v>
      </c>
      <c r="B319" s="12" t="str">
        <f>IF(ISBLANK(A314),"",LEFT(B318,27)&amp;VALUE(RIGHT(B318,1)+1))</f>
        <v>JKS240702CANCON_35C_sample_6</v>
      </c>
      <c r="C319" s="13" t="str">
        <f t="shared" ref="C319:D319" si="371">C318</f>
        <v>Cannomois congesta</v>
      </c>
      <c r="D319" s="13" t="str">
        <f t="shared" si="371"/>
        <v>35C</v>
      </c>
      <c r="E319" s="14">
        <f>IF(ISBLANK(A314),"",E318+1)</f>
        <v>6</v>
      </c>
      <c r="F319" s="15">
        <f t="shared" si="368"/>
        <v>45478.50069</v>
      </c>
      <c r="G319" s="16">
        <v>1.273</v>
      </c>
    </row>
    <row r="320">
      <c r="A320" s="5" t="s">
        <v>7</v>
      </c>
      <c r="B320" s="6" t="str">
        <f t="array" ref="B320">IF(ISBLANK(A320),"",IF(A320="PROREP (L)",VLOOKUP(LEFT($A320,6),'Data Feed (35C)'!$A$1:$G$10,2,FALSE),IF(A320="PROREP (S)", INDEX('Data Feed (35C)'!B:B, MATCH(LEFT($A320,6), 'Data Feed (35C)'!$A$1:$A$10, 0) + 1), VLOOKUP($A320,'Data Feed (35C)'!$A$1:$G$10,2,FALSE))))</f>
        <v>JKS240702ERIMON_35C_sample_1</v>
      </c>
      <c r="C320" s="6" t="str">
        <f t="array" ref="C320">IF(ISBLANK(A320),"",IF(A320="PROREP (L)",VLOOKUP(LEFT($A320,6),'Data Feed (35C)'!$A$1:$G$10,3,FALSE),IF(A320="PROREP (S)", INDEX('Data Feed (35C)'!C:C, MATCH(LEFT($A320,6), 'Data Feed (35C)'!$A$1:$A$10, 0) + 1, +1), VLOOKUP($A320,'Data Feed (35C)'!$A$1:$G$10,3,FALSE))))</f>
        <v>Erica monsoniana</v>
      </c>
      <c r="D320" s="6" t="str">
        <f t="array" ref="D320">IF(ISBLANK(A320),"",IF(A320="PROREP (L)",VLOOKUP(LEFT($A320,6),'Data Feed (35C)'!$A$1:$G$10,4,FALSE),IF(A320="PROREP (S)", INDEX('Data Feed (35C)'!D:D, MATCH(LEFT($A320,6), 'Data Feed (35C)'!$A$1:$A$10, 0) + 1, +1), VLOOKUP($A320,'Data Feed (35C)'!$A$1:$G$10,4,FALSE))))</f>
        <v>35C</v>
      </c>
      <c r="E320" s="6">
        <f t="array" ref="E320">IF(ISBLANK(A320),"",IF(A320="PROREP (L)",VLOOKUP(LEFT($A320,6),'Data Feed (35C)'!$A$1:$G$10,7,FALSE),IF(A320="PROREP (S)", INDEX('Data Feed (35C)'!G:G, MATCH(LEFT($A320,6), 'Data Feed (35C)'!$A$1:$A$10, 0) + 1, +1), VLOOKUP($A320,'Data Feed (35C)'!$A$1:$G$10,7,FALSE))))</f>
        <v>1</v>
      </c>
      <c r="F320" s="7">
        <v>45478.59861111111</v>
      </c>
      <c r="G320" s="8">
        <v>1.738</v>
      </c>
    </row>
    <row r="321">
      <c r="A321" s="9" t="str">
        <f t="shared" ref="A321:A325" si="373">A320</f>
        <v>ERIMON</v>
      </c>
      <c r="B321" s="9" t="str">
        <f>IF(ISBLANK(A320),"",LEFT(B320,27)&amp;VALUE(RIGHT(B320,1)+1))</f>
        <v>JKS240702ERIMON_35C_sample_2</v>
      </c>
      <c r="C321" s="6" t="str">
        <f t="shared" ref="C321:D321" si="372">C320</f>
        <v>Erica monsoniana</v>
      </c>
      <c r="D321" s="6" t="str">
        <f t="shared" si="372"/>
        <v>35C</v>
      </c>
      <c r="E321" s="10">
        <f>IF(ISBLANK(A320),"",E320+1)</f>
        <v>2</v>
      </c>
      <c r="F321" s="11">
        <f t="shared" ref="F321:F325" si="375">F320</f>
        <v>45478.59861</v>
      </c>
      <c r="G321" s="8">
        <v>1.017</v>
      </c>
    </row>
    <row r="322">
      <c r="A322" s="9" t="str">
        <f t="shared" si="373"/>
        <v>ERIMON</v>
      </c>
      <c r="B322" s="9" t="str">
        <f>IF(ISBLANK(A320),"",LEFT(B321,27)&amp;VALUE(RIGHT(B321,1)+1))</f>
        <v>JKS240702ERIMON_35C_sample_3</v>
      </c>
      <c r="C322" s="6" t="str">
        <f t="shared" ref="C322:D322" si="374">C321</f>
        <v>Erica monsoniana</v>
      </c>
      <c r="D322" s="6" t="str">
        <f t="shared" si="374"/>
        <v>35C</v>
      </c>
      <c r="E322" s="10">
        <f>IF(ISBLANK(A320),"",E321+1)</f>
        <v>3</v>
      </c>
      <c r="F322" s="11">
        <f t="shared" si="375"/>
        <v>45478.59861</v>
      </c>
      <c r="G322" s="8">
        <v>0.354</v>
      </c>
    </row>
    <row r="323">
      <c r="A323" s="9" t="str">
        <f t="shared" si="373"/>
        <v>ERIMON</v>
      </c>
      <c r="B323" s="9" t="str">
        <f>IF(ISBLANK(A320),"",LEFT(B322,27)&amp;VALUE(RIGHT(B322,1)+1))</f>
        <v>JKS240702ERIMON_35C_sample_4</v>
      </c>
      <c r="C323" s="6" t="str">
        <f t="shared" ref="C323:D323" si="376">C322</f>
        <v>Erica monsoniana</v>
      </c>
      <c r="D323" s="6" t="str">
        <f t="shared" si="376"/>
        <v>35C</v>
      </c>
      <c r="E323" s="10">
        <f>IF(ISBLANK(A320),"",E322+1)</f>
        <v>4</v>
      </c>
      <c r="F323" s="11">
        <f t="shared" si="375"/>
        <v>45478.59861</v>
      </c>
      <c r="G323" s="8">
        <v>0.628</v>
      </c>
    </row>
    <row r="324">
      <c r="A324" s="9" t="str">
        <f t="shared" si="373"/>
        <v>ERIMON</v>
      </c>
      <c r="B324" s="9" t="str">
        <f>IF(ISBLANK(A320),"",LEFT(B323,27)&amp;VALUE(RIGHT(B323,1)+1))</f>
        <v>JKS240702ERIMON_35C_sample_5</v>
      </c>
      <c r="C324" s="6" t="str">
        <f t="shared" ref="C324:D324" si="377">C323</f>
        <v>Erica monsoniana</v>
      </c>
      <c r="D324" s="6" t="str">
        <f t="shared" si="377"/>
        <v>35C</v>
      </c>
      <c r="E324" s="10">
        <f>IF(ISBLANK(A320),"",E323+1)</f>
        <v>5</v>
      </c>
      <c r="F324" s="11">
        <f t="shared" si="375"/>
        <v>45478.59861</v>
      </c>
      <c r="G324" s="8">
        <v>1.868</v>
      </c>
    </row>
    <row r="325">
      <c r="A325" s="12" t="str">
        <f t="shared" si="373"/>
        <v>ERIMON</v>
      </c>
      <c r="B325" s="12" t="str">
        <f>IF(ISBLANK(A320),"",LEFT(B324,27)&amp;VALUE(RIGHT(B324,1)+1))</f>
        <v>JKS240702ERIMON_35C_sample_6</v>
      </c>
      <c r="C325" s="13" t="str">
        <f t="shared" ref="C325:D325" si="378">C324</f>
        <v>Erica monsoniana</v>
      </c>
      <c r="D325" s="13" t="str">
        <f t="shared" si="378"/>
        <v>35C</v>
      </c>
      <c r="E325" s="14">
        <f>IF(ISBLANK(A320),"",E324+1)</f>
        <v>6</v>
      </c>
      <c r="F325" s="15">
        <f t="shared" si="375"/>
        <v>45478.59861</v>
      </c>
      <c r="G325" s="16">
        <v>0.644</v>
      </c>
    </row>
    <row r="326">
      <c r="A326" s="5" t="s">
        <v>8</v>
      </c>
      <c r="B326" s="6" t="str">
        <f t="array" ref="B326">IF(ISBLANK(A326),"",IF(A326="PROREP (L)",VLOOKUP(LEFT($A326,6),'Data Feed (35C)'!$A$1:$G$10,2,FALSE),IF(A326="PROREP (S)", INDEX('Data Feed (35C)'!B:B, MATCH(LEFT($A326,6), 'Data Feed (35C)'!$A$1:$A$10, 0) + 1), VLOOKUP($A326,'Data Feed (35C)'!$A$1:$G$10,2,FALSE))))</f>
        <v>JKL240702PROREP_35C_sample_1</v>
      </c>
      <c r="C326" s="6" t="str">
        <f t="array" ref="C326">IF(ISBLANK(A326),"",IF(A326="PROREP (L)",VLOOKUP(LEFT($A326,6),'Data Feed (35C)'!$A$1:$G$10,3,FALSE),IF(A326="PROREP (S)", INDEX('Data Feed (35C)'!C:C, MATCH(LEFT($A326,6), 'Data Feed (35C)'!$A$1:$A$10, 0) + 1, +1), VLOOKUP($A326,'Data Feed (35C)'!$A$1:$G$10,3,FALSE))))</f>
        <v>Protea repens</v>
      </c>
      <c r="D326" s="6" t="str">
        <f t="array" ref="D326">IF(ISBLANK(A326),"",IF(A326="PROREP (L)",VLOOKUP(LEFT($A326,6),'Data Feed (35C)'!$A$1:$G$10,4,FALSE),IF(A326="PROREP (S)", INDEX('Data Feed (35C)'!D:D, MATCH(LEFT($A326,6), 'Data Feed (35C)'!$A$1:$A$10, 0) + 1, +1), VLOOKUP($A326,'Data Feed (35C)'!$A$1:$G$10,4,FALSE))))</f>
        <v>35C</v>
      </c>
      <c r="E326" s="6">
        <f t="array" ref="E326">IF(ISBLANK(A326),"",IF(A326="PROREP (L)",VLOOKUP(LEFT($A326,6),'Data Feed (35C)'!$A$1:$G$10,7,FALSE),IF(A326="PROREP (S)", INDEX('Data Feed (35C)'!G:G, MATCH(LEFT($A326,6), 'Data Feed (35C)'!$A$1:$A$10, 0) + 1, +1), VLOOKUP($A326,'Data Feed (35C)'!$A$1:$G$10,7,FALSE))))</f>
        <v>1</v>
      </c>
      <c r="F326" s="7">
        <v>45478.60138888889</v>
      </c>
      <c r="G326" s="8">
        <v>0.318</v>
      </c>
    </row>
    <row r="327">
      <c r="A327" s="9" t="str">
        <f t="shared" ref="A327:A331" si="380">A326</f>
        <v>PROREP (L)</v>
      </c>
      <c r="B327" s="9" t="str">
        <f>IF(ISBLANK(A326),"",LEFT(B326,27)&amp;VALUE(RIGHT(B326,1)+1))</f>
        <v>JKL240702PROREP_35C_sample_2</v>
      </c>
      <c r="C327" s="6" t="str">
        <f t="shared" ref="C327:D327" si="379">C326</f>
        <v>Protea repens</v>
      </c>
      <c r="D327" s="6" t="str">
        <f t="shared" si="379"/>
        <v>35C</v>
      </c>
      <c r="E327" s="10">
        <f>IF(ISBLANK(A326),"",E326+1)</f>
        <v>2</v>
      </c>
      <c r="F327" s="11">
        <f t="shared" ref="F327:F331" si="382">F326</f>
        <v>45478.60139</v>
      </c>
      <c r="G327" s="8">
        <v>0.402</v>
      </c>
    </row>
    <row r="328">
      <c r="A328" s="9" t="str">
        <f t="shared" si="380"/>
        <v>PROREP (L)</v>
      </c>
      <c r="B328" s="9" t="str">
        <f>IF(ISBLANK(A326),"",LEFT(B327,27)&amp;VALUE(RIGHT(B327,1)+1))</f>
        <v>JKL240702PROREP_35C_sample_3</v>
      </c>
      <c r="C328" s="6" t="str">
        <f t="shared" ref="C328:D328" si="381">C327</f>
        <v>Protea repens</v>
      </c>
      <c r="D328" s="6" t="str">
        <f t="shared" si="381"/>
        <v>35C</v>
      </c>
      <c r="E328" s="10">
        <f>IF(ISBLANK(A326),"",E327+1)</f>
        <v>3</v>
      </c>
      <c r="F328" s="11">
        <f t="shared" si="382"/>
        <v>45478.60139</v>
      </c>
      <c r="G328" s="8">
        <v>0.372</v>
      </c>
    </row>
    <row r="329">
      <c r="A329" s="9" t="str">
        <f t="shared" si="380"/>
        <v>PROREP (L)</v>
      </c>
      <c r="B329" s="9" t="str">
        <f>IF(ISBLANK(A326),"",LEFT(B328,27)&amp;VALUE(RIGHT(B328,1)+1))</f>
        <v>JKL240702PROREP_35C_sample_4</v>
      </c>
      <c r="C329" s="6" t="str">
        <f t="shared" ref="C329:D329" si="383">C328</f>
        <v>Protea repens</v>
      </c>
      <c r="D329" s="6" t="str">
        <f t="shared" si="383"/>
        <v>35C</v>
      </c>
      <c r="E329" s="10">
        <f>IF(ISBLANK(A326),"",E328+1)</f>
        <v>4</v>
      </c>
      <c r="F329" s="11">
        <f t="shared" si="382"/>
        <v>45478.60139</v>
      </c>
      <c r="G329" s="8">
        <v>0.309</v>
      </c>
    </row>
    <row r="330">
      <c r="A330" s="9" t="str">
        <f t="shared" si="380"/>
        <v>PROREP (L)</v>
      </c>
      <c r="B330" s="9" t="str">
        <f>IF(ISBLANK(A326),"",LEFT(B329,27)&amp;VALUE(RIGHT(B329,1)+1))</f>
        <v>JKL240702PROREP_35C_sample_5</v>
      </c>
      <c r="C330" s="6" t="str">
        <f t="shared" ref="C330:D330" si="384">C329</f>
        <v>Protea repens</v>
      </c>
      <c r="D330" s="6" t="str">
        <f t="shared" si="384"/>
        <v>35C</v>
      </c>
      <c r="E330" s="10">
        <f>IF(ISBLANK(A326),"",E329+1)</f>
        <v>5</v>
      </c>
      <c r="F330" s="11">
        <f t="shared" si="382"/>
        <v>45478.60139</v>
      </c>
      <c r="G330" s="8">
        <v>0.289</v>
      </c>
    </row>
    <row r="331">
      <c r="A331" s="12" t="str">
        <f t="shared" si="380"/>
        <v>PROREP (L)</v>
      </c>
      <c r="B331" s="12" t="str">
        <f>IF(ISBLANK(A326),"",LEFT(B330,27)&amp;VALUE(RIGHT(B330,1)+1))</f>
        <v>JKL240702PROREP_35C_sample_6</v>
      </c>
      <c r="C331" s="13" t="str">
        <f t="shared" ref="C331:D331" si="385">C330</f>
        <v>Protea repens</v>
      </c>
      <c r="D331" s="13" t="str">
        <f t="shared" si="385"/>
        <v>35C</v>
      </c>
      <c r="E331" s="14">
        <f>IF(ISBLANK(A326),"",E330+1)</f>
        <v>6</v>
      </c>
      <c r="F331" s="15">
        <f t="shared" si="382"/>
        <v>45478.60139</v>
      </c>
      <c r="G331" s="16">
        <v>0.208</v>
      </c>
    </row>
    <row r="332">
      <c r="A332" s="5" t="s">
        <v>9</v>
      </c>
      <c r="B332" s="6" t="str">
        <f t="array" ref="B332">IF(ISBLANK(A332),"",IF(A332="PROREP (L)",VLOOKUP(LEFT($A332,6),'Data Feed (35C)'!$A$1:$G$10,2,FALSE),IF(A332="PROREP (S)", INDEX('Data Feed (35C)'!B:B, MATCH(LEFT($A332,6), 'Data Feed (35C)'!$A$1:$A$10, 0) + 1), VLOOKUP($A332,'Data Feed (35C)'!$A$1:$G$10,2,FALSE))))</f>
        <v>JKS240702PROREP_35C_sample_1</v>
      </c>
      <c r="C332" s="6" t="str">
        <f t="array" ref="C332">IF(ISBLANK(A332),"",IF(A332="PROREP (L)",VLOOKUP(LEFT($A332,6),'Data Feed (35C)'!$A$1:$G$10,3,FALSE),IF(A332="PROREP (S)", INDEX('Data Feed (35C)'!C:C, MATCH(LEFT($A332,6), 'Data Feed (35C)'!$A$1:$A$10, 0) + 1, +1), VLOOKUP($A332,'Data Feed (35C)'!$A$1:$G$10,3,FALSE))))</f>
        <v>Protea repens</v>
      </c>
      <c r="D332" s="6" t="str">
        <f t="array" ref="D332">IF(ISBLANK(A332),"",IF(A332="PROREP (L)",VLOOKUP(LEFT($A332,6),'Data Feed (35C)'!$A$1:$G$10,4,FALSE),IF(A332="PROREP (S)", INDEX('Data Feed (35C)'!D:D, MATCH(LEFT($A332,6), 'Data Feed (35C)'!$A$1:$A$10, 0) + 1, +1), VLOOKUP($A332,'Data Feed (35C)'!$A$1:$G$10,4,FALSE))))</f>
        <v>35C</v>
      </c>
      <c r="E332" s="6">
        <f t="array" ref="E332">IF(ISBLANK(A332),"",IF(A332="PROREP (L)",VLOOKUP(LEFT($A332,6),'Data Feed (35C)'!$A$1:$G$10,7,FALSE),IF(A332="PROREP (S)", INDEX('Data Feed (35C)'!G:G, MATCH(LEFT($A332,6), 'Data Feed (35C)'!$A$1:$A$10, 0) + 1, +1), VLOOKUP($A332,'Data Feed (35C)'!$A$1:$G$10,7,FALSE))))</f>
        <v>1</v>
      </c>
      <c r="F332" s="7">
        <v>45478.60277777778</v>
      </c>
      <c r="G332" s="8">
        <v>5.884</v>
      </c>
    </row>
    <row r="333">
      <c r="A333" s="9" t="str">
        <f t="shared" ref="A333:A337" si="387">A332</f>
        <v>PROREP (S)</v>
      </c>
      <c r="B333" s="9" t="str">
        <f>IF(ISBLANK(A332),"",LEFT(B332,27)&amp;VALUE(RIGHT(B332,1)+1))</f>
        <v>JKS240702PROREP_35C_sample_2</v>
      </c>
      <c r="C333" s="6" t="str">
        <f t="shared" ref="C333:D333" si="386">C332</f>
        <v>Protea repens</v>
      </c>
      <c r="D333" s="6" t="str">
        <f t="shared" si="386"/>
        <v>35C</v>
      </c>
      <c r="E333" s="10">
        <f>IF(ISBLANK(A332),"",E332+1)</f>
        <v>2</v>
      </c>
      <c r="F333" s="11">
        <f t="shared" ref="F333:F337" si="389">F332</f>
        <v>45478.60278</v>
      </c>
      <c r="G333" s="8">
        <v>14.285</v>
      </c>
    </row>
    <row r="334">
      <c r="A334" s="9" t="str">
        <f t="shared" si="387"/>
        <v>PROREP (S)</v>
      </c>
      <c r="B334" s="9" t="str">
        <f>IF(ISBLANK(A332),"",LEFT(B333,27)&amp;VALUE(RIGHT(B333,1)+1))</f>
        <v>JKS240702PROREP_35C_sample_3</v>
      </c>
      <c r="C334" s="6" t="str">
        <f t="shared" ref="C334:D334" si="388">C333</f>
        <v>Protea repens</v>
      </c>
      <c r="D334" s="6" t="str">
        <f t="shared" si="388"/>
        <v>35C</v>
      </c>
      <c r="E334" s="10">
        <f>IF(ISBLANK(A332),"",E333+1)</f>
        <v>3</v>
      </c>
      <c r="F334" s="11">
        <f t="shared" si="389"/>
        <v>45478.60278</v>
      </c>
      <c r="G334" s="8">
        <v>9.565</v>
      </c>
    </row>
    <row r="335">
      <c r="A335" s="9" t="str">
        <f t="shared" si="387"/>
        <v>PROREP (S)</v>
      </c>
      <c r="B335" s="9" t="str">
        <f>IF(ISBLANK(A332),"",LEFT(B334,27)&amp;VALUE(RIGHT(B334,1)+1))</f>
        <v>JKS240702PROREP_35C_sample_4</v>
      </c>
      <c r="C335" s="6" t="str">
        <f t="shared" ref="C335:D335" si="390">C334</f>
        <v>Protea repens</v>
      </c>
      <c r="D335" s="6" t="str">
        <f t="shared" si="390"/>
        <v>35C</v>
      </c>
      <c r="E335" s="10">
        <f>IF(ISBLANK(A332),"",E334+1)</f>
        <v>4</v>
      </c>
      <c r="F335" s="11">
        <f t="shared" si="389"/>
        <v>45478.60278</v>
      </c>
      <c r="G335" s="8">
        <v>2.843</v>
      </c>
    </row>
    <row r="336">
      <c r="A336" s="9" t="str">
        <f t="shared" si="387"/>
        <v>PROREP (S)</v>
      </c>
      <c r="B336" s="9" t="str">
        <f>IF(ISBLANK(A332),"",LEFT(B335,27)&amp;VALUE(RIGHT(B335,1)+1))</f>
        <v>JKS240702PROREP_35C_sample_5</v>
      </c>
      <c r="C336" s="6" t="str">
        <f t="shared" ref="C336:D336" si="391">C335</f>
        <v>Protea repens</v>
      </c>
      <c r="D336" s="6" t="str">
        <f t="shared" si="391"/>
        <v>35C</v>
      </c>
      <c r="E336" s="10">
        <f>IF(ISBLANK(A332),"",E335+1)</f>
        <v>5</v>
      </c>
      <c r="F336" s="11">
        <f t="shared" si="389"/>
        <v>45478.60278</v>
      </c>
      <c r="G336" s="8">
        <v>3.523</v>
      </c>
    </row>
    <row r="337">
      <c r="A337" s="12" t="str">
        <f t="shared" si="387"/>
        <v>PROREP (S)</v>
      </c>
      <c r="B337" s="12" t="str">
        <f>IF(ISBLANK(A332),"",LEFT(B336,27)&amp;VALUE(RIGHT(B336,1)+1))</f>
        <v>JKS240702PROREP_35C_sample_6</v>
      </c>
      <c r="C337" s="13" t="str">
        <f t="shared" ref="C337:D337" si="392">C336</f>
        <v>Protea repens</v>
      </c>
      <c r="D337" s="13" t="str">
        <f t="shared" si="392"/>
        <v>35C</v>
      </c>
      <c r="E337" s="14">
        <f>IF(ISBLANK(A332),"",E336+1)</f>
        <v>6</v>
      </c>
      <c r="F337" s="15">
        <f t="shared" si="389"/>
        <v>45478.60278</v>
      </c>
      <c r="G337" s="16">
        <v>5.789</v>
      </c>
    </row>
    <row r="338">
      <c r="A338" s="5" t="s">
        <v>10</v>
      </c>
      <c r="B338" s="6" t="str">
        <f t="array" ref="B338">IF(ISBLANK(A338),"",IF(A338="PROREP (L)",VLOOKUP(LEFT($A338,6),'Data Feed (35C)'!$A$1:$G$10,2,FALSE),IF(A338="PROREP (S)", INDEX('Data Feed (35C)'!B:B, MATCH(LEFT($A338,6), 'Data Feed (35C)'!$A$1:$A$10, 0) + 1), VLOOKUP($A338,'Data Feed (35C)'!$A$1:$G$10,2,FALSE))))</f>
        <v>JKS240702CANCON_35C_sample_1</v>
      </c>
      <c r="C338" s="6" t="str">
        <f t="array" ref="C338">IF(ISBLANK(A338),"",IF(A338="PROREP (L)",VLOOKUP(LEFT($A338,6),'Data Feed (35C)'!$A$1:$G$10,3,FALSE),IF(A338="PROREP (S)", INDEX('Data Feed (35C)'!C:C, MATCH(LEFT($A338,6), 'Data Feed (35C)'!$A$1:$A$10, 0) + 1, +1), VLOOKUP($A338,'Data Feed (35C)'!$A$1:$G$10,3,FALSE))))</f>
        <v>Cannomois congesta</v>
      </c>
      <c r="D338" s="6" t="str">
        <f t="array" ref="D338">IF(ISBLANK(A338),"",IF(A338="PROREP (L)",VLOOKUP(LEFT($A338,6),'Data Feed (35C)'!$A$1:$G$10,4,FALSE),IF(A338="PROREP (S)", INDEX('Data Feed (35C)'!D:D, MATCH(LEFT($A338,6), 'Data Feed (35C)'!$A$1:$A$10, 0) + 1, +1), VLOOKUP($A338,'Data Feed (35C)'!$A$1:$G$10,4,FALSE))))</f>
        <v>35C</v>
      </c>
      <c r="E338" s="6">
        <f t="array" ref="E338">IF(ISBLANK(A338),"",IF(A338="PROREP (L)",VLOOKUP(LEFT($A338,6),'Data Feed (35C)'!$A$1:$G$10,7,FALSE),IF(A338="PROREP (S)", INDEX('Data Feed (35C)'!G:G, MATCH(LEFT($A338,6), 'Data Feed (35C)'!$A$1:$A$10, 0) + 1, +1), VLOOKUP($A338,'Data Feed (35C)'!$A$1:$G$10,7,FALSE))))</f>
        <v>1</v>
      </c>
      <c r="F338" s="7">
        <v>45478.60555555556</v>
      </c>
      <c r="G338" s="8">
        <v>0.438</v>
      </c>
    </row>
    <row r="339">
      <c r="A339" s="9" t="str">
        <f t="shared" ref="A339:A343" si="394">A338</f>
        <v>CANCON</v>
      </c>
      <c r="B339" s="9" t="str">
        <f>IF(ISBLANK(A338),"",LEFT(B338,27)&amp;VALUE(RIGHT(B338,1)+1))</f>
        <v>JKS240702CANCON_35C_sample_2</v>
      </c>
      <c r="C339" s="6" t="str">
        <f t="shared" ref="C339:D339" si="393">C338</f>
        <v>Cannomois congesta</v>
      </c>
      <c r="D339" s="6" t="str">
        <f t="shared" si="393"/>
        <v>35C</v>
      </c>
      <c r="E339" s="10">
        <f>IF(ISBLANK(A338),"",E338+1)</f>
        <v>2</v>
      </c>
      <c r="F339" s="11">
        <f t="shared" ref="F339:F343" si="396">F338</f>
        <v>45478.60556</v>
      </c>
      <c r="G339" s="8">
        <v>1.931</v>
      </c>
    </row>
    <row r="340">
      <c r="A340" s="9" t="str">
        <f t="shared" si="394"/>
        <v>CANCON</v>
      </c>
      <c r="B340" s="9" t="str">
        <f>IF(ISBLANK(A338),"",LEFT(B339,27)&amp;VALUE(RIGHT(B339,1)+1))</f>
        <v>JKS240702CANCON_35C_sample_3</v>
      </c>
      <c r="C340" s="6" t="str">
        <f t="shared" ref="C340:D340" si="395">C339</f>
        <v>Cannomois congesta</v>
      </c>
      <c r="D340" s="6" t="str">
        <f t="shared" si="395"/>
        <v>35C</v>
      </c>
      <c r="E340" s="10">
        <f>IF(ISBLANK(A338),"",E339+1)</f>
        <v>3</v>
      </c>
      <c r="F340" s="11">
        <f t="shared" si="396"/>
        <v>45478.60556</v>
      </c>
      <c r="G340" s="8">
        <v>0.778</v>
      </c>
    </row>
    <row r="341">
      <c r="A341" s="9" t="str">
        <f t="shared" si="394"/>
        <v>CANCON</v>
      </c>
      <c r="B341" s="9" t="str">
        <f>IF(ISBLANK(A338),"",LEFT(B340,27)&amp;VALUE(RIGHT(B340,1)+1))</f>
        <v>JKS240702CANCON_35C_sample_4</v>
      </c>
      <c r="C341" s="6" t="str">
        <f t="shared" ref="C341:D341" si="397">C340</f>
        <v>Cannomois congesta</v>
      </c>
      <c r="D341" s="6" t="str">
        <f t="shared" si="397"/>
        <v>35C</v>
      </c>
      <c r="E341" s="10">
        <f>IF(ISBLANK(A338),"",E340+1)</f>
        <v>4</v>
      </c>
      <c r="F341" s="11">
        <f t="shared" si="396"/>
        <v>45478.60556</v>
      </c>
      <c r="G341" s="8">
        <v>0.839</v>
      </c>
    </row>
    <row r="342">
      <c r="A342" s="9" t="str">
        <f t="shared" si="394"/>
        <v>CANCON</v>
      </c>
      <c r="B342" s="9" t="str">
        <f>IF(ISBLANK(A338),"",LEFT(B341,27)&amp;VALUE(RIGHT(B341,1)+1))</f>
        <v>JKS240702CANCON_35C_sample_5</v>
      </c>
      <c r="C342" s="6" t="str">
        <f t="shared" ref="C342:D342" si="398">C341</f>
        <v>Cannomois congesta</v>
      </c>
      <c r="D342" s="6" t="str">
        <f t="shared" si="398"/>
        <v>35C</v>
      </c>
      <c r="E342" s="10">
        <f>IF(ISBLANK(A338),"",E341+1)</f>
        <v>5</v>
      </c>
      <c r="F342" s="11">
        <f t="shared" si="396"/>
        <v>45478.60556</v>
      </c>
      <c r="G342" s="8">
        <v>1.096</v>
      </c>
    </row>
    <row r="343">
      <c r="A343" s="12" t="str">
        <f t="shared" si="394"/>
        <v>CANCON</v>
      </c>
      <c r="B343" s="12" t="str">
        <f>IF(ISBLANK(A338),"",LEFT(B342,27)&amp;VALUE(RIGHT(B342,1)+1))</f>
        <v>JKS240702CANCON_35C_sample_6</v>
      </c>
      <c r="C343" s="13" t="str">
        <f t="shared" ref="C343:D343" si="399">C342</f>
        <v>Cannomois congesta</v>
      </c>
      <c r="D343" s="13" t="str">
        <f t="shared" si="399"/>
        <v>35C</v>
      </c>
      <c r="E343" s="14">
        <f>IF(ISBLANK(A338),"",E342+1)</f>
        <v>6</v>
      </c>
      <c r="F343" s="15">
        <f t="shared" si="396"/>
        <v>45478.60556</v>
      </c>
      <c r="G343" s="16">
        <v>1.252</v>
      </c>
    </row>
    <row r="344">
      <c r="A344" s="5" t="s">
        <v>8</v>
      </c>
      <c r="B344" s="6" t="str">
        <f t="array" ref="B344">IF(ISBLANK(A344),"",IF(A344="PROREP (L)",VLOOKUP(LEFT($A344,6),'Data Feed (35C)'!$A$1:$G$10,2,FALSE),IF(A344="PROREP (S)", INDEX('Data Feed (35C)'!B:B, MATCH(LEFT($A344,6), 'Data Feed (35C)'!$A$1:$A$10, 0) + 1), VLOOKUP($A344,'Data Feed (35C)'!$A$1:$G$10,2,FALSE))))</f>
        <v>JKL240702PROREP_35C_sample_1</v>
      </c>
      <c r="C344" s="6" t="str">
        <f t="array" ref="C344">IF(ISBLANK(A344),"",IF(A344="PROREP (L)",VLOOKUP(LEFT($A344,6),'Data Feed (35C)'!$A$1:$G$10,3,FALSE),IF(A344="PROREP (S)", INDEX('Data Feed (35C)'!C:C, MATCH(LEFT($A344,6), 'Data Feed (35C)'!$A$1:$A$10, 0) + 1, +1), VLOOKUP($A344,'Data Feed (35C)'!$A$1:$G$10,3,FALSE))))</f>
        <v>Protea repens</v>
      </c>
      <c r="D344" s="6" t="str">
        <f t="array" ref="D344">IF(ISBLANK(A344),"",IF(A344="PROREP (L)",VLOOKUP(LEFT($A344,6),'Data Feed (35C)'!$A$1:$G$10,4,FALSE),IF(A344="PROREP (S)", INDEX('Data Feed (35C)'!D:D, MATCH(LEFT($A344,6), 'Data Feed (35C)'!$A$1:$A$10, 0) + 1, +1), VLOOKUP($A344,'Data Feed (35C)'!$A$1:$G$10,4,FALSE))))</f>
        <v>35C</v>
      </c>
      <c r="E344" s="6">
        <f t="array" ref="E344">IF(ISBLANK(A344),"",IF(A344="PROREP (L)",VLOOKUP(LEFT($A344,6),'Data Feed (35C)'!$A$1:$G$10,7,FALSE),IF(A344="PROREP (S)", INDEX('Data Feed (35C)'!G:G, MATCH(LEFT($A344,6), 'Data Feed (35C)'!$A$1:$A$10, 0) + 1, +1), VLOOKUP($A344,'Data Feed (35C)'!$A$1:$G$10,7,FALSE))))</f>
        <v>1</v>
      </c>
      <c r="F344" s="7">
        <v>45478.70416666667</v>
      </c>
      <c r="G344" s="8">
        <v>0.305</v>
      </c>
    </row>
    <row r="345">
      <c r="A345" s="9" t="str">
        <f t="shared" ref="A345:A349" si="401">A344</f>
        <v>PROREP (L)</v>
      </c>
      <c r="B345" s="9" t="str">
        <f>IF(ISBLANK(A344),"",LEFT(B344,27)&amp;VALUE(RIGHT(B344,1)+1))</f>
        <v>JKL240702PROREP_35C_sample_2</v>
      </c>
      <c r="C345" s="6" t="str">
        <f t="shared" ref="C345:D345" si="400">C344</f>
        <v>Protea repens</v>
      </c>
      <c r="D345" s="6" t="str">
        <f t="shared" si="400"/>
        <v>35C</v>
      </c>
      <c r="E345" s="10">
        <f>IF(ISBLANK(A344),"",E344+1)</f>
        <v>2</v>
      </c>
      <c r="F345" s="11">
        <f t="shared" ref="F345:F349" si="403">F344</f>
        <v>45478.70417</v>
      </c>
      <c r="G345" s="8">
        <v>0.383</v>
      </c>
    </row>
    <row r="346">
      <c r="A346" s="9" t="str">
        <f t="shared" si="401"/>
        <v>PROREP (L)</v>
      </c>
      <c r="B346" s="9" t="str">
        <f>IF(ISBLANK(A344),"",LEFT(B345,27)&amp;VALUE(RIGHT(B345,1)+1))</f>
        <v>JKL240702PROREP_35C_sample_3</v>
      </c>
      <c r="C346" s="6" t="str">
        <f t="shared" ref="C346:D346" si="402">C345</f>
        <v>Protea repens</v>
      </c>
      <c r="D346" s="6" t="str">
        <f t="shared" si="402"/>
        <v>35C</v>
      </c>
      <c r="E346" s="10">
        <f>IF(ISBLANK(A344),"",E345+1)</f>
        <v>3</v>
      </c>
      <c r="F346" s="11">
        <f t="shared" si="403"/>
        <v>45478.70417</v>
      </c>
      <c r="G346" s="8">
        <v>0.374</v>
      </c>
    </row>
    <row r="347">
      <c r="A347" s="9" t="str">
        <f t="shared" si="401"/>
        <v>PROREP (L)</v>
      </c>
      <c r="B347" s="9" t="str">
        <f>IF(ISBLANK(A344),"",LEFT(B346,27)&amp;VALUE(RIGHT(B346,1)+1))</f>
        <v>JKL240702PROREP_35C_sample_4</v>
      </c>
      <c r="C347" s="6" t="str">
        <f t="shared" ref="C347:D347" si="404">C346</f>
        <v>Protea repens</v>
      </c>
      <c r="D347" s="6" t="str">
        <f t="shared" si="404"/>
        <v>35C</v>
      </c>
      <c r="E347" s="10">
        <f>IF(ISBLANK(A344),"",E346+1)</f>
        <v>4</v>
      </c>
      <c r="F347" s="11">
        <f t="shared" si="403"/>
        <v>45478.70417</v>
      </c>
      <c r="G347" s="8">
        <v>0.296</v>
      </c>
    </row>
    <row r="348">
      <c r="A348" s="9" t="str">
        <f t="shared" si="401"/>
        <v>PROREP (L)</v>
      </c>
      <c r="B348" s="9" t="str">
        <f>IF(ISBLANK(A344),"",LEFT(B347,27)&amp;VALUE(RIGHT(B347,1)+1))</f>
        <v>JKL240702PROREP_35C_sample_5</v>
      </c>
      <c r="C348" s="6" t="str">
        <f t="shared" ref="C348:D348" si="405">C347</f>
        <v>Protea repens</v>
      </c>
      <c r="D348" s="6" t="str">
        <f t="shared" si="405"/>
        <v>35C</v>
      </c>
      <c r="E348" s="10">
        <f>IF(ISBLANK(A344),"",E347+1)</f>
        <v>5</v>
      </c>
      <c r="F348" s="11">
        <f t="shared" si="403"/>
        <v>45478.70417</v>
      </c>
      <c r="G348" s="8">
        <v>0.271</v>
      </c>
    </row>
    <row r="349">
      <c r="A349" s="12" t="str">
        <f t="shared" si="401"/>
        <v>PROREP (L)</v>
      </c>
      <c r="B349" s="12" t="str">
        <f>IF(ISBLANK(A344),"",LEFT(B348,27)&amp;VALUE(RIGHT(B348,1)+1))</f>
        <v>JKL240702PROREP_35C_sample_6</v>
      </c>
      <c r="C349" s="13" t="str">
        <f t="shared" ref="C349:D349" si="406">C348</f>
        <v>Protea repens</v>
      </c>
      <c r="D349" s="13" t="str">
        <f t="shared" si="406"/>
        <v>35C</v>
      </c>
      <c r="E349" s="14">
        <f>IF(ISBLANK(A344),"",E348+1)</f>
        <v>6</v>
      </c>
      <c r="F349" s="15">
        <f t="shared" si="403"/>
        <v>45478.70417</v>
      </c>
      <c r="G349" s="16">
        <v>0.202</v>
      </c>
    </row>
    <row r="350">
      <c r="A350" s="5" t="s">
        <v>9</v>
      </c>
      <c r="B350" s="6" t="str">
        <f t="array" ref="B350">IF(ISBLANK(A350),"",IF(A350="PROREP (L)",VLOOKUP(LEFT($A350,6),'Data Feed (35C)'!$A$1:$G$10,2,FALSE),IF(A350="PROREP (S)", INDEX('Data Feed (35C)'!B:B, MATCH(LEFT($A350,6), 'Data Feed (35C)'!$A$1:$A$10, 0) + 1), VLOOKUP($A350,'Data Feed (35C)'!$A$1:$G$10,2,FALSE))))</f>
        <v>JKS240702PROREP_35C_sample_1</v>
      </c>
      <c r="C350" s="6" t="str">
        <f t="array" ref="C350">IF(ISBLANK(A350),"",IF(A350="PROREP (L)",VLOOKUP(LEFT($A350,6),'Data Feed (35C)'!$A$1:$G$10,3,FALSE),IF(A350="PROREP (S)", INDEX('Data Feed (35C)'!C:C, MATCH(LEFT($A350,6), 'Data Feed (35C)'!$A$1:$A$10, 0) + 1, +1), VLOOKUP($A350,'Data Feed (35C)'!$A$1:$G$10,3,FALSE))))</f>
        <v>Protea repens</v>
      </c>
      <c r="D350" s="6" t="str">
        <f t="array" ref="D350">IF(ISBLANK(A350),"",IF(A350="PROREP (L)",VLOOKUP(LEFT($A350,6),'Data Feed (35C)'!$A$1:$G$10,4,FALSE),IF(A350="PROREP (S)", INDEX('Data Feed (35C)'!D:D, MATCH(LEFT($A350,6), 'Data Feed (35C)'!$A$1:$A$10, 0) + 1, +1), VLOOKUP($A350,'Data Feed (35C)'!$A$1:$G$10,4,FALSE))))</f>
        <v>35C</v>
      </c>
      <c r="E350" s="6">
        <f t="array" ref="E350">IF(ISBLANK(A350),"",IF(A350="PROREP (L)",VLOOKUP(LEFT($A350,6),'Data Feed (35C)'!$A$1:$G$10,7,FALSE),IF(A350="PROREP (S)", INDEX('Data Feed (35C)'!G:G, MATCH(LEFT($A350,6), 'Data Feed (35C)'!$A$1:$A$10, 0) + 1, +1), VLOOKUP($A350,'Data Feed (35C)'!$A$1:$G$10,7,FALSE))))</f>
        <v>1</v>
      </c>
      <c r="F350" s="7">
        <v>45478.705555555556</v>
      </c>
      <c r="G350" s="8">
        <v>5.469</v>
      </c>
    </row>
    <row r="351">
      <c r="A351" s="9" t="str">
        <f t="shared" ref="A351:A355" si="408">A350</f>
        <v>PROREP (S)</v>
      </c>
      <c r="B351" s="9" t="str">
        <f>IF(ISBLANK(A350),"",LEFT(B350,27)&amp;VALUE(RIGHT(B350,1)+1))</f>
        <v>JKS240702PROREP_35C_sample_2</v>
      </c>
      <c r="C351" s="6" t="str">
        <f t="shared" ref="C351:D351" si="407">C350</f>
        <v>Protea repens</v>
      </c>
      <c r="D351" s="6" t="str">
        <f t="shared" si="407"/>
        <v>35C</v>
      </c>
      <c r="E351" s="10">
        <f>IF(ISBLANK(A350),"",E350+1)</f>
        <v>2</v>
      </c>
      <c r="F351" s="11">
        <f t="shared" ref="F351:F355" si="410">F350</f>
        <v>45478.70556</v>
      </c>
      <c r="G351" s="8">
        <v>13.886</v>
      </c>
    </row>
    <row r="352">
      <c r="A352" s="9" t="str">
        <f t="shared" si="408"/>
        <v>PROREP (S)</v>
      </c>
      <c r="B352" s="9" t="str">
        <f>IF(ISBLANK(A350),"",LEFT(B351,27)&amp;VALUE(RIGHT(B351,1)+1))</f>
        <v>JKS240702PROREP_35C_sample_3</v>
      </c>
      <c r="C352" s="6" t="str">
        <f t="shared" ref="C352:D352" si="409">C351</f>
        <v>Protea repens</v>
      </c>
      <c r="D352" s="6" t="str">
        <f t="shared" si="409"/>
        <v>35C</v>
      </c>
      <c r="E352" s="10">
        <f>IF(ISBLANK(A350),"",E351+1)</f>
        <v>3</v>
      </c>
      <c r="F352" s="11">
        <f t="shared" si="410"/>
        <v>45478.70556</v>
      </c>
      <c r="G352" s="8">
        <v>9.532</v>
      </c>
    </row>
    <row r="353">
      <c r="A353" s="9" t="str">
        <f t="shared" si="408"/>
        <v>PROREP (S)</v>
      </c>
      <c r="B353" s="9" t="str">
        <f>IF(ISBLANK(A350),"",LEFT(B352,27)&amp;VALUE(RIGHT(B352,1)+1))</f>
        <v>JKS240702PROREP_35C_sample_4</v>
      </c>
      <c r="C353" s="6" t="str">
        <f t="shared" ref="C353:D353" si="411">C352</f>
        <v>Protea repens</v>
      </c>
      <c r="D353" s="6" t="str">
        <f t="shared" si="411"/>
        <v>35C</v>
      </c>
      <c r="E353" s="10">
        <f>IF(ISBLANK(A350),"",E352+1)</f>
        <v>4</v>
      </c>
      <c r="F353" s="11">
        <f t="shared" si="410"/>
        <v>45478.70556</v>
      </c>
      <c r="G353" s="8">
        <v>2.738</v>
      </c>
    </row>
    <row r="354">
      <c r="A354" s="9" t="str">
        <f t="shared" si="408"/>
        <v>PROREP (S)</v>
      </c>
      <c r="B354" s="9" t="str">
        <f>IF(ISBLANK(A350),"",LEFT(B353,27)&amp;VALUE(RIGHT(B353,1)+1))</f>
        <v>JKS240702PROREP_35C_sample_5</v>
      </c>
      <c r="C354" s="6" t="str">
        <f t="shared" ref="C354:D354" si="412">C353</f>
        <v>Protea repens</v>
      </c>
      <c r="D354" s="6" t="str">
        <f t="shared" si="412"/>
        <v>35C</v>
      </c>
      <c r="E354" s="10">
        <f>IF(ISBLANK(A350),"",E353+1)</f>
        <v>5</v>
      </c>
      <c r="F354" s="11">
        <f t="shared" si="410"/>
        <v>45478.70556</v>
      </c>
      <c r="G354" s="8">
        <v>3.407</v>
      </c>
    </row>
    <row r="355">
      <c r="A355" s="12" t="str">
        <f t="shared" si="408"/>
        <v>PROREP (S)</v>
      </c>
      <c r="B355" s="12" t="str">
        <f>IF(ISBLANK(A350),"",LEFT(B354,27)&amp;VALUE(RIGHT(B354,1)+1))</f>
        <v>JKS240702PROREP_35C_sample_6</v>
      </c>
      <c r="C355" s="13" t="str">
        <f t="shared" ref="C355:D355" si="413">C354</f>
        <v>Protea repens</v>
      </c>
      <c r="D355" s="13" t="str">
        <f t="shared" si="413"/>
        <v>35C</v>
      </c>
      <c r="E355" s="14">
        <f>IF(ISBLANK(A350),"",E354+1)</f>
        <v>6</v>
      </c>
      <c r="F355" s="15">
        <f t="shared" si="410"/>
        <v>45478.70556</v>
      </c>
      <c r="G355" s="16">
        <v>5.616</v>
      </c>
    </row>
    <row r="356">
      <c r="A356" s="5" t="s">
        <v>10</v>
      </c>
      <c r="B356" s="6" t="str">
        <f t="array" ref="B356">IF(ISBLANK(A356),"",IF(A356="PROREP (L)",VLOOKUP(LEFT($A356,6),'Data Feed (35C)'!$A$1:$G$10,2,FALSE),IF(A356="PROREP (S)", INDEX('Data Feed (35C)'!B:B, MATCH(LEFT($A356,6), 'Data Feed (35C)'!$A$1:$A$10, 0) + 1), VLOOKUP($A356,'Data Feed (35C)'!$A$1:$G$10,2,FALSE))))</f>
        <v>JKS240702CANCON_35C_sample_1</v>
      </c>
      <c r="C356" s="6" t="str">
        <f t="array" ref="C356">IF(ISBLANK(A356),"",IF(A356="PROREP (L)",VLOOKUP(LEFT($A356,6),'Data Feed (35C)'!$A$1:$G$10,3,FALSE),IF(A356="PROREP (S)", INDEX('Data Feed (35C)'!C:C, MATCH(LEFT($A356,6), 'Data Feed (35C)'!$A$1:$A$10, 0) + 1, +1), VLOOKUP($A356,'Data Feed (35C)'!$A$1:$G$10,3,FALSE))))</f>
        <v>Cannomois congesta</v>
      </c>
      <c r="D356" s="6" t="str">
        <f t="array" ref="D356">IF(ISBLANK(A356),"",IF(A356="PROREP (L)",VLOOKUP(LEFT($A356,6),'Data Feed (35C)'!$A$1:$G$10,4,FALSE),IF(A356="PROREP (S)", INDEX('Data Feed (35C)'!D:D, MATCH(LEFT($A356,6), 'Data Feed (35C)'!$A$1:$A$10, 0) + 1, +1), VLOOKUP($A356,'Data Feed (35C)'!$A$1:$G$10,4,FALSE))))</f>
        <v>35C</v>
      </c>
      <c r="E356" s="6">
        <f t="array" ref="E356">IF(ISBLANK(A356),"",IF(A356="PROREP (L)",VLOOKUP(LEFT($A356,6),'Data Feed (35C)'!$A$1:$G$10,7,FALSE),IF(A356="PROREP (S)", INDEX('Data Feed (35C)'!G:G, MATCH(LEFT($A356,6), 'Data Feed (35C)'!$A$1:$A$10, 0) + 1, +1), VLOOKUP($A356,'Data Feed (35C)'!$A$1:$G$10,7,FALSE))))</f>
        <v>1</v>
      </c>
      <c r="F356" s="7">
        <v>45478.70694444444</v>
      </c>
      <c r="G356" s="8">
        <v>0.414</v>
      </c>
    </row>
    <row r="357">
      <c r="A357" s="9" t="str">
        <f t="shared" ref="A357:A361" si="415">A356</f>
        <v>CANCON</v>
      </c>
      <c r="B357" s="9" t="str">
        <f>IF(ISBLANK(A356),"",LEFT(B356,27)&amp;VALUE(RIGHT(B356,1)+1))</f>
        <v>JKS240702CANCON_35C_sample_2</v>
      </c>
      <c r="C357" s="6" t="str">
        <f t="shared" ref="C357:D357" si="414">C356</f>
        <v>Cannomois congesta</v>
      </c>
      <c r="D357" s="6" t="str">
        <f t="shared" si="414"/>
        <v>35C</v>
      </c>
      <c r="E357" s="10">
        <f>IF(ISBLANK(A356),"",E356+1)</f>
        <v>2</v>
      </c>
      <c r="F357" s="11">
        <f t="shared" ref="F357:F361" si="417">F356</f>
        <v>45478.70694</v>
      </c>
      <c r="G357" s="8">
        <v>1.867</v>
      </c>
    </row>
    <row r="358">
      <c r="A358" s="9" t="str">
        <f t="shared" si="415"/>
        <v>CANCON</v>
      </c>
      <c r="B358" s="9" t="str">
        <f>IF(ISBLANK(A356),"",LEFT(B357,27)&amp;VALUE(RIGHT(B357,1)+1))</f>
        <v>JKS240702CANCON_35C_sample_3</v>
      </c>
      <c r="C358" s="6" t="str">
        <f t="shared" ref="C358:D358" si="416">C357</f>
        <v>Cannomois congesta</v>
      </c>
      <c r="D358" s="6" t="str">
        <f t="shared" si="416"/>
        <v>35C</v>
      </c>
      <c r="E358" s="10">
        <f>IF(ISBLANK(A356),"",E357+1)</f>
        <v>3</v>
      </c>
      <c r="F358" s="11">
        <f t="shared" si="417"/>
        <v>45478.70694</v>
      </c>
      <c r="G358" s="8">
        <v>0.742</v>
      </c>
    </row>
    <row r="359">
      <c r="A359" s="9" t="str">
        <f t="shared" si="415"/>
        <v>CANCON</v>
      </c>
      <c r="B359" s="9" t="str">
        <f>IF(ISBLANK(A356),"",LEFT(B358,27)&amp;VALUE(RIGHT(B358,1)+1))</f>
        <v>JKS240702CANCON_35C_sample_4</v>
      </c>
      <c r="C359" s="6" t="str">
        <f t="shared" ref="C359:D359" si="418">C358</f>
        <v>Cannomois congesta</v>
      </c>
      <c r="D359" s="6" t="str">
        <f t="shared" si="418"/>
        <v>35C</v>
      </c>
      <c r="E359" s="10">
        <f>IF(ISBLANK(A356),"",E358+1)</f>
        <v>4</v>
      </c>
      <c r="F359" s="11">
        <f t="shared" si="417"/>
        <v>45478.70694</v>
      </c>
      <c r="G359" s="8"/>
    </row>
    <row r="360">
      <c r="A360" s="9" t="str">
        <f t="shared" si="415"/>
        <v>CANCON</v>
      </c>
      <c r="B360" s="9" t="str">
        <f>IF(ISBLANK(A356),"",LEFT(B359,27)&amp;VALUE(RIGHT(B359,1)+1))</f>
        <v>JKS240702CANCON_35C_sample_5</v>
      </c>
      <c r="C360" s="6" t="str">
        <f t="shared" ref="C360:D360" si="419">C359</f>
        <v>Cannomois congesta</v>
      </c>
      <c r="D360" s="6" t="str">
        <f t="shared" si="419"/>
        <v>35C</v>
      </c>
      <c r="E360" s="10">
        <f>IF(ISBLANK(A356),"",E359+1)</f>
        <v>5</v>
      </c>
      <c r="F360" s="11">
        <f t="shared" si="417"/>
        <v>45478.70694</v>
      </c>
      <c r="G360" s="8">
        <v>1.07</v>
      </c>
    </row>
    <row r="361">
      <c r="A361" s="12" t="str">
        <f t="shared" si="415"/>
        <v>CANCON</v>
      </c>
      <c r="B361" s="12" t="str">
        <f>IF(ISBLANK(A356),"",LEFT(B360,27)&amp;VALUE(RIGHT(B360,1)+1))</f>
        <v>JKS240702CANCON_35C_sample_6</v>
      </c>
      <c r="C361" s="13" t="str">
        <f t="shared" ref="C361:D361" si="420">C360</f>
        <v>Cannomois congesta</v>
      </c>
      <c r="D361" s="13" t="str">
        <f t="shared" si="420"/>
        <v>35C</v>
      </c>
      <c r="E361" s="14">
        <f>IF(ISBLANK(A356),"",E360+1)</f>
        <v>6</v>
      </c>
      <c r="F361" s="15">
        <f t="shared" si="417"/>
        <v>45478.70694</v>
      </c>
      <c r="G361" s="16">
        <v>1.231</v>
      </c>
    </row>
    <row r="362">
      <c r="A362" s="5" t="s">
        <v>8</v>
      </c>
      <c r="B362" s="6" t="str">
        <f t="array" ref="B362">IF(ISBLANK(A362),"",IF(A362="PROREP (L)",VLOOKUP(LEFT($A362,6),'Data Feed (35C)'!$A$1:$G$10,2,FALSE),IF(A362="PROREP (S)", INDEX('Data Feed (35C)'!B:B, MATCH(LEFT($A362,6), 'Data Feed (35C)'!$A$1:$A$10, 0) + 1), VLOOKUP($A362,'Data Feed (35C)'!$A$1:$G$10,2,FALSE))))</f>
        <v>JKL240702PROREP_35C_sample_1</v>
      </c>
      <c r="C362" s="6" t="str">
        <f t="array" ref="C362">IF(ISBLANK(A362),"",IF(A362="PROREP (L)",VLOOKUP(LEFT($A362,6),'Data Feed (35C)'!$A$1:$G$10,3,FALSE),IF(A362="PROREP (S)", INDEX('Data Feed (35C)'!C:C, MATCH(LEFT($A362,6), 'Data Feed (35C)'!$A$1:$A$10, 0) + 1, +1), VLOOKUP($A362,'Data Feed (35C)'!$A$1:$G$10,3,FALSE))))</f>
        <v>Protea repens</v>
      </c>
      <c r="D362" s="6" t="str">
        <f t="array" ref="D362">IF(ISBLANK(A362),"",IF(A362="PROREP (L)",VLOOKUP(LEFT($A362,6),'Data Feed (35C)'!$A$1:$G$10,4,FALSE),IF(A362="PROREP (S)", INDEX('Data Feed (35C)'!D:D, MATCH(LEFT($A362,6), 'Data Feed (35C)'!$A$1:$A$10, 0) + 1, +1), VLOOKUP($A362,'Data Feed (35C)'!$A$1:$G$10,4,FALSE))))</f>
        <v>35C</v>
      </c>
      <c r="E362" s="6">
        <f t="array" ref="E362">IF(ISBLANK(A362),"",IF(A362="PROREP (L)",VLOOKUP(LEFT($A362,6),'Data Feed (35C)'!$A$1:$G$10,7,FALSE),IF(A362="PROREP (S)", INDEX('Data Feed (35C)'!G:G, MATCH(LEFT($A362,6), 'Data Feed (35C)'!$A$1:$A$10, 0) + 1, +1), VLOOKUP($A362,'Data Feed (35C)'!$A$1:$G$10,7,FALSE))))</f>
        <v>1</v>
      </c>
      <c r="F362" s="7">
        <v>45478.81041666667</v>
      </c>
      <c r="G362" s="8">
        <v>0.303</v>
      </c>
    </row>
    <row r="363">
      <c r="A363" s="9" t="str">
        <f t="shared" ref="A363:A367" si="422">A362</f>
        <v>PROREP (L)</v>
      </c>
      <c r="B363" s="9" t="str">
        <f>IF(ISBLANK(A362),"",LEFT(B362,27)&amp;VALUE(RIGHT(B362,1)+1))</f>
        <v>JKL240702PROREP_35C_sample_2</v>
      </c>
      <c r="C363" s="6" t="str">
        <f t="shared" ref="C363:D363" si="421">C362</f>
        <v>Protea repens</v>
      </c>
      <c r="D363" s="6" t="str">
        <f t="shared" si="421"/>
        <v>35C</v>
      </c>
      <c r="E363" s="10">
        <f>IF(ISBLANK(A362),"",E362+1)</f>
        <v>2</v>
      </c>
      <c r="F363" s="11">
        <f t="shared" ref="F363:F367" si="424">F362</f>
        <v>45478.81042</v>
      </c>
      <c r="G363" s="8">
        <v>0.369</v>
      </c>
    </row>
    <row r="364">
      <c r="A364" s="9" t="str">
        <f t="shared" si="422"/>
        <v>PROREP (L)</v>
      </c>
      <c r="B364" s="9" t="str">
        <f>IF(ISBLANK(A362),"",LEFT(B363,27)&amp;VALUE(RIGHT(B363,1)+1))</f>
        <v>JKL240702PROREP_35C_sample_3</v>
      </c>
      <c r="C364" s="6" t="str">
        <f t="shared" ref="C364:D364" si="423">C363</f>
        <v>Protea repens</v>
      </c>
      <c r="D364" s="6" t="str">
        <f t="shared" si="423"/>
        <v>35C</v>
      </c>
      <c r="E364" s="10">
        <f>IF(ISBLANK(A362),"",E363+1)</f>
        <v>3</v>
      </c>
      <c r="F364" s="11">
        <f t="shared" si="424"/>
        <v>45478.81042</v>
      </c>
      <c r="G364" s="8">
        <v>0.372</v>
      </c>
    </row>
    <row r="365">
      <c r="A365" s="9" t="str">
        <f t="shared" si="422"/>
        <v>PROREP (L)</v>
      </c>
      <c r="B365" s="9" t="str">
        <f>IF(ISBLANK(A362),"",LEFT(B364,27)&amp;VALUE(RIGHT(B364,1)+1))</f>
        <v>JKL240702PROREP_35C_sample_4</v>
      </c>
      <c r="C365" s="6" t="str">
        <f t="shared" ref="C365:D365" si="425">C364</f>
        <v>Protea repens</v>
      </c>
      <c r="D365" s="6" t="str">
        <f t="shared" si="425"/>
        <v>35C</v>
      </c>
      <c r="E365" s="10">
        <f>IF(ISBLANK(A362),"",E364+1)</f>
        <v>4</v>
      </c>
      <c r="F365" s="11">
        <f t="shared" si="424"/>
        <v>45478.81042</v>
      </c>
      <c r="G365" s="8">
        <v>0.275</v>
      </c>
    </row>
    <row r="366">
      <c r="A366" s="9" t="str">
        <f t="shared" si="422"/>
        <v>PROREP (L)</v>
      </c>
      <c r="B366" s="9" t="str">
        <f>IF(ISBLANK(A362),"",LEFT(B365,27)&amp;VALUE(RIGHT(B365,1)+1))</f>
        <v>JKL240702PROREP_35C_sample_5</v>
      </c>
      <c r="C366" s="6" t="str">
        <f t="shared" ref="C366:D366" si="426">C365</f>
        <v>Protea repens</v>
      </c>
      <c r="D366" s="6" t="str">
        <f t="shared" si="426"/>
        <v>35C</v>
      </c>
      <c r="E366" s="10">
        <f>IF(ISBLANK(A362),"",E365+1)</f>
        <v>5</v>
      </c>
      <c r="F366" s="11">
        <f t="shared" si="424"/>
        <v>45478.81042</v>
      </c>
      <c r="G366" s="8">
        <v>0.256</v>
      </c>
    </row>
    <row r="367">
      <c r="A367" s="12" t="str">
        <f t="shared" si="422"/>
        <v>PROREP (L)</v>
      </c>
      <c r="B367" s="12" t="str">
        <f>IF(ISBLANK(A362),"",LEFT(B366,27)&amp;VALUE(RIGHT(B366,1)+1))</f>
        <v>JKL240702PROREP_35C_sample_6</v>
      </c>
      <c r="C367" s="13" t="str">
        <f t="shared" ref="C367:D367" si="427">C366</f>
        <v>Protea repens</v>
      </c>
      <c r="D367" s="13" t="str">
        <f t="shared" si="427"/>
        <v>35C</v>
      </c>
      <c r="E367" s="14">
        <f>IF(ISBLANK(A362),"",E366+1)</f>
        <v>6</v>
      </c>
      <c r="F367" s="15">
        <f t="shared" si="424"/>
        <v>45478.81042</v>
      </c>
      <c r="G367" s="16">
        <v>0.201</v>
      </c>
    </row>
    <row r="368">
      <c r="A368" s="5" t="s">
        <v>9</v>
      </c>
      <c r="B368" s="6" t="str">
        <f t="array" ref="B368">IF(ISBLANK(A368),"",IF(A368="PROREP (L)",VLOOKUP(LEFT($A368,6),'Data Feed (35C)'!$A$1:$G$10,2,FALSE),IF(A368="PROREP (S)", INDEX('Data Feed (35C)'!B:B, MATCH(LEFT($A368,6), 'Data Feed (35C)'!$A$1:$A$10, 0) + 1), VLOOKUP($A368,'Data Feed (35C)'!$A$1:$G$10,2,FALSE))))</f>
        <v>JKS240702PROREP_35C_sample_1</v>
      </c>
      <c r="C368" s="6" t="str">
        <f t="array" ref="C368">IF(ISBLANK(A368),"",IF(A368="PROREP (L)",VLOOKUP(LEFT($A368,6),'Data Feed (35C)'!$A$1:$G$10,3,FALSE),IF(A368="PROREP (S)", INDEX('Data Feed (35C)'!C:C, MATCH(LEFT($A368,6), 'Data Feed (35C)'!$A$1:$A$10, 0) + 1, +1), VLOOKUP($A368,'Data Feed (35C)'!$A$1:$G$10,3,FALSE))))</f>
        <v>Protea repens</v>
      </c>
      <c r="D368" s="6" t="str">
        <f t="array" ref="D368">IF(ISBLANK(A368),"",IF(A368="PROREP (L)",VLOOKUP(LEFT($A368,6),'Data Feed (35C)'!$A$1:$G$10,4,FALSE),IF(A368="PROREP (S)", INDEX('Data Feed (35C)'!D:D, MATCH(LEFT($A368,6), 'Data Feed (35C)'!$A$1:$A$10, 0) + 1, +1), VLOOKUP($A368,'Data Feed (35C)'!$A$1:$G$10,4,FALSE))))</f>
        <v>35C</v>
      </c>
      <c r="E368" s="6">
        <f t="array" ref="E368">IF(ISBLANK(A368),"",IF(A368="PROREP (L)",VLOOKUP(LEFT($A368,6),'Data Feed (35C)'!$A$1:$G$10,7,FALSE),IF(A368="PROREP (S)", INDEX('Data Feed (35C)'!G:G, MATCH(LEFT($A368,6), 'Data Feed (35C)'!$A$1:$A$10, 0) + 1, +1), VLOOKUP($A368,'Data Feed (35C)'!$A$1:$G$10,7,FALSE))))</f>
        <v>1</v>
      </c>
      <c r="F368" s="7">
        <v>45478.81180555555</v>
      </c>
      <c r="G368" s="8">
        <v>5.333</v>
      </c>
    </row>
    <row r="369">
      <c r="A369" s="9" t="str">
        <f t="shared" ref="A369:A373" si="429">A368</f>
        <v>PROREP (S)</v>
      </c>
      <c r="B369" s="9" t="str">
        <f>IF(ISBLANK(A368),"",LEFT(B368,27)&amp;VALUE(RIGHT(B368,1)+1))</f>
        <v>JKS240702PROREP_35C_sample_2</v>
      </c>
      <c r="C369" s="6" t="str">
        <f t="shared" ref="C369:D369" si="428">C368</f>
        <v>Protea repens</v>
      </c>
      <c r="D369" s="6" t="str">
        <f t="shared" si="428"/>
        <v>35C</v>
      </c>
      <c r="E369" s="10">
        <f>IF(ISBLANK(A368),"",E368+1)</f>
        <v>2</v>
      </c>
      <c r="F369" s="11">
        <f t="shared" ref="F369:F373" si="431">F368</f>
        <v>45478.81181</v>
      </c>
      <c r="G369" s="8">
        <v>13.115</v>
      </c>
    </row>
    <row r="370">
      <c r="A370" s="9" t="str">
        <f t="shared" si="429"/>
        <v>PROREP (S)</v>
      </c>
      <c r="B370" s="9" t="str">
        <f>IF(ISBLANK(A368),"",LEFT(B369,27)&amp;VALUE(RIGHT(B369,1)+1))</f>
        <v>JKS240702PROREP_35C_sample_3</v>
      </c>
      <c r="C370" s="6" t="str">
        <f t="shared" ref="C370:D370" si="430">C369</f>
        <v>Protea repens</v>
      </c>
      <c r="D370" s="6" t="str">
        <f t="shared" si="430"/>
        <v>35C</v>
      </c>
      <c r="E370" s="10">
        <f>IF(ISBLANK(A368),"",E369+1)</f>
        <v>3</v>
      </c>
      <c r="F370" s="11">
        <f t="shared" si="431"/>
        <v>45478.81181</v>
      </c>
      <c r="G370" s="8">
        <v>9.507</v>
      </c>
    </row>
    <row r="371">
      <c r="A371" s="9" t="str">
        <f t="shared" si="429"/>
        <v>PROREP (S)</v>
      </c>
      <c r="B371" s="9" t="str">
        <f>IF(ISBLANK(A368),"",LEFT(B370,27)&amp;VALUE(RIGHT(B370,1)+1))</f>
        <v>JKS240702PROREP_35C_sample_4</v>
      </c>
      <c r="C371" s="6" t="str">
        <f t="shared" ref="C371:D371" si="432">C370</f>
        <v>Protea repens</v>
      </c>
      <c r="D371" s="6" t="str">
        <f t="shared" si="432"/>
        <v>35C</v>
      </c>
      <c r="E371" s="10">
        <f>IF(ISBLANK(A368),"",E370+1)</f>
        <v>4</v>
      </c>
      <c r="F371" s="11">
        <f t="shared" si="431"/>
        <v>45478.81181</v>
      </c>
      <c r="G371" s="8">
        <v>2.642</v>
      </c>
    </row>
    <row r="372">
      <c r="A372" s="9" t="str">
        <f t="shared" si="429"/>
        <v>PROREP (S)</v>
      </c>
      <c r="B372" s="9" t="str">
        <f>IF(ISBLANK(A368),"",LEFT(B371,27)&amp;VALUE(RIGHT(B371,1)+1))</f>
        <v>JKS240702PROREP_35C_sample_5</v>
      </c>
      <c r="C372" s="6" t="str">
        <f t="shared" ref="C372:D372" si="433">C371</f>
        <v>Protea repens</v>
      </c>
      <c r="D372" s="6" t="str">
        <f t="shared" si="433"/>
        <v>35C</v>
      </c>
      <c r="E372" s="10">
        <f>IF(ISBLANK(A368),"",E371+1)</f>
        <v>5</v>
      </c>
      <c r="F372" s="11">
        <f t="shared" si="431"/>
        <v>45478.81181</v>
      </c>
      <c r="G372" s="8">
        <v>3.27</v>
      </c>
    </row>
    <row r="373">
      <c r="A373" s="12" t="str">
        <f t="shared" si="429"/>
        <v>PROREP (S)</v>
      </c>
      <c r="B373" s="12" t="str">
        <f>IF(ISBLANK(A368),"",LEFT(B372,27)&amp;VALUE(RIGHT(B372,1)+1))</f>
        <v>JKS240702PROREP_35C_sample_6</v>
      </c>
      <c r="C373" s="13" t="str">
        <f t="shared" ref="C373:D373" si="434">C372</f>
        <v>Protea repens</v>
      </c>
      <c r="D373" s="13" t="str">
        <f t="shared" si="434"/>
        <v>35C</v>
      </c>
      <c r="E373" s="14">
        <f>IF(ISBLANK(A368),"",E372+1)</f>
        <v>6</v>
      </c>
      <c r="F373" s="15">
        <f t="shared" si="431"/>
        <v>45478.81181</v>
      </c>
      <c r="G373" s="16">
        <v>5.445</v>
      </c>
    </row>
    <row r="374">
      <c r="A374" s="5" t="s">
        <v>10</v>
      </c>
      <c r="B374" s="6" t="str">
        <f t="array" ref="B374">IF(ISBLANK(A374),"",IF(A374="PROREP (L)",VLOOKUP(LEFT($A374,6),'Data Feed (35C)'!$A$1:$G$10,2,FALSE),IF(A374="PROREP (S)", INDEX('Data Feed (35C)'!B:B, MATCH(LEFT($A374,6), 'Data Feed (35C)'!$A$1:$A$10, 0) + 1), VLOOKUP($A374,'Data Feed (35C)'!$A$1:$G$10,2,FALSE))))</f>
        <v>JKS240702CANCON_35C_sample_1</v>
      </c>
      <c r="C374" s="6" t="str">
        <f t="array" ref="C374">IF(ISBLANK(A374),"",IF(A374="PROREP (L)",VLOOKUP(LEFT($A374,6),'Data Feed (35C)'!$A$1:$G$10,3,FALSE),IF(A374="PROREP (S)", INDEX('Data Feed (35C)'!C:C, MATCH(LEFT($A374,6), 'Data Feed (35C)'!$A$1:$A$10, 0) + 1, +1), VLOOKUP($A374,'Data Feed (35C)'!$A$1:$G$10,3,FALSE))))</f>
        <v>Cannomois congesta</v>
      </c>
      <c r="D374" s="6" t="str">
        <f t="array" ref="D374">IF(ISBLANK(A374),"",IF(A374="PROREP (L)",VLOOKUP(LEFT($A374,6),'Data Feed (35C)'!$A$1:$G$10,4,FALSE),IF(A374="PROREP (S)", INDEX('Data Feed (35C)'!D:D, MATCH(LEFT($A374,6), 'Data Feed (35C)'!$A$1:$A$10, 0) + 1, +1), VLOOKUP($A374,'Data Feed (35C)'!$A$1:$G$10,4,FALSE))))</f>
        <v>35C</v>
      </c>
      <c r="E374" s="6">
        <f t="array" ref="E374">IF(ISBLANK(A374),"",IF(A374="PROREP (L)",VLOOKUP(LEFT($A374,6),'Data Feed (35C)'!$A$1:$G$10,7,FALSE),IF(A374="PROREP (S)", INDEX('Data Feed (35C)'!G:G, MATCH(LEFT($A374,6), 'Data Feed (35C)'!$A$1:$A$10, 0) + 1, +1), VLOOKUP($A374,'Data Feed (35C)'!$A$1:$G$10,7,FALSE))))</f>
        <v>1</v>
      </c>
      <c r="F374" s="7">
        <v>45478.81319444445</v>
      </c>
      <c r="G374" s="8">
        <v>0.413</v>
      </c>
    </row>
    <row r="375">
      <c r="A375" s="9" t="str">
        <f t="shared" ref="A375:A379" si="436">A374</f>
        <v>CANCON</v>
      </c>
      <c r="B375" s="9" t="str">
        <f>IF(ISBLANK(A374),"",LEFT(B374,27)&amp;VALUE(RIGHT(B374,1)+1))</f>
        <v>JKS240702CANCON_35C_sample_2</v>
      </c>
      <c r="C375" s="6" t="str">
        <f t="shared" ref="C375:D375" si="435">C374</f>
        <v>Cannomois congesta</v>
      </c>
      <c r="D375" s="6" t="str">
        <f t="shared" si="435"/>
        <v>35C</v>
      </c>
      <c r="E375" s="10">
        <f>IF(ISBLANK(A374),"",E374+1)</f>
        <v>2</v>
      </c>
      <c r="F375" s="11">
        <f t="shared" ref="F375:F379" si="438">F374</f>
        <v>45478.81319</v>
      </c>
      <c r="G375" s="8">
        <v>1.821</v>
      </c>
    </row>
    <row r="376">
      <c r="A376" s="9" t="str">
        <f t="shared" si="436"/>
        <v>CANCON</v>
      </c>
      <c r="B376" s="9" t="str">
        <f>IF(ISBLANK(A374),"",LEFT(B375,27)&amp;VALUE(RIGHT(B375,1)+1))</f>
        <v>JKS240702CANCON_35C_sample_3</v>
      </c>
      <c r="C376" s="6" t="str">
        <f t="shared" ref="C376:D376" si="437">C375</f>
        <v>Cannomois congesta</v>
      </c>
      <c r="D376" s="6" t="str">
        <f t="shared" si="437"/>
        <v>35C</v>
      </c>
      <c r="E376" s="10">
        <f>IF(ISBLANK(A374),"",E375+1)</f>
        <v>3</v>
      </c>
      <c r="F376" s="11">
        <f t="shared" si="438"/>
        <v>45478.81319</v>
      </c>
      <c r="G376" s="8">
        <v>0.708</v>
      </c>
    </row>
    <row r="377">
      <c r="A377" s="9" t="str">
        <f t="shared" si="436"/>
        <v>CANCON</v>
      </c>
      <c r="B377" s="9" t="str">
        <f>IF(ISBLANK(A374),"",LEFT(B376,27)&amp;VALUE(RIGHT(B376,1)+1))</f>
        <v>JKS240702CANCON_35C_sample_4</v>
      </c>
      <c r="C377" s="6" t="str">
        <f t="shared" ref="C377:D377" si="439">C376</f>
        <v>Cannomois congesta</v>
      </c>
      <c r="D377" s="6" t="str">
        <f t="shared" si="439"/>
        <v>35C</v>
      </c>
      <c r="E377" s="10">
        <f>IF(ISBLANK(A374),"",E376+1)</f>
        <v>4</v>
      </c>
      <c r="F377" s="11">
        <f t="shared" si="438"/>
        <v>45478.81319</v>
      </c>
      <c r="G377" s="8">
        <v>0.759</v>
      </c>
    </row>
    <row r="378">
      <c r="A378" s="9" t="str">
        <f t="shared" si="436"/>
        <v>CANCON</v>
      </c>
      <c r="B378" s="9" t="str">
        <f>IF(ISBLANK(A374),"",LEFT(B377,27)&amp;VALUE(RIGHT(B377,1)+1))</f>
        <v>JKS240702CANCON_35C_sample_5</v>
      </c>
      <c r="C378" s="6" t="str">
        <f t="shared" ref="C378:D378" si="440">C377</f>
        <v>Cannomois congesta</v>
      </c>
      <c r="D378" s="6" t="str">
        <f t="shared" si="440"/>
        <v>35C</v>
      </c>
      <c r="E378" s="10">
        <f>IF(ISBLANK(A374),"",E377+1)</f>
        <v>5</v>
      </c>
      <c r="F378" s="11">
        <f t="shared" si="438"/>
        <v>45478.81319</v>
      </c>
      <c r="G378" s="8">
        <v>1.051</v>
      </c>
    </row>
    <row r="379">
      <c r="A379" s="12" t="str">
        <f t="shared" si="436"/>
        <v>CANCON</v>
      </c>
      <c r="B379" s="12" t="str">
        <f>IF(ISBLANK(A374),"",LEFT(B378,27)&amp;VALUE(RIGHT(B378,1)+1))</f>
        <v>JKS240702CANCON_35C_sample_6</v>
      </c>
      <c r="C379" s="13" t="str">
        <f t="shared" ref="C379:D379" si="441">C378</f>
        <v>Cannomois congesta</v>
      </c>
      <c r="D379" s="13" t="str">
        <f t="shared" si="441"/>
        <v>35C</v>
      </c>
      <c r="E379" s="14">
        <f>IF(ISBLANK(A374),"",E378+1)</f>
        <v>6</v>
      </c>
      <c r="F379" s="15">
        <f t="shared" si="438"/>
        <v>45478.81319</v>
      </c>
      <c r="G379" s="16">
        <v>1.21</v>
      </c>
    </row>
    <row r="380">
      <c r="A380" s="5" t="s">
        <v>8</v>
      </c>
      <c r="B380" s="6" t="str">
        <f t="array" ref="B380">IF(ISBLANK(A380),"",IF(A380="PROREP (L)",VLOOKUP(LEFT($A380,6),'Data Feed (35C)'!$A$1:$G$10,2,FALSE),IF(A380="PROREP (S)", INDEX('Data Feed (35C)'!B:B, MATCH(LEFT($A380,6), 'Data Feed (35C)'!$A$1:$A$10, 0) + 1), VLOOKUP($A380,'Data Feed (35C)'!$A$1:$G$10,2,FALSE))))</f>
        <v>JKL240702PROREP_35C_sample_1</v>
      </c>
      <c r="C380" s="6" t="str">
        <f t="array" ref="C380">IF(ISBLANK(A380),"",IF(A380="PROREP (L)",VLOOKUP(LEFT($A380,6),'Data Feed (35C)'!$A$1:$G$10,3,FALSE),IF(A380="PROREP (S)", INDEX('Data Feed (35C)'!C:C, MATCH(LEFT($A380,6), 'Data Feed (35C)'!$A$1:$A$10, 0) + 1, +1), VLOOKUP($A380,'Data Feed (35C)'!$A$1:$G$10,3,FALSE))))</f>
        <v>Protea repens</v>
      </c>
      <c r="D380" s="6" t="str">
        <f t="array" ref="D380">IF(ISBLANK(A380),"",IF(A380="PROREP (L)",VLOOKUP(LEFT($A380,6),'Data Feed (35C)'!$A$1:$G$10,4,FALSE),IF(A380="PROREP (S)", INDEX('Data Feed (35C)'!D:D, MATCH(LEFT($A380,6), 'Data Feed (35C)'!$A$1:$A$10, 0) + 1, +1), VLOOKUP($A380,'Data Feed (35C)'!$A$1:$G$10,4,FALSE))))</f>
        <v>35C</v>
      </c>
      <c r="E380" s="6">
        <f t="array" ref="E380">IF(ISBLANK(A380),"",IF(A380="PROREP (L)",VLOOKUP(LEFT($A380,6),'Data Feed (35C)'!$A$1:$G$10,7,FALSE),IF(A380="PROREP (S)", INDEX('Data Feed (35C)'!G:G, MATCH(LEFT($A380,6), 'Data Feed (35C)'!$A$1:$A$10, 0) + 1, +1), VLOOKUP($A380,'Data Feed (35C)'!$A$1:$G$10,7,FALSE))))</f>
        <v>1</v>
      </c>
      <c r="F380" s="7">
        <v>45478.92916666667</v>
      </c>
      <c r="G380" s="8">
        <v>0.288</v>
      </c>
    </row>
    <row r="381">
      <c r="A381" s="9" t="str">
        <f t="shared" ref="A381:A385" si="443">A380</f>
        <v>PROREP (L)</v>
      </c>
      <c r="B381" s="9" t="str">
        <f>IF(ISBLANK(A380),"",LEFT(B380,27)&amp;VALUE(RIGHT(B380,1)+1))</f>
        <v>JKL240702PROREP_35C_sample_2</v>
      </c>
      <c r="C381" s="6" t="str">
        <f t="shared" ref="C381:D381" si="442">C380</f>
        <v>Protea repens</v>
      </c>
      <c r="D381" s="6" t="str">
        <f t="shared" si="442"/>
        <v>35C</v>
      </c>
      <c r="E381" s="10">
        <f>IF(ISBLANK(A380),"",E380+1)</f>
        <v>2</v>
      </c>
      <c r="F381" s="11">
        <f t="shared" ref="F381:F385" si="445">F380</f>
        <v>45478.92917</v>
      </c>
      <c r="G381" s="8">
        <v>0.337</v>
      </c>
    </row>
    <row r="382">
      <c r="A382" s="9" t="str">
        <f t="shared" si="443"/>
        <v>PROREP (L)</v>
      </c>
      <c r="B382" s="9" t="str">
        <f>IF(ISBLANK(A380),"",LEFT(B381,27)&amp;VALUE(RIGHT(B381,1)+1))</f>
        <v>JKL240702PROREP_35C_sample_3</v>
      </c>
      <c r="C382" s="6" t="str">
        <f t="shared" ref="C382:D382" si="444">C381</f>
        <v>Protea repens</v>
      </c>
      <c r="D382" s="6" t="str">
        <f t="shared" si="444"/>
        <v>35C</v>
      </c>
      <c r="E382" s="10">
        <f>IF(ISBLANK(A380),"",E381+1)</f>
        <v>3</v>
      </c>
      <c r="F382" s="11">
        <f t="shared" si="445"/>
        <v>45478.92917</v>
      </c>
      <c r="G382" s="8">
        <v>0.365</v>
      </c>
    </row>
    <row r="383">
      <c r="A383" s="9" t="str">
        <f t="shared" si="443"/>
        <v>PROREP (L)</v>
      </c>
      <c r="B383" s="9" t="str">
        <f>IF(ISBLANK(A380),"",LEFT(B382,27)&amp;VALUE(RIGHT(B382,1)+1))</f>
        <v>JKL240702PROREP_35C_sample_4</v>
      </c>
      <c r="C383" s="6" t="str">
        <f t="shared" ref="C383:D383" si="446">C382</f>
        <v>Protea repens</v>
      </c>
      <c r="D383" s="6" t="str">
        <f t="shared" si="446"/>
        <v>35C</v>
      </c>
      <c r="E383" s="10">
        <f>IF(ISBLANK(A380),"",E382+1)</f>
        <v>4</v>
      </c>
      <c r="F383" s="11">
        <f t="shared" si="445"/>
        <v>45478.92917</v>
      </c>
      <c r="G383" s="8">
        <v>0.255</v>
      </c>
    </row>
    <row r="384">
      <c r="A384" s="9" t="str">
        <f t="shared" si="443"/>
        <v>PROREP (L)</v>
      </c>
      <c r="B384" s="9" t="str">
        <f>IF(ISBLANK(A380),"",LEFT(B383,27)&amp;VALUE(RIGHT(B383,1)+1))</f>
        <v>JKL240702PROREP_35C_sample_5</v>
      </c>
      <c r="C384" s="6" t="str">
        <f t="shared" ref="C384:D384" si="447">C383</f>
        <v>Protea repens</v>
      </c>
      <c r="D384" s="6" t="str">
        <f t="shared" si="447"/>
        <v>35C</v>
      </c>
      <c r="E384" s="10">
        <f>IF(ISBLANK(A380),"",E383+1)</f>
        <v>5</v>
      </c>
      <c r="F384" s="11">
        <f t="shared" si="445"/>
        <v>45478.92917</v>
      </c>
      <c r="G384" s="8">
        <v>0.24</v>
      </c>
    </row>
    <row r="385">
      <c r="A385" s="12" t="str">
        <f t="shared" si="443"/>
        <v>PROREP (L)</v>
      </c>
      <c r="B385" s="12" t="str">
        <f>IF(ISBLANK(A380),"",LEFT(B384,27)&amp;VALUE(RIGHT(B384,1)+1))</f>
        <v>JKL240702PROREP_35C_sample_6</v>
      </c>
      <c r="C385" s="13" t="str">
        <f t="shared" ref="C385:D385" si="448">C384</f>
        <v>Protea repens</v>
      </c>
      <c r="D385" s="13" t="str">
        <f t="shared" si="448"/>
        <v>35C</v>
      </c>
      <c r="E385" s="14">
        <f>IF(ISBLANK(A380),"",E384+1)</f>
        <v>6</v>
      </c>
      <c r="F385" s="15">
        <f t="shared" si="445"/>
        <v>45478.92917</v>
      </c>
      <c r="G385" s="16">
        <v>0.187</v>
      </c>
    </row>
    <row r="386">
      <c r="A386" s="5" t="s">
        <v>9</v>
      </c>
      <c r="B386" s="6" t="str">
        <f t="array" ref="B386">IF(ISBLANK(A386),"",IF(A386="PROREP (L)",VLOOKUP(LEFT($A386,6),'Data Feed (35C)'!$A$1:$G$10,2,FALSE),IF(A386="PROREP (S)", INDEX('Data Feed (35C)'!B:B, MATCH(LEFT($A386,6), 'Data Feed (35C)'!$A$1:$A$10, 0) + 1), VLOOKUP($A386,'Data Feed (35C)'!$A$1:$G$10,2,FALSE))))</f>
        <v>JKS240702PROREP_35C_sample_1</v>
      </c>
      <c r="C386" s="6" t="str">
        <f t="array" ref="C386">IF(ISBLANK(A386),"",IF(A386="PROREP (L)",VLOOKUP(LEFT($A386,6),'Data Feed (35C)'!$A$1:$G$10,3,FALSE),IF(A386="PROREP (S)", INDEX('Data Feed (35C)'!C:C, MATCH(LEFT($A386,6), 'Data Feed (35C)'!$A$1:$A$10, 0) + 1, +1), VLOOKUP($A386,'Data Feed (35C)'!$A$1:$G$10,3,FALSE))))</f>
        <v>Protea repens</v>
      </c>
      <c r="D386" s="6" t="str">
        <f t="array" ref="D386">IF(ISBLANK(A386),"",IF(A386="PROREP (L)",VLOOKUP(LEFT($A386,6),'Data Feed (35C)'!$A$1:$G$10,4,FALSE),IF(A386="PROREP (S)", INDEX('Data Feed (35C)'!D:D, MATCH(LEFT($A386,6), 'Data Feed (35C)'!$A$1:$A$10, 0) + 1, +1), VLOOKUP($A386,'Data Feed (35C)'!$A$1:$G$10,4,FALSE))))</f>
        <v>35C</v>
      </c>
      <c r="E386" s="6">
        <f t="array" ref="E386">IF(ISBLANK(A386),"",IF(A386="PROREP (L)",VLOOKUP(LEFT($A386,6),'Data Feed (35C)'!$A$1:$G$10,7,FALSE),IF(A386="PROREP (S)", INDEX('Data Feed (35C)'!G:G, MATCH(LEFT($A386,6), 'Data Feed (35C)'!$A$1:$A$10, 0) + 1, +1), VLOOKUP($A386,'Data Feed (35C)'!$A$1:$G$10,7,FALSE))))</f>
        <v>1</v>
      </c>
      <c r="F386" s="7">
        <v>45478.93125</v>
      </c>
      <c r="G386" s="8">
        <v>5.193</v>
      </c>
    </row>
    <row r="387">
      <c r="A387" s="9" t="str">
        <f t="shared" ref="A387:A391" si="450">A386</f>
        <v>PROREP (S)</v>
      </c>
      <c r="B387" s="9" t="str">
        <f>IF(ISBLANK(A386),"",LEFT(B386,27)&amp;VALUE(RIGHT(B386,1)+1))</f>
        <v>JKS240702PROREP_35C_sample_2</v>
      </c>
      <c r="C387" s="6" t="str">
        <f t="shared" ref="C387:D387" si="449">C386</f>
        <v>Protea repens</v>
      </c>
      <c r="D387" s="6" t="str">
        <f t="shared" si="449"/>
        <v>35C</v>
      </c>
      <c r="E387" s="10">
        <f>IF(ISBLANK(A386),"",E386+1)</f>
        <v>2</v>
      </c>
      <c r="F387" s="11">
        <f t="shared" ref="F387:F391" si="452">F386</f>
        <v>45478.93125</v>
      </c>
      <c r="G387" s="8">
        <v>12.975</v>
      </c>
    </row>
    <row r="388">
      <c r="A388" s="9" t="str">
        <f t="shared" si="450"/>
        <v>PROREP (S)</v>
      </c>
      <c r="B388" s="9" t="str">
        <f>IF(ISBLANK(A386),"",LEFT(B387,27)&amp;VALUE(RIGHT(B387,1)+1))</f>
        <v>JKS240702PROREP_35C_sample_3</v>
      </c>
      <c r="C388" s="6" t="str">
        <f t="shared" ref="C388:D388" si="451">C387</f>
        <v>Protea repens</v>
      </c>
      <c r="D388" s="6" t="str">
        <f t="shared" si="451"/>
        <v>35C</v>
      </c>
      <c r="E388" s="10">
        <f>IF(ISBLANK(A386),"",E387+1)</f>
        <v>3</v>
      </c>
      <c r="F388" s="11">
        <f t="shared" si="452"/>
        <v>45478.93125</v>
      </c>
      <c r="G388" s="8">
        <v>9.484</v>
      </c>
    </row>
    <row r="389">
      <c r="A389" s="9" t="str">
        <f t="shared" si="450"/>
        <v>PROREP (S)</v>
      </c>
      <c r="B389" s="9" t="str">
        <f>IF(ISBLANK(A386),"",LEFT(B388,27)&amp;VALUE(RIGHT(B388,1)+1))</f>
        <v>JKS240702PROREP_35C_sample_4</v>
      </c>
      <c r="C389" s="6" t="str">
        <f t="shared" ref="C389:D389" si="453">C388</f>
        <v>Protea repens</v>
      </c>
      <c r="D389" s="6" t="str">
        <f t="shared" si="453"/>
        <v>35C</v>
      </c>
      <c r="E389" s="10">
        <f>IF(ISBLANK(A386),"",E388+1)</f>
        <v>4</v>
      </c>
      <c r="F389" s="11">
        <f t="shared" si="452"/>
        <v>45478.93125</v>
      </c>
      <c r="G389" s="8">
        <v>2.541</v>
      </c>
    </row>
    <row r="390">
      <c r="A390" s="9" t="str">
        <f t="shared" si="450"/>
        <v>PROREP (S)</v>
      </c>
      <c r="B390" s="9" t="str">
        <f>IF(ISBLANK(A386),"",LEFT(B389,27)&amp;VALUE(RIGHT(B389,1)+1))</f>
        <v>JKS240702PROREP_35C_sample_5</v>
      </c>
      <c r="C390" s="6" t="str">
        <f t="shared" ref="C390:D390" si="454">C389</f>
        <v>Protea repens</v>
      </c>
      <c r="D390" s="6" t="str">
        <f t="shared" si="454"/>
        <v>35C</v>
      </c>
      <c r="E390" s="10">
        <f>IF(ISBLANK(A386),"",E389+1)</f>
        <v>5</v>
      </c>
      <c r="F390" s="11">
        <f t="shared" si="452"/>
        <v>45478.93125</v>
      </c>
      <c r="G390" s="8">
        <v>3.143</v>
      </c>
    </row>
    <row r="391">
      <c r="A391" s="12" t="str">
        <f t="shared" si="450"/>
        <v>PROREP (S)</v>
      </c>
      <c r="B391" s="12" t="str">
        <f>IF(ISBLANK(A386),"",LEFT(B390,27)&amp;VALUE(RIGHT(B390,1)+1))</f>
        <v>JKS240702PROREP_35C_sample_6</v>
      </c>
      <c r="C391" s="13" t="str">
        <f t="shared" ref="C391:D391" si="455">C390</f>
        <v>Protea repens</v>
      </c>
      <c r="D391" s="13" t="str">
        <f t="shared" si="455"/>
        <v>35C</v>
      </c>
      <c r="E391" s="14">
        <f>IF(ISBLANK(A386),"",E390+1)</f>
        <v>6</v>
      </c>
      <c r="F391" s="15">
        <f t="shared" si="452"/>
        <v>45478.93125</v>
      </c>
      <c r="G391" s="16">
        <v>5.258</v>
      </c>
    </row>
    <row r="392">
      <c r="A392" s="5" t="s">
        <v>10</v>
      </c>
      <c r="B392" s="6" t="str">
        <f t="array" ref="B392">IF(ISBLANK(A392),"",IF(A392="PROREP (L)",VLOOKUP(LEFT($A392,6),'Data Feed (35C)'!$A$1:$G$10,2,FALSE),IF(A392="PROREP (S)", INDEX('Data Feed (35C)'!B:B, MATCH(LEFT($A392,6), 'Data Feed (35C)'!$A$1:$A$10, 0) + 1), VLOOKUP($A392,'Data Feed (35C)'!$A$1:$G$10,2,FALSE))))</f>
        <v>JKS240702CANCON_35C_sample_1</v>
      </c>
      <c r="C392" s="6" t="str">
        <f t="array" ref="C392">IF(ISBLANK(A392),"",IF(A392="PROREP (L)",VLOOKUP(LEFT($A392,6),'Data Feed (35C)'!$A$1:$G$10,3,FALSE),IF(A392="PROREP (S)", INDEX('Data Feed (35C)'!C:C, MATCH(LEFT($A392,6), 'Data Feed (35C)'!$A$1:$A$10, 0) + 1, +1), VLOOKUP($A392,'Data Feed (35C)'!$A$1:$G$10,3,FALSE))))</f>
        <v>Cannomois congesta</v>
      </c>
      <c r="D392" s="6" t="str">
        <f t="array" ref="D392">IF(ISBLANK(A392),"",IF(A392="PROREP (L)",VLOOKUP(LEFT($A392,6),'Data Feed (35C)'!$A$1:$G$10,4,FALSE),IF(A392="PROREP (S)", INDEX('Data Feed (35C)'!D:D, MATCH(LEFT($A392,6), 'Data Feed (35C)'!$A$1:$A$10, 0) + 1, +1), VLOOKUP($A392,'Data Feed (35C)'!$A$1:$G$10,4,FALSE))))</f>
        <v>35C</v>
      </c>
      <c r="E392" s="6">
        <f t="array" ref="E392">IF(ISBLANK(A392),"",IF(A392="PROREP (L)",VLOOKUP(LEFT($A392,6),'Data Feed (35C)'!$A$1:$G$10,7,FALSE),IF(A392="PROREP (S)", INDEX('Data Feed (35C)'!G:G, MATCH(LEFT($A392,6), 'Data Feed (35C)'!$A$1:$A$10, 0) + 1, +1), VLOOKUP($A392,'Data Feed (35C)'!$A$1:$G$10,7,FALSE))))</f>
        <v>1</v>
      </c>
      <c r="F392" s="7">
        <v>45478.93263888889</v>
      </c>
      <c r="G392" s="8">
        <v>0.399</v>
      </c>
    </row>
    <row r="393">
      <c r="A393" s="9" t="str">
        <f t="shared" ref="A393:A397" si="457">A392</f>
        <v>CANCON</v>
      </c>
      <c r="B393" s="9" t="str">
        <f>IF(ISBLANK(A392),"",LEFT(B392,27)&amp;VALUE(RIGHT(B392,1)+1))</f>
        <v>JKS240702CANCON_35C_sample_2</v>
      </c>
      <c r="C393" s="6" t="str">
        <f t="shared" ref="C393:D393" si="456">C392</f>
        <v>Cannomois congesta</v>
      </c>
      <c r="D393" s="6" t="str">
        <f t="shared" si="456"/>
        <v>35C</v>
      </c>
      <c r="E393" s="10">
        <f>IF(ISBLANK(A392),"",E392+1)</f>
        <v>2</v>
      </c>
      <c r="F393" s="11">
        <f t="shared" ref="F393:F397" si="459">F392</f>
        <v>45478.93264</v>
      </c>
      <c r="G393" s="8">
        <v>1.764</v>
      </c>
    </row>
    <row r="394">
      <c r="A394" s="9" t="str">
        <f t="shared" si="457"/>
        <v>CANCON</v>
      </c>
      <c r="B394" s="9" t="str">
        <f>IF(ISBLANK(A392),"",LEFT(B393,27)&amp;VALUE(RIGHT(B393,1)+1))</f>
        <v>JKS240702CANCON_35C_sample_3</v>
      </c>
      <c r="C394" s="6" t="str">
        <f t="shared" ref="C394:D394" si="458">C393</f>
        <v>Cannomois congesta</v>
      </c>
      <c r="D394" s="6" t="str">
        <f t="shared" si="458"/>
        <v>35C</v>
      </c>
      <c r="E394" s="10">
        <f>IF(ISBLANK(A392),"",E393+1)</f>
        <v>3</v>
      </c>
      <c r="F394" s="11">
        <f t="shared" si="459"/>
        <v>45478.93264</v>
      </c>
      <c r="G394" s="8">
        <v>0.689</v>
      </c>
    </row>
    <row r="395">
      <c r="A395" s="9" t="str">
        <f t="shared" si="457"/>
        <v>CANCON</v>
      </c>
      <c r="B395" s="9" t="str">
        <f>IF(ISBLANK(A392),"",LEFT(B394,27)&amp;VALUE(RIGHT(B394,1)+1))</f>
        <v>JKS240702CANCON_35C_sample_4</v>
      </c>
      <c r="C395" s="6" t="str">
        <f t="shared" ref="C395:D395" si="460">C394</f>
        <v>Cannomois congesta</v>
      </c>
      <c r="D395" s="6" t="str">
        <f t="shared" si="460"/>
        <v>35C</v>
      </c>
      <c r="E395" s="10">
        <f>IF(ISBLANK(A392),"",E394+1)</f>
        <v>4</v>
      </c>
      <c r="F395" s="11">
        <f t="shared" si="459"/>
        <v>45478.93264</v>
      </c>
      <c r="G395" s="8">
        <v>0.733</v>
      </c>
    </row>
    <row r="396">
      <c r="A396" s="9" t="str">
        <f t="shared" si="457"/>
        <v>CANCON</v>
      </c>
      <c r="B396" s="9" t="str">
        <f>IF(ISBLANK(A392),"",LEFT(B395,27)&amp;VALUE(RIGHT(B395,1)+1))</f>
        <v>JKS240702CANCON_35C_sample_5</v>
      </c>
      <c r="C396" s="6" t="str">
        <f t="shared" ref="C396:D396" si="461">C395</f>
        <v>Cannomois congesta</v>
      </c>
      <c r="D396" s="6" t="str">
        <f t="shared" si="461"/>
        <v>35C</v>
      </c>
      <c r="E396" s="10">
        <f>IF(ISBLANK(A392),"",E395+1)</f>
        <v>5</v>
      </c>
      <c r="F396" s="11">
        <f t="shared" si="459"/>
        <v>45478.93264</v>
      </c>
      <c r="G396" s="8">
        <v>1.028</v>
      </c>
    </row>
    <row r="397">
      <c r="A397" s="12" t="str">
        <f t="shared" si="457"/>
        <v>CANCON</v>
      </c>
      <c r="B397" s="12" t="str">
        <f>IF(ISBLANK(A392),"",LEFT(B396,27)&amp;VALUE(RIGHT(B396,1)+1))</f>
        <v>JKS240702CANCON_35C_sample_6</v>
      </c>
      <c r="C397" s="13" t="str">
        <f t="shared" ref="C397:D397" si="462">C396</f>
        <v>Cannomois congesta</v>
      </c>
      <c r="D397" s="13" t="str">
        <f t="shared" si="462"/>
        <v>35C</v>
      </c>
      <c r="E397" s="14">
        <f>IF(ISBLANK(A392),"",E396+1)</f>
        <v>6</v>
      </c>
      <c r="F397" s="15">
        <f t="shared" si="459"/>
        <v>45478.93264</v>
      </c>
      <c r="G397" s="16">
        <v>1.179</v>
      </c>
    </row>
    <row r="398">
      <c r="A398" s="5" t="s">
        <v>8</v>
      </c>
      <c r="B398" s="6" t="str">
        <f t="array" ref="B398">IF(ISBLANK(A398),"",IF(A398="PROREP (L)",VLOOKUP(LEFT($A398,6),'Data Feed (35C)'!$A$1:$G$10,2,FALSE),IF(A398="PROREP (S)", INDEX('Data Feed (35C)'!B:B, MATCH(LEFT($A398,6), 'Data Feed (35C)'!$A$1:$A$10, 0) + 1), VLOOKUP($A398,'Data Feed (35C)'!$A$1:$G$10,2,FALSE))))</f>
        <v>JKL240702PROREP_35C_sample_1</v>
      </c>
      <c r="C398" s="6" t="str">
        <f t="array" ref="C398">IF(ISBLANK(A398),"",IF(A398="PROREP (L)",VLOOKUP(LEFT($A398,6),'Data Feed (35C)'!$A$1:$G$10,3,FALSE),IF(A398="PROREP (S)", INDEX('Data Feed (35C)'!C:C, MATCH(LEFT($A398,6), 'Data Feed (35C)'!$A$1:$A$10, 0) + 1, +1), VLOOKUP($A398,'Data Feed (35C)'!$A$1:$G$10,3,FALSE))))</f>
        <v>Protea repens</v>
      </c>
      <c r="D398" s="6" t="str">
        <f t="array" ref="D398">IF(ISBLANK(A398),"",IF(A398="PROREP (L)",VLOOKUP(LEFT($A398,6),'Data Feed (35C)'!$A$1:$G$10,4,FALSE),IF(A398="PROREP (S)", INDEX('Data Feed (35C)'!D:D, MATCH(LEFT($A398,6), 'Data Feed (35C)'!$A$1:$A$10, 0) + 1, +1), VLOOKUP($A398,'Data Feed (35C)'!$A$1:$G$10,4,FALSE))))</f>
        <v>35C</v>
      </c>
      <c r="E398" s="6">
        <f t="array" ref="E398">IF(ISBLANK(A398),"",IF(A398="PROREP (L)",VLOOKUP(LEFT($A398,6),'Data Feed (35C)'!$A$1:$G$10,7,FALSE),IF(A398="PROREP (S)", INDEX('Data Feed (35C)'!G:G, MATCH(LEFT($A398,6), 'Data Feed (35C)'!$A$1:$A$10, 0) + 1, +1), VLOOKUP($A398,'Data Feed (35C)'!$A$1:$G$10,7,FALSE))))</f>
        <v>1</v>
      </c>
      <c r="F398" s="7">
        <v>45479.43541666667</v>
      </c>
      <c r="G398" s="8">
        <v>0.267</v>
      </c>
    </row>
    <row r="399">
      <c r="A399" s="9" t="str">
        <f t="shared" ref="A399:A403" si="464">A398</f>
        <v>PROREP (L)</v>
      </c>
      <c r="B399" s="9" t="str">
        <f>IF(ISBLANK(A398),"",LEFT(B398,27)&amp;VALUE(RIGHT(B398,1)+1))</f>
        <v>JKL240702PROREP_35C_sample_2</v>
      </c>
      <c r="C399" s="6" t="str">
        <f t="shared" ref="C399:D399" si="463">C398</f>
        <v>Protea repens</v>
      </c>
      <c r="D399" s="6" t="str">
        <f t="shared" si="463"/>
        <v>35C</v>
      </c>
      <c r="E399" s="10">
        <f>IF(ISBLANK(A398),"",E398+1)</f>
        <v>2</v>
      </c>
      <c r="F399" s="11">
        <f t="shared" ref="F399:F403" si="466">F398</f>
        <v>45479.43542</v>
      </c>
      <c r="G399" s="8">
        <v>0.296</v>
      </c>
    </row>
    <row r="400">
      <c r="A400" s="9" t="str">
        <f t="shared" si="464"/>
        <v>PROREP (L)</v>
      </c>
      <c r="B400" s="9" t="str">
        <f>IF(ISBLANK(A398),"",LEFT(B399,27)&amp;VALUE(RIGHT(B399,1)+1))</f>
        <v>JKL240702PROREP_35C_sample_3</v>
      </c>
      <c r="C400" s="6" t="str">
        <f t="shared" ref="C400:D400" si="465">C399</f>
        <v>Protea repens</v>
      </c>
      <c r="D400" s="6" t="str">
        <f t="shared" si="465"/>
        <v>35C</v>
      </c>
      <c r="E400" s="10">
        <f>IF(ISBLANK(A398),"",E399+1)</f>
        <v>3</v>
      </c>
      <c r="F400" s="11">
        <f t="shared" si="466"/>
        <v>45479.43542</v>
      </c>
      <c r="G400" s="8">
        <v>0.367</v>
      </c>
    </row>
    <row r="401">
      <c r="A401" s="9" t="str">
        <f t="shared" si="464"/>
        <v>PROREP (L)</v>
      </c>
      <c r="B401" s="9" t="str">
        <f>IF(ISBLANK(A398),"",LEFT(B400,27)&amp;VALUE(RIGHT(B400,1)+1))</f>
        <v>JKL240702PROREP_35C_sample_4</v>
      </c>
      <c r="C401" s="6" t="str">
        <f t="shared" ref="C401:D401" si="467">C400</f>
        <v>Protea repens</v>
      </c>
      <c r="D401" s="6" t="str">
        <f t="shared" si="467"/>
        <v>35C</v>
      </c>
      <c r="E401" s="10">
        <f>IF(ISBLANK(A398),"",E400+1)</f>
        <v>4</v>
      </c>
      <c r="F401" s="11">
        <f t="shared" si="466"/>
        <v>45479.43542</v>
      </c>
      <c r="G401" s="8">
        <v>0.252</v>
      </c>
    </row>
    <row r="402">
      <c r="A402" s="9" t="str">
        <f t="shared" si="464"/>
        <v>PROREP (L)</v>
      </c>
      <c r="B402" s="9" t="str">
        <f>IF(ISBLANK(A398),"",LEFT(B401,27)&amp;VALUE(RIGHT(B401,1)+1))</f>
        <v>JKL240702PROREP_35C_sample_5</v>
      </c>
      <c r="C402" s="6" t="str">
        <f t="shared" ref="C402:D402" si="468">C401</f>
        <v>Protea repens</v>
      </c>
      <c r="D402" s="6" t="str">
        <f t="shared" si="468"/>
        <v>35C</v>
      </c>
      <c r="E402" s="10">
        <f>IF(ISBLANK(A398),"",E401+1)</f>
        <v>5</v>
      </c>
      <c r="F402" s="11">
        <f t="shared" si="466"/>
        <v>45479.43542</v>
      </c>
      <c r="G402" s="8">
        <v>0.23</v>
      </c>
    </row>
    <row r="403">
      <c r="A403" s="12" t="str">
        <f t="shared" si="464"/>
        <v>PROREP (L)</v>
      </c>
      <c r="B403" s="12" t="str">
        <f>IF(ISBLANK(A398),"",LEFT(B402,27)&amp;VALUE(RIGHT(B402,1)+1))</f>
        <v>JKL240702PROREP_35C_sample_6</v>
      </c>
      <c r="C403" s="13" t="str">
        <f t="shared" ref="C403:D403" si="469">C402</f>
        <v>Protea repens</v>
      </c>
      <c r="D403" s="13" t="str">
        <f t="shared" si="469"/>
        <v>35C</v>
      </c>
      <c r="E403" s="14">
        <f>IF(ISBLANK(A398),"",E402+1)</f>
        <v>6</v>
      </c>
      <c r="F403" s="15">
        <f t="shared" si="466"/>
        <v>45479.43542</v>
      </c>
      <c r="G403" s="16">
        <v>0.191</v>
      </c>
    </row>
    <row r="404">
      <c r="A404" s="5" t="s">
        <v>9</v>
      </c>
      <c r="B404" s="6" t="str">
        <f t="array" ref="B404">IF(ISBLANK(A404),"",IF(A404="PROREP (L)",VLOOKUP(LEFT($A404,6),'Data Feed (35C)'!$A$1:$G$10,2,FALSE),IF(A404="PROREP (S)", INDEX('Data Feed (35C)'!B:B, MATCH(LEFT($A404,6), 'Data Feed (35C)'!$A$1:$A$10, 0) + 1), VLOOKUP($A404,'Data Feed (35C)'!$A$1:$G$10,2,FALSE))))</f>
        <v>JKS240702PROREP_35C_sample_1</v>
      </c>
      <c r="C404" s="6" t="str">
        <f t="array" ref="C404">IF(ISBLANK(A404),"",IF(A404="PROREP (L)",VLOOKUP(LEFT($A404,6),'Data Feed (35C)'!$A$1:$G$10,3,FALSE),IF(A404="PROREP (S)", INDEX('Data Feed (35C)'!C:C, MATCH(LEFT($A404,6), 'Data Feed (35C)'!$A$1:$A$10, 0) + 1, +1), VLOOKUP($A404,'Data Feed (35C)'!$A$1:$G$10,3,FALSE))))</f>
        <v>Protea repens</v>
      </c>
      <c r="D404" s="6" t="str">
        <f t="array" ref="D404">IF(ISBLANK(A404),"",IF(A404="PROREP (L)",VLOOKUP(LEFT($A404,6),'Data Feed (35C)'!$A$1:$G$10,4,FALSE),IF(A404="PROREP (S)", INDEX('Data Feed (35C)'!D:D, MATCH(LEFT($A404,6), 'Data Feed (35C)'!$A$1:$A$10, 0) + 1, +1), VLOOKUP($A404,'Data Feed (35C)'!$A$1:$G$10,4,FALSE))))</f>
        <v>35C</v>
      </c>
      <c r="E404" s="6">
        <f t="array" ref="E404">IF(ISBLANK(A404),"",IF(A404="PROREP (L)",VLOOKUP(LEFT($A404,6),'Data Feed (35C)'!$A$1:$G$10,7,FALSE),IF(A404="PROREP (S)", INDEX('Data Feed (35C)'!G:G, MATCH(LEFT($A404,6), 'Data Feed (35C)'!$A$1:$A$10, 0) + 1, +1), VLOOKUP($A404,'Data Feed (35C)'!$A$1:$G$10,7,FALSE))))</f>
        <v>1</v>
      </c>
      <c r="F404" s="7">
        <v>45479.4375</v>
      </c>
      <c r="G404" s="8">
        <v>5.186</v>
      </c>
    </row>
    <row r="405">
      <c r="A405" s="9" t="str">
        <f t="shared" ref="A405:A409" si="471">A404</f>
        <v>PROREP (S)</v>
      </c>
      <c r="B405" s="9" t="str">
        <f>IF(ISBLANK(A404),"",LEFT(B404,27)&amp;VALUE(RIGHT(B404,1)+1))</f>
        <v>JKS240702PROREP_35C_sample_2</v>
      </c>
      <c r="C405" s="6" t="str">
        <f t="shared" ref="C405:D405" si="470">C404</f>
        <v>Protea repens</v>
      </c>
      <c r="D405" s="6" t="str">
        <f t="shared" si="470"/>
        <v>35C</v>
      </c>
      <c r="E405" s="10">
        <f>IF(ISBLANK(A404),"",E404+1)</f>
        <v>2</v>
      </c>
      <c r="F405" s="11">
        <f t="shared" ref="F405:F409" si="473">F404</f>
        <v>45479.4375</v>
      </c>
      <c r="G405" s="8">
        <v>10.709</v>
      </c>
    </row>
    <row r="406">
      <c r="A406" s="9" t="str">
        <f t="shared" si="471"/>
        <v>PROREP (S)</v>
      </c>
      <c r="B406" s="9" t="str">
        <f>IF(ISBLANK(A404),"",LEFT(B405,27)&amp;VALUE(RIGHT(B405,1)+1))</f>
        <v>JKS240702PROREP_35C_sample_3</v>
      </c>
      <c r="C406" s="6" t="str">
        <f t="shared" ref="C406:D406" si="472">C405</f>
        <v>Protea repens</v>
      </c>
      <c r="D406" s="6" t="str">
        <f t="shared" si="472"/>
        <v>35C</v>
      </c>
      <c r="E406" s="10">
        <f>IF(ISBLANK(A404),"",E405+1)</f>
        <v>3</v>
      </c>
      <c r="F406" s="11">
        <f t="shared" si="473"/>
        <v>45479.4375</v>
      </c>
      <c r="G406" s="8">
        <v>9.413</v>
      </c>
    </row>
    <row r="407">
      <c r="A407" s="9" t="str">
        <f t="shared" si="471"/>
        <v>PROREP (S)</v>
      </c>
      <c r="B407" s="9" t="str">
        <f>IF(ISBLANK(A404),"",LEFT(B406,27)&amp;VALUE(RIGHT(B406,1)+1))</f>
        <v>JKS240702PROREP_35C_sample_4</v>
      </c>
      <c r="C407" s="6" t="str">
        <f t="shared" ref="C407:D407" si="474">C406</f>
        <v>Protea repens</v>
      </c>
      <c r="D407" s="6" t="str">
        <f t="shared" si="474"/>
        <v>35C</v>
      </c>
      <c r="E407" s="10">
        <f>IF(ISBLANK(A404),"",E406+1)</f>
        <v>4</v>
      </c>
      <c r="F407" s="11">
        <f t="shared" si="473"/>
        <v>45479.4375</v>
      </c>
      <c r="G407" s="8">
        <v>2.15</v>
      </c>
    </row>
    <row r="408">
      <c r="A408" s="9" t="str">
        <f t="shared" si="471"/>
        <v>PROREP (S)</v>
      </c>
      <c r="B408" s="9" t="str">
        <f>IF(ISBLANK(A404),"",LEFT(B407,27)&amp;VALUE(RIGHT(B407,1)+1))</f>
        <v>JKS240702PROREP_35C_sample_5</v>
      </c>
      <c r="C408" s="6" t="str">
        <f t="shared" ref="C408:D408" si="475">C407</f>
        <v>Protea repens</v>
      </c>
      <c r="D408" s="6" t="str">
        <f t="shared" si="475"/>
        <v>35C</v>
      </c>
      <c r="E408" s="10">
        <f>IF(ISBLANK(A404),"",E407+1)</f>
        <v>5</v>
      </c>
      <c r="F408" s="11">
        <f t="shared" si="473"/>
        <v>45479.4375</v>
      </c>
      <c r="G408" s="8">
        <v>2.93</v>
      </c>
    </row>
    <row r="409">
      <c r="A409" s="12" t="str">
        <f t="shared" si="471"/>
        <v>PROREP (S)</v>
      </c>
      <c r="B409" s="12" t="str">
        <f>IF(ISBLANK(A404),"",LEFT(B408,27)&amp;VALUE(RIGHT(B408,1)+1))</f>
        <v>JKS240702PROREP_35C_sample_6</v>
      </c>
      <c r="C409" s="13" t="str">
        <f t="shared" ref="C409:D409" si="476">C408</f>
        <v>Protea repens</v>
      </c>
      <c r="D409" s="13" t="str">
        <f t="shared" si="476"/>
        <v>35C</v>
      </c>
      <c r="E409" s="14">
        <f>IF(ISBLANK(A404),"",E408+1)</f>
        <v>6</v>
      </c>
      <c r="F409" s="15">
        <f t="shared" si="473"/>
        <v>45479.4375</v>
      </c>
      <c r="G409" s="16">
        <v>4.305</v>
      </c>
    </row>
    <row r="410">
      <c r="A410" s="5" t="s">
        <v>10</v>
      </c>
      <c r="B410" s="6" t="str">
        <f t="array" ref="B410">IF(ISBLANK(A410),"",IF(A410="PROREP (L)",VLOOKUP(LEFT($A410,6),'Data Feed (35C)'!$A$1:$G$10,2,FALSE),IF(A410="PROREP (S)", INDEX('Data Feed (35C)'!B:B, MATCH(LEFT($A410,6), 'Data Feed (35C)'!$A$1:$A$10, 0) + 1), VLOOKUP($A410,'Data Feed (35C)'!$A$1:$G$10,2,FALSE))))</f>
        <v>JKS240702CANCON_35C_sample_1</v>
      </c>
      <c r="C410" s="6" t="str">
        <f t="array" ref="C410">IF(ISBLANK(A410),"",IF(A410="PROREP (L)",VLOOKUP(LEFT($A410,6),'Data Feed (35C)'!$A$1:$G$10,3,FALSE),IF(A410="PROREP (S)", INDEX('Data Feed (35C)'!C:C, MATCH(LEFT($A410,6), 'Data Feed (35C)'!$A$1:$A$10, 0) + 1, +1), VLOOKUP($A410,'Data Feed (35C)'!$A$1:$G$10,3,FALSE))))</f>
        <v>Cannomois congesta</v>
      </c>
      <c r="D410" s="6" t="str">
        <f t="array" ref="D410">IF(ISBLANK(A410),"",IF(A410="PROREP (L)",VLOOKUP(LEFT($A410,6),'Data Feed (35C)'!$A$1:$G$10,4,FALSE),IF(A410="PROREP (S)", INDEX('Data Feed (35C)'!D:D, MATCH(LEFT($A410,6), 'Data Feed (35C)'!$A$1:$A$10, 0) + 1, +1), VLOOKUP($A410,'Data Feed (35C)'!$A$1:$G$10,4,FALSE))))</f>
        <v>35C</v>
      </c>
      <c r="E410" s="6">
        <f t="array" ref="E410">IF(ISBLANK(A410),"",IF(A410="PROREP (L)",VLOOKUP(LEFT($A410,6),'Data Feed (35C)'!$A$1:$G$10,7,FALSE),IF(A410="PROREP (S)", INDEX('Data Feed (35C)'!G:G, MATCH(LEFT($A410,6), 'Data Feed (35C)'!$A$1:$A$10, 0) + 1, +1), VLOOKUP($A410,'Data Feed (35C)'!$A$1:$G$10,7,FALSE))))</f>
        <v>1</v>
      </c>
      <c r="F410" s="7">
        <v>45479.438888888886</v>
      </c>
      <c r="G410" s="8">
        <v>0.368</v>
      </c>
    </row>
    <row r="411">
      <c r="A411" s="9" t="str">
        <f t="shared" ref="A411:A415" si="478">A410</f>
        <v>CANCON</v>
      </c>
      <c r="B411" s="9" t="str">
        <f>IF(ISBLANK(A410),"",LEFT(B410,27)&amp;VALUE(RIGHT(B410,1)+1))</f>
        <v>JKS240702CANCON_35C_sample_2</v>
      </c>
      <c r="C411" s="6" t="str">
        <f t="shared" ref="C411:D411" si="477">C410</f>
        <v>Cannomois congesta</v>
      </c>
      <c r="D411" s="6" t="str">
        <f t="shared" si="477"/>
        <v>35C</v>
      </c>
      <c r="E411" s="10">
        <f>IF(ISBLANK(A410),"",E410+1)</f>
        <v>2</v>
      </c>
      <c r="F411" s="11">
        <f t="shared" ref="F411:F415" si="480">F410</f>
        <v>45479.43889</v>
      </c>
      <c r="G411" s="8">
        <v>1.608</v>
      </c>
    </row>
    <row r="412">
      <c r="A412" s="9" t="str">
        <f t="shared" si="478"/>
        <v>CANCON</v>
      </c>
      <c r="B412" s="9" t="str">
        <f>IF(ISBLANK(A410),"",LEFT(B411,27)&amp;VALUE(RIGHT(B411,1)+1))</f>
        <v>JKS240702CANCON_35C_sample_3</v>
      </c>
      <c r="C412" s="6" t="str">
        <f t="shared" ref="C412:D412" si="479">C411</f>
        <v>Cannomois congesta</v>
      </c>
      <c r="D412" s="6" t="str">
        <f t="shared" si="479"/>
        <v>35C</v>
      </c>
      <c r="E412" s="10">
        <f>IF(ISBLANK(A410),"",E411+1)</f>
        <v>3</v>
      </c>
      <c r="F412" s="11">
        <f t="shared" si="480"/>
        <v>45479.43889</v>
      </c>
      <c r="G412" s="8">
        <v>0.631</v>
      </c>
    </row>
    <row r="413">
      <c r="A413" s="9" t="str">
        <f t="shared" si="478"/>
        <v>CANCON</v>
      </c>
      <c r="B413" s="9" t="str">
        <f>IF(ISBLANK(A410),"",LEFT(B412,27)&amp;VALUE(RIGHT(B412,1)+1))</f>
        <v>JKS240702CANCON_35C_sample_4</v>
      </c>
      <c r="C413" s="6" t="str">
        <f t="shared" ref="C413:D413" si="481">C412</f>
        <v>Cannomois congesta</v>
      </c>
      <c r="D413" s="6" t="str">
        <f t="shared" si="481"/>
        <v>35C</v>
      </c>
      <c r="E413" s="10">
        <f>IF(ISBLANK(A410),"",E412+1)</f>
        <v>4</v>
      </c>
      <c r="F413" s="11">
        <f t="shared" si="480"/>
        <v>45479.43889</v>
      </c>
      <c r="G413" s="8">
        <v>0.692</v>
      </c>
    </row>
    <row r="414">
      <c r="A414" s="9" t="str">
        <f t="shared" si="478"/>
        <v>CANCON</v>
      </c>
      <c r="B414" s="9" t="str">
        <f>IF(ISBLANK(A410),"",LEFT(B413,27)&amp;VALUE(RIGHT(B413,1)+1))</f>
        <v>JKS240702CANCON_35C_sample_5</v>
      </c>
      <c r="C414" s="6" t="str">
        <f t="shared" ref="C414:D414" si="482">C413</f>
        <v>Cannomois congesta</v>
      </c>
      <c r="D414" s="6" t="str">
        <f t="shared" si="482"/>
        <v>35C</v>
      </c>
      <c r="E414" s="10">
        <f>IF(ISBLANK(A410),"",E413+1)</f>
        <v>5</v>
      </c>
      <c r="F414" s="11">
        <f t="shared" si="480"/>
        <v>45479.43889</v>
      </c>
      <c r="G414" s="8">
        <v>1.028</v>
      </c>
    </row>
    <row r="415">
      <c r="A415" s="12" t="str">
        <f t="shared" si="478"/>
        <v>CANCON</v>
      </c>
      <c r="B415" s="12" t="str">
        <f>IF(ISBLANK(A410),"",LEFT(B414,27)&amp;VALUE(RIGHT(B414,1)+1))</f>
        <v>JKS240702CANCON_35C_sample_6</v>
      </c>
      <c r="C415" s="13" t="str">
        <f t="shared" ref="C415:D415" si="483">C414</f>
        <v>Cannomois congesta</v>
      </c>
      <c r="D415" s="13" t="str">
        <f t="shared" si="483"/>
        <v>35C</v>
      </c>
      <c r="E415" s="14">
        <f>IF(ISBLANK(A410),"",E414+1)</f>
        <v>6</v>
      </c>
      <c r="F415" s="15">
        <f t="shared" si="480"/>
        <v>45479.43889</v>
      </c>
      <c r="G415" s="16">
        <v>1.17</v>
      </c>
    </row>
    <row r="416">
      <c r="A416" s="5" t="s">
        <v>8</v>
      </c>
      <c r="B416" s="6" t="str">
        <f t="array" ref="B416">IF(ISBLANK(A416),"",IF(A416="PROREP (L)",VLOOKUP(LEFT($A416,6),'Data Feed (35C)'!$A$1:$G$10,2,FALSE),IF(A416="PROREP (S)", INDEX('Data Feed (35C)'!B:B, MATCH(LEFT($A416,6), 'Data Feed (35C)'!$A$1:$A$10, 0) + 1), VLOOKUP($A416,'Data Feed (35C)'!$A$1:$G$10,2,FALSE))))</f>
        <v>JKL240702PROREP_35C_sample_1</v>
      </c>
      <c r="C416" s="6" t="str">
        <f t="array" ref="C416">IF(ISBLANK(A416),"",IF(A416="PROREP (L)",VLOOKUP(LEFT($A416,6),'Data Feed (35C)'!$A$1:$G$10,3,FALSE),IF(A416="PROREP (S)", INDEX('Data Feed (35C)'!C:C, MATCH(LEFT($A416,6), 'Data Feed (35C)'!$A$1:$A$10, 0) + 1, +1), VLOOKUP($A416,'Data Feed (35C)'!$A$1:$G$10,3,FALSE))))</f>
        <v>Protea repens</v>
      </c>
      <c r="D416" s="6" t="str">
        <f t="array" ref="D416">IF(ISBLANK(A416),"",IF(A416="PROREP (L)",VLOOKUP(LEFT($A416,6),'Data Feed (35C)'!$A$1:$G$10,4,FALSE),IF(A416="PROREP (S)", INDEX('Data Feed (35C)'!D:D, MATCH(LEFT($A416,6), 'Data Feed (35C)'!$A$1:$A$10, 0) + 1, +1), VLOOKUP($A416,'Data Feed (35C)'!$A$1:$G$10,4,FALSE))))</f>
        <v>35C</v>
      </c>
      <c r="E416" s="6">
        <f t="array" ref="E416">IF(ISBLANK(A416),"",IF(A416="PROREP (L)",VLOOKUP(LEFT($A416,6),'Data Feed (35C)'!$A$1:$G$10,7,FALSE),IF(A416="PROREP (S)", INDEX('Data Feed (35C)'!G:G, MATCH(LEFT($A416,6), 'Data Feed (35C)'!$A$1:$A$10, 0) + 1, +1), VLOOKUP($A416,'Data Feed (35C)'!$A$1:$G$10,7,FALSE))))</f>
        <v>1</v>
      </c>
      <c r="F416" s="7">
        <v>45479.7625</v>
      </c>
      <c r="G416" s="8">
        <v>0.255</v>
      </c>
    </row>
    <row r="417">
      <c r="A417" s="9" t="str">
        <f t="shared" ref="A417:A421" si="485">A416</f>
        <v>PROREP (L)</v>
      </c>
      <c r="B417" s="9" t="str">
        <f>IF(ISBLANK(A416),"",LEFT(B416,27)&amp;VALUE(RIGHT(B416,1)+1))</f>
        <v>JKL240702PROREP_35C_sample_2</v>
      </c>
      <c r="C417" s="6" t="str">
        <f t="shared" ref="C417:D417" si="484">C416</f>
        <v>Protea repens</v>
      </c>
      <c r="D417" s="6" t="str">
        <f t="shared" si="484"/>
        <v>35C</v>
      </c>
      <c r="E417" s="10">
        <f>IF(ISBLANK(A416),"",E416+1)</f>
        <v>2</v>
      </c>
      <c r="F417" s="11">
        <f t="shared" ref="F417:F421" si="487">F416</f>
        <v>45479.7625</v>
      </c>
      <c r="G417" s="8">
        <v>0.29</v>
      </c>
    </row>
    <row r="418">
      <c r="A418" s="9" t="str">
        <f t="shared" si="485"/>
        <v>PROREP (L)</v>
      </c>
      <c r="B418" s="9" t="str">
        <f>IF(ISBLANK(A416),"",LEFT(B417,27)&amp;VALUE(RIGHT(B417,1)+1))</f>
        <v>JKL240702PROREP_35C_sample_3</v>
      </c>
      <c r="C418" s="6" t="str">
        <f t="shared" ref="C418:D418" si="486">C417</f>
        <v>Protea repens</v>
      </c>
      <c r="D418" s="6" t="str">
        <f t="shared" si="486"/>
        <v>35C</v>
      </c>
      <c r="E418" s="10">
        <f>IF(ISBLANK(A416),"",E417+1)</f>
        <v>3</v>
      </c>
      <c r="F418" s="11">
        <f t="shared" si="487"/>
        <v>45479.7625</v>
      </c>
      <c r="G418" s="8">
        <v>0.371</v>
      </c>
    </row>
    <row r="419">
      <c r="A419" s="9" t="str">
        <f t="shared" si="485"/>
        <v>PROREP (L)</v>
      </c>
      <c r="B419" s="9" t="str">
        <f>IF(ISBLANK(A416),"",LEFT(B418,27)&amp;VALUE(RIGHT(B418,1)+1))</f>
        <v>JKL240702PROREP_35C_sample_4</v>
      </c>
      <c r="C419" s="6" t="str">
        <f t="shared" ref="C419:D419" si="488">C418</f>
        <v>Protea repens</v>
      </c>
      <c r="D419" s="6" t="str">
        <f t="shared" si="488"/>
        <v>35C</v>
      </c>
      <c r="E419" s="10">
        <f>IF(ISBLANK(A416),"",E418+1)</f>
        <v>4</v>
      </c>
      <c r="F419" s="11">
        <f t="shared" si="487"/>
        <v>45479.7625</v>
      </c>
      <c r="G419" s="8">
        <v>0.253</v>
      </c>
    </row>
    <row r="420">
      <c r="A420" s="9" t="str">
        <f t="shared" si="485"/>
        <v>PROREP (L)</v>
      </c>
      <c r="B420" s="9" t="str">
        <f>IF(ISBLANK(A416),"",LEFT(B419,27)&amp;VALUE(RIGHT(B419,1)+1))</f>
        <v>JKL240702PROREP_35C_sample_5</v>
      </c>
      <c r="C420" s="6" t="str">
        <f t="shared" ref="C420:D420" si="489">C419</f>
        <v>Protea repens</v>
      </c>
      <c r="D420" s="6" t="str">
        <f t="shared" si="489"/>
        <v>35C</v>
      </c>
      <c r="E420" s="10">
        <f>IF(ISBLANK(A416),"",E419+1)</f>
        <v>5</v>
      </c>
      <c r="F420" s="11">
        <f t="shared" si="487"/>
        <v>45479.7625</v>
      </c>
      <c r="G420" s="8">
        <v>0.237</v>
      </c>
    </row>
    <row r="421">
      <c r="A421" s="12" t="str">
        <f t="shared" si="485"/>
        <v>PROREP (L)</v>
      </c>
      <c r="B421" s="12" t="str">
        <f>IF(ISBLANK(A416),"",LEFT(B420,27)&amp;VALUE(RIGHT(B420,1)+1))</f>
        <v>JKL240702PROREP_35C_sample_6</v>
      </c>
      <c r="C421" s="13" t="str">
        <f t="shared" ref="C421:D421" si="490">C420</f>
        <v>Protea repens</v>
      </c>
      <c r="D421" s="13" t="str">
        <f t="shared" si="490"/>
        <v>35C</v>
      </c>
      <c r="E421" s="14">
        <f>IF(ISBLANK(A416),"",E420+1)</f>
        <v>6</v>
      </c>
      <c r="F421" s="15">
        <f t="shared" si="487"/>
        <v>45479.7625</v>
      </c>
      <c r="G421" s="16">
        <v>0.182</v>
      </c>
    </row>
    <row r="422">
      <c r="A422" s="5" t="s">
        <v>9</v>
      </c>
      <c r="B422" s="6" t="str">
        <f t="array" ref="B422">IF(ISBLANK(A422),"",IF(A422="PROREP (L)",VLOOKUP(LEFT($A422,6),'Data Feed (35C)'!$A$1:$G$10,2,FALSE),IF(A422="PROREP (S)", INDEX('Data Feed (35C)'!B:B, MATCH(LEFT($A422,6), 'Data Feed (35C)'!$A$1:$A$10, 0) + 1), VLOOKUP($A422,'Data Feed (35C)'!$A$1:$G$10,2,FALSE))))</f>
        <v>JKS240702PROREP_35C_sample_1</v>
      </c>
      <c r="C422" s="6" t="str">
        <f t="array" ref="C422">IF(ISBLANK(A422),"",IF(A422="PROREP (L)",VLOOKUP(LEFT($A422,6),'Data Feed (35C)'!$A$1:$G$10,3,FALSE),IF(A422="PROREP (S)", INDEX('Data Feed (35C)'!C:C, MATCH(LEFT($A422,6), 'Data Feed (35C)'!$A$1:$A$10, 0) + 1, +1), VLOOKUP($A422,'Data Feed (35C)'!$A$1:$G$10,3,FALSE))))</f>
        <v>Protea repens</v>
      </c>
      <c r="D422" s="6" t="str">
        <f t="array" ref="D422">IF(ISBLANK(A422),"",IF(A422="PROREP (L)",VLOOKUP(LEFT($A422,6),'Data Feed (35C)'!$A$1:$G$10,4,FALSE),IF(A422="PROREP (S)", INDEX('Data Feed (35C)'!D:D, MATCH(LEFT($A422,6), 'Data Feed (35C)'!$A$1:$A$10, 0) + 1, +1), VLOOKUP($A422,'Data Feed (35C)'!$A$1:$G$10,4,FALSE))))</f>
        <v>35C</v>
      </c>
      <c r="E422" s="6">
        <f t="array" ref="E422">IF(ISBLANK(A422),"",IF(A422="PROREP (L)",VLOOKUP(LEFT($A422,6),'Data Feed (35C)'!$A$1:$G$10,7,FALSE),IF(A422="PROREP (S)", INDEX('Data Feed (35C)'!G:G, MATCH(LEFT($A422,6), 'Data Feed (35C)'!$A$1:$A$10, 0) + 1, +1), VLOOKUP($A422,'Data Feed (35C)'!$A$1:$G$10,7,FALSE))))</f>
        <v>1</v>
      </c>
      <c r="F422" s="7">
        <v>45479.76458333333</v>
      </c>
      <c r="G422" s="8">
        <v>5.162</v>
      </c>
    </row>
    <row r="423">
      <c r="A423" s="9" t="str">
        <f t="shared" ref="A423:A427" si="492">A422</f>
        <v>PROREP (S)</v>
      </c>
      <c r="B423" s="9" t="str">
        <f>IF(ISBLANK(A422),"",LEFT(B422,27)&amp;VALUE(RIGHT(B422,1)+1))</f>
        <v>JKS240702PROREP_35C_sample_2</v>
      </c>
      <c r="C423" s="6" t="str">
        <f t="shared" ref="C423:D423" si="491">C422</f>
        <v>Protea repens</v>
      </c>
      <c r="D423" s="6" t="str">
        <f t="shared" si="491"/>
        <v>35C</v>
      </c>
      <c r="E423" s="10">
        <f>IF(ISBLANK(A422),"",E422+1)</f>
        <v>2</v>
      </c>
      <c r="F423" s="11">
        <f t="shared" ref="F423:F427" si="494">F422</f>
        <v>45479.76458</v>
      </c>
      <c r="G423" s="8">
        <v>9.975</v>
      </c>
    </row>
    <row r="424">
      <c r="A424" s="9" t="str">
        <f t="shared" si="492"/>
        <v>PROREP (S)</v>
      </c>
      <c r="B424" s="9" t="str">
        <f>IF(ISBLANK(A422),"",LEFT(B423,27)&amp;VALUE(RIGHT(B423,1)+1))</f>
        <v>JKS240702PROREP_35C_sample_3</v>
      </c>
      <c r="C424" s="6" t="str">
        <f t="shared" ref="C424:D424" si="493">C423</f>
        <v>Protea repens</v>
      </c>
      <c r="D424" s="6" t="str">
        <f t="shared" si="493"/>
        <v>35C</v>
      </c>
      <c r="E424" s="10">
        <f>IF(ISBLANK(A422),"",E423+1)</f>
        <v>3</v>
      </c>
      <c r="F424" s="11">
        <f t="shared" si="494"/>
        <v>45479.76458</v>
      </c>
      <c r="G424" s="8">
        <v>9.385</v>
      </c>
    </row>
    <row r="425">
      <c r="A425" s="9" t="str">
        <f t="shared" si="492"/>
        <v>PROREP (S)</v>
      </c>
      <c r="B425" s="9" t="str">
        <f>IF(ISBLANK(A422),"",LEFT(B424,27)&amp;VALUE(RIGHT(B424,1)+1))</f>
        <v>JKS240702PROREP_35C_sample_4</v>
      </c>
      <c r="C425" s="6" t="str">
        <f t="shared" ref="C425:D425" si="495">C424</f>
        <v>Protea repens</v>
      </c>
      <c r="D425" s="6" t="str">
        <f t="shared" si="495"/>
        <v>35C</v>
      </c>
      <c r="E425" s="10">
        <f>IF(ISBLANK(A422),"",E424+1)</f>
        <v>4</v>
      </c>
      <c r="F425" s="11">
        <f t="shared" si="494"/>
        <v>45479.76458</v>
      </c>
      <c r="G425" s="8">
        <v>2.071</v>
      </c>
    </row>
    <row r="426">
      <c r="A426" s="9" t="str">
        <f t="shared" si="492"/>
        <v>PROREP (S)</v>
      </c>
      <c r="B426" s="9" t="str">
        <f>IF(ISBLANK(A422),"",LEFT(B425,27)&amp;VALUE(RIGHT(B425,1)+1))</f>
        <v>JKS240702PROREP_35C_sample_5</v>
      </c>
      <c r="C426" s="6" t="str">
        <f t="shared" ref="C426:D426" si="496">C425</f>
        <v>Protea repens</v>
      </c>
      <c r="D426" s="6" t="str">
        <f t="shared" si="496"/>
        <v>35C</v>
      </c>
      <c r="E426" s="10">
        <f>IF(ISBLANK(A422),"",E425+1)</f>
        <v>5</v>
      </c>
      <c r="F426" s="11">
        <f t="shared" si="494"/>
        <v>45479.76458</v>
      </c>
      <c r="G426" s="8">
        <v>2.927</v>
      </c>
    </row>
    <row r="427">
      <c r="A427" s="12" t="str">
        <f t="shared" si="492"/>
        <v>PROREP (S)</v>
      </c>
      <c r="B427" s="12" t="str">
        <f>IF(ISBLANK(A422),"",LEFT(B426,27)&amp;VALUE(RIGHT(B426,1)+1))</f>
        <v>JKS240702PROREP_35C_sample_6</v>
      </c>
      <c r="C427" s="13" t="str">
        <f t="shared" ref="C427:D427" si="497">C426</f>
        <v>Protea repens</v>
      </c>
      <c r="D427" s="13" t="str">
        <f t="shared" si="497"/>
        <v>35C</v>
      </c>
      <c r="E427" s="14">
        <f>IF(ISBLANK(A422),"",E426+1)</f>
        <v>6</v>
      </c>
      <c r="F427" s="15">
        <f t="shared" si="494"/>
        <v>45479.76458</v>
      </c>
      <c r="G427" s="16">
        <v>3.995</v>
      </c>
    </row>
    <row r="428">
      <c r="A428" s="5" t="s">
        <v>10</v>
      </c>
      <c r="B428" s="6" t="str">
        <f t="array" ref="B428">IF(ISBLANK(A428),"",IF(A428="PROREP (L)",VLOOKUP(LEFT($A428,6),'Data Feed (35C)'!$A$1:$G$10,2,FALSE),IF(A428="PROREP (S)", INDEX('Data Feed (35C)'!B:B, MATCH(LEFT($A428,6), 'Data Feed (35C)'!$A$1:$A$10, 0) + 1), VLOOKUP($A428,'Data Feed (35C)'!$A$1:$G$10,2,FALSE))))</f>
        <v>JKS240702CANCON_35C_sample_1</v>
      </c>
      <c r="C428" s="6" t="str">
        <f t="array" ref="C428">IF(ISBLANK(A428),"",IF(A428="PROREP (L)",VLOOKUP(LEFT($A428,6),'Data Feed (35C)'!$A$1:$G$10,3,FALSE),IF(A428="PROREP (S)", INDEX('Data Feed (35C)'!C:C, MATCH(LEFT($A428,6), 'Data Feed (35C)'!$A$1:$A$10, 0) + 1, +1), VLOOKUP($A428,'Data Feed (35C)'!$A$1:$G$10,3,FALSE))))</f>
        <v>Cannomois congesta</v>
      </c>
      <c r="D428" s="6" t="str">
        <f t="array" ref="D428">IF(ISBLANK(A428),"",IF(A428="PROREP (L)",VLOOKUP(LEFT($A428,6),'Data Feed (35C)'!$A$1:$G$10,4,FALSE),IF(A428="PROREP (S)", INDEX('Data Feed (35C)'!D:D, MATCH(LEFT($A428,6), 'Data Feed (35C)'!$A$1:$A$10, 0) + 1, +1), VLOOKUP($A428,'Data Feed (35C)'!$A$1:$G$10,4,FALSE))))</f>
        <v>35C</v>
      </c>
      <c r="E428" s="6">
        <f t="array" ref="E428">IF(ISBLANK(A428),"",IF(A428="PROREP (L)",VLOOKUP(LEFT($A428,6),'Data Feed (35C)'!$A$1:$G$10,7,FALSE),IF(A428="PROREP (S)", INDEX('Data Feed (35C)'!G:G, MATCH(LEFT($A428,6), 'Data Feed (35C)'!$A$1:$A$10, 0) + 1, +1), VLOOKUP($A428,'Data Feed (35C)'!$A$1:$G$10,7,FALSE))))</f>
        <v>1</v>
      </c>
      <c r="F428" s="7">
        <v>45479.76597222222</v>
      </c>
      <c r="G428" s="8">
        <v>0.37</v>
      </c>
    </row>
    <row r="429">
      <c r="A429" s="9" t="str">
        <f t="shared" ref="A429:A433" si="499">A428</f>
        <v>CANCON</v>
      </c>
      <c r="B429" s="9" t="str">
        <f>IF(ISBLANK(A428),"",LEFT(B428,27)&amp;VALUE(RIGHT(B428,1)+1))</f>
        <v>JKS240702CANCON_35C_sample_2</v>
      </c>
      <c r="C429" s="6" t="str">
        <f t="shared" ref="C429:D429" si="498">C428</f>
        <v>Cannomois congesta</v>
      </c>
      <c r="D429" s="6" t="str">
        <f t="shared" si="498"/>
        <v>35C</v>
      </c>
      <c r="E429" s="10">
        <f>IF(ISBLANK(A428),"",E428+1)</f>
        <v>2</v>
      </c>
      <c r="F429" s="11">
        <f t="shared" ref="F429:F433" si="501">F428</f>
        <v>45479.76597</v>
      </c>
      <c r="G429" s="8">
        <v>1.55</v>
      </c>
    </row>
    <row r="430">
      <c r="A430" s="9" t="str">
        <f t="shared" si="499"/>
        <v>CANCON</v>
      </c>
      <c r="B430" s="9" t="str">
        <f>IF(ISBLANK(A428),"",LEFT(B429,27)&amp;VALUE(RIGHT(B429,1)+1))</f>
        <v>JKS240702CANCON_35C_sample_3</v>
      </c>
      <c r="C430" s="6" t="str">
        <f t="shared" ref="C430:D430" si="500">C429</f>
        <v>Cannomois congesta</v>
      </c>
      <c r="D430" s="6" t="str">
        <f t="shared" si="500"/>
        <v>35C</v>
      </c>
      <c r="E430" s="10">
        <f>IF(ISBLANK(A428),"",E429+1)</f>
        <v>3</v>
      </c>
      <c r="F430" s="11">
        <f t="shared" si="501"/>
        <v>45479.76597</v>
      </c>
      <c r="G430" s="8">
        <v>0.638</v>
      </c>
    </row>
    <row r="431">
      <c r="A431" s="9" t="str">
        <f t="shared" si="499"/>
        <v>CANCON</v>
      </c>
      <c r="B431" s="9" t="str">
        <f>IF(ISBLANK(A428),"",LEFT(B430,27)&amp;VALUE(RIGHT(B430,1)+1))</f>
        <v>JKS240702CANCON_35C_sample_4</v>
      </c>
      <c r="C431" s="6" t="str">
        <f t="shared" ref="C431:D431" si="502">C430</f>
        <v>Cannomois congesta</v>
      </c>
      <c r="D431" s="6" t="str">
        <f t="shared" si="502"/>
        <v>35C</v>
      </c>
      <c r="E431" s="10">
        <f>IF(ISBLANK(A428),"",E430+1)</f>
        <v>4</v>
      </c>
      <c r="F431" s="11">
        <f t="shared" si="501"/>
        <v>45479.76597</v>
      </c>
      <c r="G431" s="8">
        <v>0.702</v>
      </c>
    </row>
    <row r="432">
      <c r="A432" s="9" t="str">
        <f t="shared" si="499"/>
        <v>CANCON</v>
      </c>
      <c r="B432" s="9" t="str">
        <f>IF(ISBLANK(A428),"",LEFT(B431,27)&amp;VALUE(RIGHT(B431,1)+1))</f>
        <v>JKS240702CANCON_35C_sample_5</v>
      </c>
      <c r="C432" s="6" t="str">
        <f t="shared" ref="C432:D432" si="503">C431</f>
        <v>Cannomois congesta</v>
      </c>
      <c r="D432" s="6" t="str">
        <f t="shared" si="503"/>
        <v>35C</v>
      </c>
      <c r="E432" s="10">
        <f>IF(ISBLANK(A428),"",E431+1)</f>
        <v>5</v>
      </c>
      <c r="F432" s="11">
        <f t="shared" si="501"/>
        <v>45479.76597</v>
      </c>
      <c r="G432" s="8">
        <v>1.012</v>
      </c>
    </row>
    <row r="433">
      <c r="A433" s="12" t="str">
        <f t="shared" si="499"/>
        <v>CANCON</v>
      </c>
      <c r="B433" s="12" t="str">
        <f>IF(ISBLANK(A428),"",LEFT(B432,27)&amp;VALUE(RIGHT(B432,1)+1))</f>
        <v>JKS240702CANCON_35C_sample_6</v>
      </c>
      <c r="C433" s="13" t="str">
        <f t="shared" ref="C433:D433" si="504">C432</f>
        <v>Cannomois congesta</v>
      </c>
      <c r="D433" s="13" t="str">
        <f t="shared" si="504"/>
        <v>35C</v>
      </c>
      <c r="E433" s="14">
        <f>IF(ISBLANK(A428),"",E432+1)</f>
        <v>6</v>
      </c>
      <c r="F433" s="15">
        <f t="shared" si="501"/>
        <v>45479.76597</v>
      </c>
      <c r="G433" s="16">
        <v>1.175</v>
      </c>
    </row>
    <row r="434">
      <c r="A434" s="5"/>
      <c r="B434" s="6" t="str">
        <f t="array" ref="B434">IF(ISBLANK(A434),"",IF(A434="PROREP (L)",VLOOKUP(LEFT($A434,6),'Data Feed (35C)'!$A$1:$G$10,2,FALSE),IF(A434="PROREP (S)", INDEX('Data Feed (35C)'!B:B, MATCH(LEFT($A434,6), 'Data Feed (35C)'!$A$1:$A$10, 0) + 1), VLOOKUP($A434,'Data Feed (35C)'!$A$1:$G$10,2,FALSE))))</f>
        <v/>
      </c>
      <c r="C434" s="6" t="str">
        <f t="array" ref="C434">IF(ISBLANK(A434),"",IF(A434="PROREP (L)",VLOOKUP(LEFT($A434,6),'Data Feed (35C)'!$A$1:$G$10,3,FALSE),IF(A434="PROREP (S)", INDEX('Data Feed (35C)'!C:C, MATCH(LEFT($A434,6), 'Data Feed (35C)'!$A$1:$A$10, 0) + 1, +1), VLOOKUP($A434,'Data Feed (35C)'!$A$1:$G$10,3,FALSE))))</f>
        <v/>
      </c>
      <c r="D434" s="6" t="str">
        <f t="array" ref="D434">IF(ISBLANK(A434),"",IF(A434="PROREP (L)",VLOOKUP(LEFT($A434,6),'Data Feed (35C)'!$A$1:$G$10,4,FALSE),IF(A434="PROREP (S)", INDEX('Data Feed (35C)'!D:D, MATCH(LEFT($A434,6), 'Data Feed (35C)'!$A$1:$A$10, 0) + 1, +1), VLOOKUP($A434,'Data Feed (35C)'!$A$1:$G$10,4,FALSE))))</f>
        <v/>
      </c>
      <c r="E434" s="6" t="str">
        <f t="array" ref="E434">IF(ISBLANK(A434),"",IF(A434="PROREP (L)",VLOOKUP(LEFT($A434,6),'Data Feed (35C)'!$A$1:$G$10,7,FALSE),IF(A434="PROREP (S)", INDEX('Data Feed (35C)'!G:G, MATCH(LEFT($A434,6), 'Data Feed (35C)'!$A$1:$A$10, 0) + 1, +1), VLOOKUP($A434,'Data Feed (35C)'!$A$1:$G$10,7,FALSE))))</f>
        <v/>
      </c>
      <c r="F434" s="7"/>
      <c r="G434" s="8"/>
    </row>
    <row r="435">
      <c r="A435" s="9" t="str">
        <f t="shared" ref="A435:A439" si="506">A434</f>
        <v/>
      </c>
      <c r="B435" s="9" t="str">
        <f>IF(ISBLANK(A434),"",LEFT(B434,27)&amp;VALUE(RIGHT(B434,1)+1))</f>
        <v/>
      </c>
      <c r="C435" s="6" t="str">
        <f t="shared" ref="C435:D435" si="505">C434</f>
        <v/>
      </c>
      <c r="D435" s="6" t="str">
        <f t="shared" si="505"/>
        <v/>
      </c>
      <c r="E435" s="10" t="str">
        <f>IF(ISBLANK(A434),"",E434+1)</f>
        <v/>
      </c>
      <c r="F435" s="11" t="str">
        <f t="shared" ref="F435:F439" si="508">F434</f>
        <v/>
      </c>
      <c r="G435" s="8"/>
    </row>
    <row r="436">
      <c r="A436" s="9" t="str">
        <f t="shared" si="506"/>
        <v/>
      </c>
      <c r="B436" s="9" t="str">
        <f>IF(ISBLANK(A434),"",LEFT(B435,27)&amp;VALUE(RIGHT(B435,1)+1))</f>
        <v/>
      </c>
      <c r="C436" s="6" t="str">
        <f t="shared" ref="C436:D436" si="507">C435</f>
        <v/>
      </c>
      <c r="D436" s="6" t="str">
        <f t="shared" si="507"/>
        <v/>
      </c>
      <c r="E436" s="10" t="str">
        <f>IF(ISBLANK(A434),"",E435+1)</f>
        <v/>
      </c>
      <c r="F436" s="11" t="str">
        <f t="shared" si="508"/>
        <v/>
      </c>
      <c r="G436" s="8"/>
    </row>
    <row r="437">
      <c r="A437" s="9" t="str">
        <f t="shared" si="506"/>
        <v/>
      </c>
      <c r="B437" s="9" t="str">
        <f>IF(ISBLANK(A434),"",LEFT(B436,27)&amp;VALUE(RIGHT(B436,1)+1))</f>
        <v/>
      </c>
      <c r="C437" s="6" t="str">
        <f t="shared" ref="C437:D437" si="509">C436</f>
        <v/>
      </c>
      <c r="D437" s="6" t="str">
        <f t="shared" si="509"/>
        <v/>
      </c>
      <c r="E437" s="10" t="str">
        <f>IF(ISBLANK(A434),"",E436+1)</f>
        <v/>
      </c>
      <c r="F437" s="11" t="str">
        <f t="shared" si="508"/>
        <v/>
      </c>
      <c r="G437" s="8"/>
    </row>
    <row r="438">
      <c r="A438" s="9" t="str">
        <f t="shared" si="506"/>
        <v/>
      </c>
      <c r="B438" s="9" t="str">
        <f>IF(ISBLANK(A434),"",LEFT(B437,27)&amp;VALUE(RIGHT(B437,1)+1))</f>
        <v/>
      </c>
      <c r="C438" s="6" t="str">
        <f t="shared" ref="C438:D438" si="510">C437</f>
        <v/>
      </c>
      <c r="D438" s="6" t="str">
        <f t="shared" si="510"/>
        <v/>
      </c>
      <c r="E438" s="10" t="str">
        <f>IF(ISBLANK(A434),"",E437+1)</f>
        <v/>
      </c>
      <c r="F438" s="11" t="str">
        <f t="shared" si="508"/>
        <v/>
      </c>
      <c r="G438" s="8"/>
    </row>
    <row r="439">
      <c r="A439" s="12" t="str">
        <f t="shared" si="506"/>
        <v/>
      </c>
      <c r="B439" s="12" t="str">
        <f>IF(ISBLANK(A434),"",LEFT(B438,27)&amp;VALUE(RIGHT(B438,1)+1))</f>
        <v/>
      </c>
      <c r="C439" s="13" t="str">
        <f t="shared" ref="C439:D439" si="511">C438</f>
        <v/>
      </c>
      <c r="D439" s="13" t="str">
        <f t="shared" si="511"/>
        <v/>
      </c>
      <c r="E439" s="14" t="str">
        <f>IF(ISBLANK(A434),"",E438+1)</f>
        <v/>
      </c>
      <c r="F439" s="15" t="str">
        <f t="shared" si="508"/>
        <v/>
      </c>
      <c r="G439" s="16"/>
    </row>
    <row r="440">
      <c r="A440" s="5"/>
      <c r="B440" s="6" t="str">
        <f t="array" ref="B440">IF(ISBLANK(A440),"",IF(A440="PROREP (L)",VLOOKUP(LEFT($A440,6),'Data Feed (35C)'!$A$1:$G$10,2,FALSE),IF(A440="PROREP (S)", INDEX('Data Feed (35C)'!B:B, MATCH(LEFT($A440,6), 'Data Feed (35C)'!$A$1:$A$10, 0) + 1), VLOOKUP($A440,'Data Feed (35C)'!$A$1:$G$10,2,FALSE))))</f>
        <v/>
      </c>
      <c r="C440" s="6" t="str">
        <f t="array" ref="C440">IF(ISBLANK(A440),"",IF(A440="PROREP (L)",VLOOKUP(LEFT($A440,6),'Data Feed (35C)'!$A$1:$G$10,3,FALSE),IF(A440="PROREP (S)", INDEX('Data Feed (35C)'!C:C, MATCH(LEFT($A440,6), 'Data Feed (35C)'!$A$1:$A$10, 0) + 1, +1), VLOOKUP($A440,'Data Feed (35C)'!$A$1:$G$10,3,FALSE))))</f>
        <v/>
      </c>
      <c r="D440" s="6" t="str">
        <f t="array" ref="D440">IF(ISBLANK(A440),"",IF(A440="PROREP (L)",VLOOKUP(LEFT($A440,6),'Data Feed (35C)'!$A$1:$G$10,4,FALSE),IF(A440="PROREP (S)", INDEX('Data Feed (35C)'!D:D, MATCH(LEFT($A440,6), 'Data Feed (35C)'!$A$1:$A$10, 0) + 1, +1), VLOOKUP($A440,'Data Feed (35C)'!$A$1:$G$10,4,FALSE))))</f>
        <v/>
      </c>
      <c r="E440" s="6" t="str">
        <f t="array" ref="E440">IF(ISBLANK(A440),"",IF(A440="PROREP (L)",VLOOKUP(LEFT($A440,6),'Data Feed (35C)'!$A$1:$G$10,7,FALSE),IF(A440="PROREP (S)", INDEX('Data Feed (35C)'!G:G, MATCH(LEFT($A440,6), 'Data Feed (35C)'!$A$1:$A$10, 0) + 1, +1), VLOOKUP($A440,'Data Feed (35C)'!$A$1:$G$10,7,FALSE))))</f>
        <v/>
      </c>
      <c r="F440" s="7"/>
      <c r="G440" s="8"/>
    </row>
    <row r="441">
      <c r="A441" s="9" t="str">
        <f t="shared" ref="A441:A445" si="513">A440</f>
        <v/>
      </c>
      <c r="B441" s="9" t="str">
        <f>IF(ISBLANK(A440),"",LEFT(B440,27)&amp;VALUE(RIGHT(B440,1)+1))</f>
        <v/>
      </c>
      <c r="C441" s="6" t="str">
        <f t="shared" ref="C441:D441" si="512">C440</f>
        <v/>
      </c>
      <c r="D441" s="6" t="str">
        <f t="shared" si="512"/>
        <v/>
      </c>
      <c r="E441" s="10" t="str">
        <f>IF(ISBLANK(A440),"",E440+1)</f>
        <v/>
      </c>
      <c r="F441" s="11" t="str">
        <f t="shared" ref="F441:F445" si="515">F440</f>
        <v/>
      </c>
      <c r="G441" s="8"/>
    </row>
    <row r="442">
      <c r="A442" s="9" t="str">
        <f t="shared" si="513"/>
        <v/>
      </c>
      <c r="B442" s="9" t="str">
        <f>IF(ISBLANK(A440),"",LEFT(B441,27)&amp;VALUE(RIGHT(B441,1)+1))</f>
        <v/>
      </c>
      <c r="C442" s="6" t="str">
        <f t="shared" ref="C442:D442" si="514">C441</f>
        <v/>
      </c>
      <c r="D442" s="6" t="str">
        <f t="shared" si="514"/>
        <v/>
      </c>
      <c r="E442" s="10" t="str">
        <f>IF(ISBLANK(A440),"",E441+1)</f>
        <v/>
      </c>
      <c r="F442" s="11" t="str">
        <f t="shared" si="515"/>
        <v/>
      </c>
      <c r="G442" s="8"/>
    </row>
    <row r="443">
      <c r="A443" s="9" t="str">
        <f t="shared" si="513"/>
        <v/>
      </c>
      <c r="B443" s="9" t="str">
        <f>IF(ISBLANK(A440),"",LEFT(B442,27)&amp;VALUE(RIGHT(B442,1)+1))</f>
        <v/>
      </c>
      <c r="C443" s="6" t="str">
        <f t="shared" ref="C443:D443" si="516">C442</f>
        <v/>
      </c>
      <c r="D443" s="6" t="str">
        <f t="shared" si="516"/>
        <v/>
      </c>
      <c r="E443" s="10" t="str">
        <f>IF(ISBLANK(A440),"",E442+1)</f>
        <v/>
      </c>
      <c r="F443" s="11" t="str">
        <f t="shared" si="515"/>
        <v/>
      </c>
      <c r="G443" s="8"/>
    </row>
    <row r="444">
      <c r="A444" s="9" t="str">
        <f t="shared" si="513"/>
        <v/>
      </c>
      <c r="B444" s="9" t="str">
        <f>IF(ISBLANK(A440),"",LEFT(B443,27)&amp;VALUE(RIGHT(B443,1)+1))</f>
        <v/>
      </c>
      <c r="C444" s="6" t="str">
        <f t="shared" ref="C444:D444" si="517">C443</f>
        <v/>
      </c>
      <c r="D444" s="6" t="str">
        <f t="shared" si="517"/>
        <v/>
      </c>
      <c r="E444" s="10" t="str">
        <f>IF(ISBLANK(A440),"",E443+1)</f>
        <v/>
      </c>
      <c r="F444" s="11" t="str">
        <f t="shared" si="515"/>
        <v/>
      </c>
      <c r="G444" s="8"/>
    </row>
    <row r="445">
      <c r="A445" s="12" t="str">
        <f t="shared" si="513"/>
        <v/>
      </c>
      <c r="B445" s="12" t="str">
        <f>IF(ISBLANK(A440),"",LEFT(B444,27)&amp;VALUE(RIGHT(B444,1)+1))</f>
        <v/>
      </c>
      <c r="C445" s="13" t="str">
        <f t="shared" ref="C445:D445" si="518">C444</f>
        <v/>
      </c>
      <c r="D445" s="13" t="str">
        <f t="shared" si="518"/>
        <v/>
      </c>
      <c r="E445" s="14" t="str">
        <f>IF(ISBLANK(A440),"",E444+1)</f>
        <v/>
      </c>
      <c r="F445" s="15" t="str">
        <f t="shared" si="515"/>
        <v/>
      </c>
      <c r="G445" s="16"/>
    </row>
    <row r="446">
      <c r="A446" s="5"/>
      <c r="B446" s="6" t="str">
        <f t="array" ref="B446">IF(ISBLANK(A446),"",IF(A446="PROREP (L)",VLOOKUP(LEFT($A446,6),'Data Feed (35C)'!$A$1:$G$10,2,FALSE),IF(A446="PROREP (S)", INDEX('Data Feed (35C)'!B:B, MATCH(LEFT($A446,6), 'Data Feed (35C)'!$A$1:$A$10, 0) + 1), VLOOKUP($A446,'Data Feed (35C)'!$A$1:$G$10,2,FALSE))))</f>
        <v/>
      </c>
      <c r="C446" s="6" t="str">
        <f t="array" ref="C446">IF(ISBLANK(A446),"",IF(A446="PROREP (L)",VLOOKUP(LEFT($A446,6),'Data Feed (35C)'!$A$1:$G$10,3,FALSE),IF(A446="PROREP (S)", INDEX('Data Feed (35C)'!C:C, MATCH(LEFT($A446,6), 'Data Feed (35C)'!$A$1:$A$10, 0) + 1, +1), VLOOKUP($A446,'Data Feed (35C)'!$A$1:$G$10,3,FALSE))))</f>
        <v/>
      </c>
      <c r="D446" s="6" t="str">
        <f t="array" ref="D446">IF(ISBLANK(A446),"",IF(A446="PROREP (L)",VLOOKUP(LEFT($A446,6),'Data Feed (35C)'!$A$1:$G$10,4,FALSE),IF(A446="PROREP (S)", INDEX('Data Feed (35C)'!D:D, MATCH(LEFT($A446,6), 'Data Feed (35C)'!$A$1:$A$10, 0) + 1, +1), VLOOKUP($A446,'Data Feed (35C)'!$A$1:$G$10,4,FALSE))))</f>
        <v/>
      </c>
      <c r="E446" s="6" t="str">
        <f t="array" ref="E446">IF(ISBLANK(A446),"",IF(A446="PROREP (L)",VLOOKUP(LEFT($A446,6),'Data Feed (35C)'!$A$1:$G$10,7,FALSE),IF(A446="PROREP (S)", INDEX('Data Feed (35C)'!G:G, MATCH(LEFT($A446,6), 'Data Feed (35C)'!$A$1:$A$10, 0) + 1, +1), VLOOKUP($A446,'Data Feed (35C)'!$A$1:$G$10,7,FALSE))))</f>
        <v/>
      </c>
      <c r="F446" s="7"/>
      <c r="G446" s="8"/>
    </row>
    <row r="447">
      <c r="A447" s="9" t="str">
        <f t="shared" ref="A447:A451" si="520">A446</f>
        <v/>
      </c>
      <c r="B447" s="9" t="str">
        <f>IF(ISBLANK(A446),"",LEFT(B446,27)&amp;VALUE(RIGHT(B446,1)+1))</f>
        <v/>
      </c>
      <c r="C447" s="6" t="str">
        <f t="shared" ref="C447:D447" si="519">C446</f>
        <v/>
      </c>
      <c r="D447" s="6" t="str">
        <f t="shared" si="519"/>
        <v/>
      </c>
      <c r="E447" s="10" t="str">
        <f>IF(ISBLANK(A446),"",E446+1)</f>
        <v/>
      </c>
      <c r="F447" s="11" t="str">
        <f t="shared" ref="F447:F451" si="522">F446</f>
        <v/>
      </c>
      <c r="G447" s="8"/>
    </row>
    <row r="448">
      <c r="A448" s="9" t="str">
        <f t="shared" si="520"/>
        <v/>
      </c>
      <c r="B448" s="9" t="str">
        <f>IF(ISBLANK(A446),"",LEFT(B447,27)&amp;VALUE(RIGHT(B447,1)+1))</f>
        <v/>
      </c>
      <c r="C448" s="6" t="str">
        <f t="shared" ref="C448:D448" si="521">C447</f>
        <v/>
      </c>
      <c r="D448" s="6" t="str">
        <f t="shared" si="521"/>
        <v/>
      </c>
      <c r="E448" s="10" t="str">
        <f>IF(ISBLANK(A446),"",E447+1)</f>
        <v/>
      </c>
      <c r="F448" s="11" t="str">
        <f t="shared" si="522"/>
        <v/>
      </c>
      <c r="G448" s="8"/>
    </row>
    <row r="449">
      <c r="A449" s="9" t="str">
        <f t="shared" si="520"/>
        <v/>
      </c>
      <c r="B449" s="9" t="str">
        <f>IF(ISBLANK(A446),"",LEFT(B448,27)&amp;VALUE(RIGHT(B448,1)+1))</f>
        <v/>
      </c>
      <c r="C449" s="6" t="str">
        <f t="shared" ref="C449:D449" si="523">C448</f>
        <v/>
      </c>
      <c r="D449" s="6" t="str">
        <f t="shared" si="523"/>
        <v/>
      </c>
      <c r="E449" s="10" t="str">
        <f>IF(ISBLANK(A446),"",E448+1)</f>
        <v/>
      </c>
      <c r="F449" s="11" t="str">
        <f t="shared" si="522"/>
        <v/>
      </c>
      <c r="G449" s="8"/>
    </row>
    <row r="450">
      <c r="A450" s="9" t="str">
        <f t="shared" si="520"/>
        <v/>
      </c>
      <c r="B450" s="9" t="str">
        <f>IF(ISBLANK(A446),"",LEFT(B449,27)&amp;VALUE(RIGHT(B449,1)+1))</f>
        <v/>
      </c>
      <c r="C450" s="6" t="str">
        <f t="shared" ref="C450:D450" si="524">C449</f>
        <v/>
      </c>
      <c r="D450" s="6" t="str">
        <f t="shared" si="524"/>
        <v/>
      </c>
      <c r="E450" s="10" t="str">
        <f>IF(ISBLANK(A446),"",E449+1)</f>
        <v/>
      </c>
      <c r="F450" s="11" t="str">
        <f t="shared" si="522"/>
        <v/>
      </c>
      <c r="G450" s="8"/>
    </row>
    <row r="451">
      <c r="A451" s="12" t="str">
        <f t="shared" si="520"/>
        <v/>
      </c>
      <c r="B451" s="12" t="str">
        <f>IF(ISBLANK(A446),"",LEFT(B450,27)&amp;VALUE(RIGHT(B450,1)+1))</f>
        <v/>
      </c>
      <c r="C451" s="13" t="str">
        <f t="shared" ref="C451:D451" si="525">C450</f>
        <v/>
      </c>
      <c r="D451" s="13" t="str">
        <f t="shared" si="525"/>
        <v/>
      </c>
      <c r="E451" s="14" t="str">
        <f>IF(ISBLANK(A446),"",E450+1)</f>
        <v/>
      </c>
      <c r="F451" s="15" t="str">
        <f t="shared" si="522"/>
        <v/>
      </c>
      <c r="G451" s="16"/>
    </row>
    <row r="452">
      <c r="A452" s="5"/>
      <c r="B452" s="6" t="str">
        <f t="array" ref="B452">IF(ISBLANK(A452),"",IF(A452="PROREP (L)",VLOOKUP(LEFT($A452,6),'Data Feed (35C)'!$A$1:$G$10,2,FALSE),IF(A452="PROREP (S)", INDEX('Data Feed (35C)'!B:B, MATCH(LEFT($A452,6), 'Data Feed (35C)'!$A$1:$A$10, 0) + 1), VLOOKUP($A452,'Data Feed (35C)'!$A$1:$G$10,2,FALSE))))</f>
        <v/>
      </c>
      <c r="C452" s="6" t="str">
        <f t="array" ref="C452">IF(ISBLANK(A452),"",IF(A452="PROREP (L)",VLOOKUP(LEFT($A452,6),'Data Feed (35C)'!$A$1:$G$10,3,FALSE),IF(A452="PROREP (S)", INDEX('Data Feed (35C)'!C:C, MATCH(LEFT($A452,6), 'Data Feed (35C)'!$A$1:$A$10, 0) + 1, +1), VLOOKUP($A452,'Data Feed (35C)'!$A$1:$G$10,3,FALSE))))</f>
        <v/>
      </c>
      <c r="D452" s="6" t="str">
        <f t="array" ref="D452">IF(ISBLANK(A452),"",IF(A452="PROREP (L)",VLOOKUP(LEFT($A452,6),'Data Feed (35C)'!$A$1:$G$10,4,FALSE),IF(A452="PROREP (S)", INDEX('Data Feed (35C)'!D:D, MATCH(LEFT($A452,6), 'Data Feed (35C)'!$A$1:$A$10, 0) + 1, +1), VLOOKUP($A452,'Data Feed (35C)'!$A$1:$G$10,4,FALSE))))</f>
        <v/>
      </c>
      <c r="E452" s="6" t="str">
        <f t="array" ref="E452">IF(ISBLANK(A452),"",IF(A452="PROREP (L)",VLOOKUP(LEFT($A452,6),'Data Feed (35C)'!$A$1:$G$10,7,FALSE),IF(A452="PROREP (S)", INDEX('Data Feed (35C)'!G:G, MATCH(LEFT($A452,6), 'Data Feed (35C)'!$A$1:$A$10, 0) + 1, +1), VLOOKUP($A452,'Data Feed (35C)'!$A$1:$G$10,7,FALSE))))</f>
        <v/>
      </c>
      <c r="F452" s="7"/>
      <c r="G452" s="8"/>
    </row>
    <row r="453">
      <c r="A453" s="9" t="str">
        <f t="shared" ref="A453:A457" si="527">A452</f>
        <v/>
      </c>
      <c r="B453" s="9" t="str">
        <f>IF(ISBLANK(A452),"",LEFT(B452,27)&amp;VALUE(RIGHT(B452,1)+1))</f>
        <v/>
      </c>
      <c r="C453" s="6" t="str">
        <f t="shared" ref="C453:D453" si="526">C452</f>
        <v/>
      </c>
      <c r="D453" s="6" t="str">
        <f t="shared" si="526"/>
        <v/>
      </c>
      <c r="E453" s="10" t="str">
        <f>IF(ISBLANK(A452),"",E452+1)</f>
        <v/>
      </c>
      <c r="F453" s="11" t="str">
        <f t="shared" ref="F453:F457" si="529">F452</f>
        <v/>
      </c>
      <c r="G453" s="8"/>
    </row>
    <row r="454">
      <c r="A454" s="9" t="str">
        <f t="shared" si="527"/>
        <v/>
      </c>
      <c r="B454" s="9" t="str">
        <f>IF(ISBLANK(A452),"",LEFT(B453,27)&amp;VALUE(RIGHT(B453,1)+1))</f>
        <v/>
      </c>
      <c r="C454" s="6" t="str">
        <f t="shared" ref="C454:D454" si="528">C453</f>
        <v/>
      </c>
      <c r="D454" s="6" t="str">
        <f t="shared" si="528"/>
        <v/>
      </c>
      <c r="E454" s="10" t="str">
        <f>IF(ISBLANK(A452),"",E453+1)</f>
        <v/>
      </c>
      <c r="F454" s="11" t="str">
        <f t="shared" si="529"/>
        <v/>
      </c>
      <c r="G454" s="8"/>
    </row>
    <row r="455">
      <c r="A455" s="9" t="str">
        <f t="shared" si="527"/>
        <v/>
      </c>
      <c r="B455" s="9" t="str">
        <f>IF(ISBLANK(A452),"",LEFT(B454,27)&amp;VALUE(RIGHT(B454,1)+1))</f>
        <v/>
      </c>
      <c r="C455" s="6" t="str">
        <f t="shared" ref="C455:D455" si="530">C454</f>
        <v/>
      </c>
      <c r="D455" s="6" t="str">
        <f t="shared" si="530"/>
        <v/>
      </c>
      <c r="E455" s="10" t="str">
        <f>IF(ISBLANK(A452),"",E454+1)</f>
        <v/>
      </c>
      <c r="F455" s="11" t="str">
        <f t="shared" si="529"/>
        <v/>
      </c>
      <c r="G455" s="8"/>
    </row>
    <row r="456">
      <c r="A456" s="9" t="str">
        <f t="shared" si="527"/>
        <v/>
      </c>
      <c r="B456" s="9" t="str">
        <f>IF(ISBLANK(A452),"",LEFT(B455,27)&amp;VALUE(RIGHT(B455,1)+1))</f>
        <v/>
      </c>
      <c r="C456" s="6" t="str">
        <f t="shared" ref="C456:D456" si="531">C455</f>
        <v/>
      </c>
      <c r="D456" s="6" t="str">
        <f t="shared" si="531"/>
        <v/>
      </c>
      <c r="E456" s="10" t="str">
        <f>IF(ISBLANK(A452),"",E455+1)</f>
        <v/>
      </c>
      <c r="F456" s="11" t="str">
        <f t="shared" si="529"/>
        <v/>
      </c>
      <c r="G456" s="8"/>
    </row>
    <row r="457">
      <c r="A457" s="12" t="str">
        <f t="shared" si="527"/>
        <v/>
      </c>
      <c r="B457" s="12" t="str">
        <f>IF(ISBLANK(A452),"",LEFT(B456,27)&amp;VALUE(RIGHT(B456,1)+1))</f>
        <v/>
      </c>
      <c r="C457" s="13" t="str">
        <f t="shared" ref="C457:D457" si="532">C456</f>
        <v/>
      </c>
      <c r="D457" s="13" t="str">
        <f t="shared" si="532"/>
        <v/>
      </c>
      <c r="E457" s="14" t="str">
        <f>IF(ISBLANK(A452),"",E456+1)</f>
        <v/>
      </c>
      <c r="F457" s="15" t="str">
        <f t="shared" si="529"/>
        <v/>
      </c>
      <c r="G457" s="16"/>
    </row>
    <row r="458">
      <c r="A458" s="5"/>
      <c r="B458" s="6" t="str">
        <f t="array" ref="B458">IF(ISBLANK(A458),"",IF(A458="PROREP (L)",VLOOKUP(LEFT($A458,6),'Data Feed (35C)'!$A$1:$G$10,2,FALSE),IF(A458="PROREP (S)", INDEX('Data Feed (35C)'!B:B, MATCH(LEFT($A458,6), 'Data Feed (35C)'!$A$1:$A$10, 0) + 1), VLOOKUP($A458,'Data Feed (35C)'!$A$1:$G$10,2,FALSE))))</f>
        <v/>
      </c>
      <c r="C458" s="6" t="str">
        <f t="array" ref="C458">IF(ISBLANK(A458),"",IF(A458="PROREP (L)",VLOOKUP(LEFT($A458,6),'Data Feed (35C)'!$A$1:$G$10,3,FALSE),IF(A458="PROREP (S)", INDEX('Data Feed (35C)'!C:C, MATCH(LEFT($A458,6), 'Data Feed (35C)'!$A$1:$A$10, 0) + 1, +1), VLOOKUP($A458,'Data Feed (35C)'!$A$1:$G$10,3,FALSE))))</f>
        <v/>
      </c>
      <c r="D458" s="6" t="str">
        <f t="array" ref="D458">IF(ISBLANK(A458),"",IF(A458="PROREP (L)",VLOOKUP(LEFT($A458,6),'Data Feed (35C)'!$A$1:$G$10,4,FALSE),IF(A458="PROREP (S)", INDEX('Data Feed (35C)'!D:D, MATCH(LEFT($A458,6), 'Data Feed (35C)'!$A$1:$A$10, 0) + 1, +1), VLOOKUP($A458,'Data Feed (35C)'!$A$1:$G$10,4,FALSE))))</f>
        <v/>
      </c>
      <c r="E458" s="6" t="str">
        <f t="array" ref="E458">IF(ISBLANK(A458),"",IF(A458="PROREP (L)",VLOOKUP(LEFT($A458,6),'Data Feed (35C)'!$A$1:$G$10,7,FALSE),IF(A458="PROREP (S)", INDEX('Data Feed (35C)'!G:G, MATCH(LEFT($A458,6), 'Data Feed (35C)'!$A$1:$A$10, 0) + 1, +1), VLOOKUP($A458,'Data Feed (35C)'!$A$1:$G$10,7,FALSE))))</f>
        <v/>
      </c>
      <c r="F458" s="7"/>
      <c r="G458" s="8"/>
    </row>
    <row r="459">
      <c r="A459" s="9" t="str">
        <f t="shared" ref="A459:A463" si="534">A458</f>
        <v/>
      </c>
      <c r="B459" s="9" t="str">
        <f>IF(ISBLANK(A458),"",LEFT(B458,27)&amp;VALUE(RIGHT(B458,1)+1))</f>
        <v/>
      </c>
      <c r="C459" s="6" t="str">
        <f t="shared" ref="C459:D459" si="533">C458</f>
        <v/>
      </c>
      <c r="D459" s="6" t="str">
        <f t="shared" si="533"/>
        <v/>
      </c>
      <c r="E459" s="10" t="str">
        <f>IF(ISBLANK(A458),"",E458+1)</f>
        <v/>
      </c>
      <c r="F459" s="11" t="str">
        <f t="shared" ref="F459:F463" si="536">F458</f>
        <v/>
      </c>
      <c r="G459" s="8"/>
    </row>
    <row r="460">
      <c r="A460" s="9" t="str">
        <f t="shared" si="534"/>
        <v/>
      </c>
      <c r="B460" s="9" t="str">
        <f>IF(ISBLANK(A458),"",LEFT(B459,27)&amp;VALUE(RIGHT(B459,1)+1))</f>
        <v/>
      </c>
      <c r="C460" s="6" t="str">
        <f t="shared" ref="C460:D460" si="535">C459</f>
        <v/>
      </c>
      <c r="D460" s="6" t="str">
        <f t="shared" si="535"/>
        <v/>
      </c>
      <c r="E460" s="10" t="str">
        <f>IF(ISBLANK(A458),"",E459+1)</f>
        <v/>
      </c>
      <c r="F460" s="11" t="str">
        <f t="shared" si="536"/>
        <v/>
      </c>
      <c r="G460" s="8"/>
    </row>
    <row r="461">
      <c r="A461" s="9" t="str">
        <f t="shared" si="534"/>
        <v/>
      </c>
      <c r="B461" s="9" t="str">
        <f>IF(ISBLANK(A458),"",LEFT(B460,27)&amp;VALUE(RIGHT(B460,1)+1))</f>
        <v/>
      </c>
      <c r="C461" s="6" t="str">
        <f t="shared" ref="C461:D461" si="537">C460</f>
        <v/>
      </c>
      <c r="D461" s="6" t="str">
        <f t="shared" si="537"/>
        <v/>
      </c>
      <c r="E461" s="10" t="str">
        <f>IF(ISBLANK(A458),"",E460+1)</f>
        <v/>
      </c>
      <c r="F461" s="11" t="str">
        <f t="shared" si="536"/>
        <v/>
      </c>
      <c r="G461" s="8"/>
    </row>
    <row r="462">
      <c r="A462" s="9" t="str">
        <f t="shared" si="534"/>
        <v/>
      </c>
      <c r="B462" s="9" t="str">
        <f>IF(ISBLANK(A458),"",LEFT(B461,27)&amp;VALUE(RIGHT(B461,1)+1))</f>
        <v/>
      </c>
      <c r="C462" s="6" t="str">
        <f t="shared" ref="C462:D462" si="538">C461</f>
        <v/>
      </c>
      <c r="D462" s="6" t="str">
        <f t="shared" si="538"/>
        <v/>
      </c>
      <c r="E462" s="10" t="str">
        <f>IF(ISBLANK(A458),"",E461+1)</f>
        <v/>
      </c>
      <c r="F462" s="11" t="str">
        <f t="shared" si="536"/>
        <v/>
      </c>
      <c r="G462" s="8"/>
    </row>
    <row r="463">
      <c r="A463" s="12" t="str">
        <f t="shared" si="534"/>
        <v/>
      </c>
      <c r="B463" s="12" t="str">
        <f>IF(ISBLANK(A458),"",LEFT(B462,27)&amp;VALUE(RIGHT(B462,1)+1))</f>
        <v/>
      </c>
      <c r="C463" s="13" t="str">
        <f t="shared" ref="C463:D463" si="539">C462</f>
        <v/>
      </c>
      <c r="D463" s="13" t="str">
        <f t="shared" si="539"/>
        <v/>
      </c>
      <c r="E463" s="14" t="str">
        <f>IF(ISBLANK(A458),"",E462+1)</f>
        <v/>
      </c>
      <c r="F463" s="15" t="str">
        <f t="shared" si="536"/>
        <v/>
      </c>
      <c r="G463" s="16"/>
    </row>
    <row r="464">
      <c r="A464" s="5"/>
      <c r="B464" s="6" t="str">
        <f t="array" ref="B464">IF(ISBLANK(A464),"",IF(A464="PROREP (L)",VLOOKUP(LEFT($A464,6),'Data Feed (35C)'!$A$1:$G$10,2,FALSE),IF(A464="PROREP (S)", INDEX('Data Feed (35C)'!B:B, MATCH(LEFT($A464,6), 'Data Feed (35C)'!$A$1:$A$10, 0) + 1), VLOOKUP($A464,'Data Feed (35C)'!$A$1:$G$10,2,FALSE))))</f>
        <v/>
      </c>
      <c r="C464" s="6" t="str">
        <f t="array" ref="C464">IF(ISBLANK(A464),"",IF(A464="PROREP (L)",VLOOKUP(LEFT($A464,6),'Data Feed (35C)'!$A$1:$G$10,3,FALSE),IF(A464="PROREP (S)", INDEX('Data Feed (35C)'!C:C, MATCH(LEFT($A464,6), 'Data Feed (35C)'!$A$1:$A$10, 0) + 1, +1), VLOOKUP($A464,'Data Feed (35C)'!$A$1:$G$10,3,FALSE))))</f>
        <v/>
      </c>
      <c r="D464" s="6" t="str">
        <f t="array" ref="D464">IF(ISBLANK(A464),"",IF(A464="PROREP (L)",VLOOKUP(LEFT($A464,6),'Data Feed (35C)'!$A$1:$G$10,4,FALSE),IF(A464="PROREP (S)", INDEX('Data Feed (35C)'!D:D, MATCH(LEFT($A464,6), 'Data Feed (35C)'!$A$1:$A$10, 0) + 1, +1), VLOOKUP($A464,'Data Feed (35C)'!$A$1:$G$10,4,FALSE))))</f>
        <v/>
      </c>
      <c r="E464" s="6" t="str">
        <f t="array" ref="E464">IF(ISBLANK(A464),"",IF(A464="PROREP (L)",VLOOKUP(LEFT($A464,6),'Data Feed (35C)'!$A$1:$G$10,7,FALSE),IF(A464="PROREP (S)", INDEX('Data Feed (35C)'!G:G, MATCH(LEFT($A464,6), 'Data Feed (35C)'!$A$1:$A$10, 0) + 1, +1), VLOOKUP($A464,'Data Feed (35C)'!$A$1:$G$10,7,FALSE))))</f>
        <v/>
      </c>
      <c r="F464" s="7"/>
      <c r="G464" s="8"/>
    </row>
    <row r="465">
      <c r="A465" s="9" t="str">
        <f t="shared" ref="A465:A469" si="541">A464</f>
        <v/>
      </c>
      <c r="B465" s="9" t="str">
        <f>IF(ISBLANK(A464),"",LEFT(B464,27)&amp;VALUE(RIGHT(B464,1)+1))</f>
        <v/>
      </c>
      <c r="C465" s="6" t="str">
        <f t="shared" ref="C465:D465" si="540">C464</f>
        <v/>
      </c>
      <c r="D465" s="6" t="str">
        <f t="shared" si="540"/>
        <v/>
      </c>
      <c r="E465" s="10" t="str">
        <f>IF(ISBLANK(A464),"",E464+1)</f>
        <v/>
      </c>
      <c r="F465" s="11" t="str">
        <f t="shared" ref="F465:F469" si="543">F464</f>
        <v/>
      </c>
      <c r="G465" s="8"/>
    </row>
    <row r="466">
      <c r="A466" s="9" t="str">
        <f t="shared" si="541"/>
        <v/>
      </c>
      <c r="B466" s="9" t="str">
        <f>IF(ISBLANK(A464),"",LEFT(B465,27)&amp;VALUE(RIGHT(B465,1)+1))</f>
        <v/>
      </c>
      <c r="C466" s="6" t="str">
        <f t="shared" ref="C466:D466" si="542">C465</f>
        <v/>
      </c>
      <c r="D466" s="6" t="str">
        <f t="shared" si="542"/>
        <v/>
      </c>
      <c r="E466" s="10" t="str">
        <f>IF(ISBLANK(A464),"",E465+1)</f>
        <v/>
      </c>
      <c r="F466" s="11" t="str">
        <f t="shared" si="543"/>
        <v/>
      </c>
      <c r="G466" s="8"/>
    </row>
    <row r="467">
      <c r="A467" s="9" t="str">
        <f t="shared" si="541"/>
        <v/>
      </c>
      <c r="B467" s="9" t="str">
        <f>IF(ISBLANK(A464),"",LEFT(B466,27)&amp;VALUE(RIGHT(B466,1)+1))</f>
        <v/>
      </c>
      <c r="C467" s="6" t="str">
        <f t="shared" ref="C467:D467" si="544">C466</f>
        <v/>
      </c>
      <c r="D467" s="6" t="str">
        <f t="shared" si="544"/>
        <v/>
      </c>
      <c r="E467" s="10" t="str">
        <f>IF(ISBLANK(A464),"",E466+1)</f>
        <v/>
      </c>
      <c r="F467" s="11" t="str">
        <f t="shared" si="543"/>
        <v/>
      </c>
      <c r="G467" s="8"/>
    </row>
    <row r="468">
      <c r="A468" s="9" t="str">
        <f t="shared" si="541"/>
        <v/>
      </c>
      <c r="B468" s="9" t="str">
        <f>IF(ISBLANK(A464),"",LEFT(B467,27)&amp;VALUE(RIGHT(B467,1)+1))</f>
        <v/>
      </c>
      <c r="C468" s="6" t="str">
        <f t="shared" ref="C468:D468" si="545">C467</f>
        <v/>
      </c>
      <c r="D468" s="6" t="str">
        <f t="shared" si="545"/>
        <v/>
      </c>
      <c r="E468" s="10" t="str">
        <f>IF(ISBLANK(A464),"",E467+1)</f>
        <v/>
      </c>
      <c r="F468" s="11" t="str">
        <f t="shared" si="543"/>
        <v/>
      </c>
      <c r="G468" s="8"/>
    </row>
    <row r="469">
      <c r="A469" s="12" t="str">
        <f t="shared" si="541"/>
        <v/>
      </c>
      <c r="B469" s="12" t="str">
        <f>IF(ISBLANK(A464),"",LEFT(B468,27)&amp;VALUE(RIGHT(B468,1)+1))</f>
        <v/>
      </c>
      <c r="C469" s="13" t="str">
        <f t="shared" ref="C469:D469" si="546">C468</f>
        <v/>
      </c>
      <c r="D469" s="13" t="str">
        <f t="shared" si="546"/>
        <v/>
      </c>
      <c r="E469" s="14" t="str">
        <f>IF(ISBLANK(A464),"",E468+1)</f>
        <v/>
      </c>
      <c r="F469" s="15" t="str">
        <f t="shared" si="543"/>
        <v/>
      </c>
      <c r="G469" s="16"/>
    </row>
    <row r="470">
      <c r="A470" s="5"/>
      <c r="B470" s="6" t="str">
        <f t="array" ref="B470">IF(ISBLANK(A470),"",IF(A470="PROREP (L)",VLOOKUP(LEFT($A470,6),'Data Feed (35C)'!$A$1:$G$10,2,FALSE),IF(A470="PROREP (S)", INDEX('Data Feed (35C)'!B:B, MATCH(LEFT($A470,6), 'Data Feed (35C)'!$A$1:$A$10, 0) + 1), VLOOKUP($A470,'Data Feed (35C)'!$A$1:$G$10,2,FALSE))))</f>
        <v/>
      </c>
      <c r="C470" s="6" t="str">
        <f t="array" ref="C470">IF(ISBLANK(A470),"",IF(A470="PROREP (L)",VLOOKUP(LEFT($A470,6),'Data Feed (35C)'!$A$1:$G$10,3,FALSE),IF(A470="PROREP (S)", INDEX('Data Feed (35C)'!C:C, MATCH(LEFT($A470,6), 'Data Feed (35C)'!$A$1:$A$10, 0) + 1, +1), VLOOKUP($A470,'Data Feed (35C)'!$A$1:$G$10,3,FALSE))))</f>
        <v/>
      </c>
      <c r="D470" s="6" t="str">
        <f t="array" ref="D470">IF(ISBLANK(A470),"",IF(A470="PROREP (L)",VLOOKUP(LEFT($A470,6),'Data Feed (35C)'!$A$1:$G$10,4,FALSE),IF(A470="PROREP (S)", INDEX('Data Feed (35C)'!D:D, MATCH(LEFT($A470,6), 'Data Feed (35C)'!$A$1:$A$10, 0) + 1, +1), VLOOKUP($A470,'Data Feed (35C)'!$A$1:$G$10,4,FALSE))))</f>
        <v/>
      </c>
      <c r="E470" s="6" t="str">
        <f t="array" ref="E470">IF(ISBLANK(A470),"",IF(A470="PROREP (L)",VLOOKUP(LEFT($A470,6),'Data Feed (35C)'!$A$1:$G$10,7,FALSE),IF(A470="PROREP (S)", INDEX('Data Feed (35C)'!G:G, MATCH(LEFT($A470,6), 'Data Feed (35C)'!$A$1:$A$10, 0) + 1, +1), VLOOKUP($A470,'Data Feed (35C)'!$A$1:$G$10,7,FALSE))))</f>
        <v/>
      </c>
      <c r="F470" s="7"/>
      <c r="G470" s="8"/>
    </row>
    <row r="471">
      <c r="A471" s="9" t="str">
        <f t="shared" ref="A471:A475" si="548">A470</f>
        <v/>
      </c>
      <c r="B471" s="9" t="str">
        <f>IF(ISBLANK(A470),"",LEFT(B470,27)&amp;VALUE(RIGHT(B470,1)+1))</f>
        <v/>
      </c>
      <c r="C471" s="6" t="str">
        <f t="shared" ref="C471:D471" si="547">C470</f>
        <v/>
      </c>
      <c r="D471" s="6" t="str">
        <f t="shared" si="547"/>
        <v/>
      </c>
      <c r="E471" s="10" t="str">
        <f>IF(ISBLANK(A470),"",E470+1)</f>
        <v/>
      </c>
      <c r="F471" s="11" t="str">
        <f t="shared" ref="F471:F475" si="550">F470</f>
        <v/>
      </c>
      <c r="G471" s="8"/>
    </row>
    <row r="472">
      <c r="A472" s="9" t="str">
        <f t="shared" si="548"/>
        <v/>
      </c>
      <c r="B472" s="9" t="str">
        <f>IF(ISBLANK(A470),"",LEFT(B471,27)&amp;VALUE(RIGHT(B471,1)+1))</f>
        <v/>
      </c>
      <c r="C472" s="6" t="str">
        <f t="shared" ref="C472:D472" si="549">C471</f>
        <v/>
      </c>
      <c r="D472" s="6" t="str">
        <f t="shared" si="549"/>
        <v/>
      </c>
      <c r="E472" s="10" t="str">
        <f>IF(ISBLANK(A470),"",E471+1)</f>
        <v/>
      </c>
      <c r="F472" s="11" t="str">
        <f t="shared" si="550"/>
        <v/>
      </c>
      <c r="G472" s="8"/>
    </row>
    <row r="473">
      <c r="A473" s="9" t="str">
        <f t="shared" si="548"/>
        <v/>
      </c>
      <c r="B473" s="9" t="str">
        <f>IF(ISBLANK(A470),"",LEFT(B472,27)&amp;VALUE(RIGHT(B472,1)+1))</f>
        <v/>
      </c>
      <c r="C473" s="6" t="str">
        <f t="shared" ref="C473:D473" si="551">C472</f>
        <v/>
      </c>
      <c r="D473" s="6" t="str">
        <f t="shared" si="551"/>
        <v/>
      </c>
      <c r="E473" s="10" t="str">
        <f>IF(ISBLANK(A470),"",E472+1)</f>
        <v/>
      </c>
      <c r="F473" s="11" t="str">
        <f t="shared" si="550"/>
        <v/>
      </c>
      <c r="G473" s="8"/>
    </row>
    <row r="474">
      <c r="A474" s="9" t="str">
        <f t="shared" si="548"/>
        <v/>
      </c>
      <c r="B474" s="9" t="str">
        <f>IF(ISBLANK(A470),"",LEFT(B473,27)&amp;VALUE(RIGHT(B473,1)+1))</f>
        <v/>
      </c>
      <c r="C474" s="6" t="str">
        <f t="shared" ref="C474:D474" si="552">C473</f>
        <v/>
      </c>
      <c r="D474" s="6" t="str">
        <f t="shared" si="552"/>
        <v/>
      </c>
      <c r="E474" s="10" t="str">
        <f>IF(ISBLANK(A470),"",E473+1)</f>
        <v/>
      </c>
      <c r="F474" s="11" t="str">
        <f t="shared" si="550"/>
        <v/>
      </c>
      <c r="G474" s="8"/>
    </row>
    <row r="475">
      <c r="A475" s="12" t="str">
        <f t="shared" si="548"/>
        <v/>
      </c>
      <c r="B475" s="12" t="str">
        <f>IF(ISBLANK(A470),"",LEFT(B474,27)&amp;VALUE(RIGHT(B474,1)+1))</f>
        <v/>
      </c>
      <c r="C475" s="13" t="str">
        <f t="shared" ref="C475:D475" si="553">C474</f>
        <v/>
      </c>
      <c r="D475" s="13" t="str">
        <f t="shared" si="553"/>
        <v/>
      </c>
      <c r="E475" s="14" t="str">
        <f>IF(ISBLANK(A470),"",E474+1)</f>
        <v/>
      </c>
      <c r="F475" s="15" t="str">
        <f t="shared" si="550"/>
        <v/>
      </c>
      <c r="G475" s="16"/>
    </row>
    <row r="476">
      <c r="A476" s="5"/>
      <c r="B476" s="6" t="str">
        <f t="array" ref="B476">IF(ISBLANK(A476),"",IF(A476="PROREP (L)",VLOOKUP(LEFT($A476,6),'Data Feed (35C)'!$A$1:$G$10,2,FALSE),IF(A476="PROREP (S)", INDEX('Data Feed (35C)'!B:B, MATCH(LEFT($A476,6), 'Data Feed (35C)'!$A$1:$A$10, 0) + 1), VLOOKUP($A476,'Data Feed (35C)'!$A$1:$G$10,2,FALSE))))</f>
        <v/>
      </c>
      <c r="C476" s="6" t="str">
        <f t="array" ref="C476">IF(ISBLANK(A476),"",IF(A476="PROREP (L)",VLOOKUP(LEFT($A476,6),'Data Feed (35C)'!$A$1:$G$10,3,FALSE),IF(A476="PROREP (S)", INDEX('Data Feed (35C)'!C:C, MATCH(LEFT($A476,6), 'Data Feed (35C)'!$A$1:$A$10, 0) + 1, +1), VLOOKUP($A476,'Data Feed (35C)'!$A$1:$G$10,3,FALSE))))</f>
        <v/>
      </c>
      <c r="D476" s="6" t="str">
        <f t="array" ref="D476">IF(ISBLANK(A476),"",IF(A476="PROREP (L)",VLOOKUP(LEFT($A476,6),'Data Feed (35C)'!$A$1:$G$10,4,FALSE),IF(A476="PROREP (S)", INDEX('Data Feed (35C)'!D:D, MATCH(LEFT($A476,6), 'Data Feed (35C)'!$A$1:$A$10, 0) + 1, +1), VLOOKUP($A476,'Data Feed (35C)'!$A$1:$G$10,4,FALSE))))</f>
        <v/>
      </c>
      <c r="E476" s="6" t="str">
        <f t="array" ref="E476">IF(ISBLANK(A476),"",IF(A476="PROREP (L)",VLOOKUP(LEFT($A476,6),'Data Feed (35C)'!$A$1:$G$10,7,FALSE),IF(A476="PROREP (S)", INDEX('Data Feed (35C)'!G:G, MATCH(LEFT($A476,6), 'Data Feed (35C)'!$A$1:$A$10, 0) + 1, +1), VLOOKUP($A476,'Data Feed (35C)'!$A$1:$G$10,7,FALSE))))</f>
        <v/>
      </c>
      <c r="F476" s="7"/>
      <c r="G476" s="8"/>
    </row>
    <row r="477">
      <c r="A477" s="9" t="str">
        <f t="shared" ref="A477:A481" si="555">A476</f>
        <v/>
      </c>
      <c r="B477" s="9" t="str">
        <f>IF(ISBLANK(A476),"",LEFT(B476,27)&amp;VALUE(RIGHT(B476,1)+1))</f>
        <v/>
      </c>
      <c r="C477" s="6" t="str">
        <f t="shared" ref="C477:D477" si="554">C476</f>
        <v/>
      </c>
      <c r="D477" s="6" t="str">
        <f t="shared" si="554"/>
        <v/>
      </c>
      <c r="E477" s="10" t="str">
        <f>IF(ISBLANK(A476),"",E476+1)</f>
        <v/>
      </c>
      <c r="F477" s="11" t="str">
        <f t="shared" ref="F477:F481" si="557">F476</f>
        <v/>
      </c>
      <c r="G477" s="8"/>
    </row>
    <row r="478">
      <c r="A478" s="9" t="str">
        <f t="shared" si="555"/>
        <v/>
      </c>
      <c r="B478" s="9" t="str">
        <f>IF(ISBLANK(A476),"",LEFT(B477,27)&amp;VALUE(RIGHT(B477,1)+1))</f>
        <v/>
      </c>
      <c r="C478" s="6" t="str">
        <f t="shared" ref="C478:D478" si="556">C477</f>
        <v/>
      </c>
      <c r="D478" s="6" t="str">
        <f t="shared" si="556"/>
        <v/>
      </c>
      <c r="E478" s="10" t="str">
        <f>IF(ISBLANK(A476),"",E477+1)</f>
        <v/>
      </c>
      <c r="F478" s="11" t="str">
        <f t="shared" si="557"/>
        <v/>
      </c>
      <c r="G478" s="8"/>
    </row>
    <row r="479">
      <c r="A479" s="9" t="str">
        <f t="shared" si="555"/>
        <v/>
      </c>
      <c r="B479" s="9" t="str">
        <f>IF(ISBLANK(A476),"",LEFT(B478,27)&amp;VALUE(RIGHT(B478,1)+1))</f>
        <v/>
      </c>
      <c r="C479" s="6" t="str">
        <f t="shared" ref="C479:D479" si="558">C478</f>
        <v/>
      </c>
      <c r="D479" s="6" t="str">
        <f t="shared" si="558"/>
        <v/>
      </c>
      <c r="E479" s="10" t="str">
        <f>IF(ISBLANK(A476),"",E478+1)</f>
        <v/>
      </c>
      <c r="F479" s="11" t="str">
        <f t="shared" si="557"/>
        <v/>
      </c>
      <c r="G479" s="8"/>
    </row>
    <row r="480">
      <c r="A480" s="9" t="str">
        <f t="shared" si="555"/>
        <v/>
      </c>
      <c r="B480" s="9" t="str">
        <f>IF(ISBLANK(A476),"",LEFT(B479,27)&amp;VALUE(RIGHT(B479,1)+1))</f>
        <v/>
      </c>
      <c r="C480" s="6" t="str">
        <f t="shared" ref="C480:D480" si="559">C479</f>
        <v/>
      </c>
      <c r="D480" s="6" t="str">
        <f t="shared" si="559"/>
        <v/>
      </c>
      <c r="E480" s="10" t="str">
        <f>IF(ISBLANK(A476),"",E479+1)</f>
        <v/>
      </c>
      <c r="F480" s="11" t="str">
        <f t="shared" si="557"/>
        <v/>
      </c>
      <c r="G480" s="8"/>
    </row>
    <row r="481">
      <c r="A481" s="12" t="str">
        <f t="shared" si="555"/>
        <v/>
      </c>
      <c r="B481" s="12" t="str">
        <f>IF(ISBLANK(A476),"",LEFT(B480,27)&amp;VALUE(RIGHT(B480,1)+1))</f>
        <v/>
      </c>
      <c r="C481" s="13" t="str">
        <f t="shared" ref="C481:D481" si="560">C480</f>
        <v/>
      </c>
      <c r="D481" s="13" t="str">
        <f t="shared" si="560"/>
        <v/>
      </c>
      <c r="E481" s="14" t="str">
        <f>IF(ISBLANK(A476),"",E480+1)</f>
        <v/>
      </c>
      <c r="F481" s="15" t="str">
        <f t="shared" si="557"/>
        <v/>
      </c>
      <c r="G481" s="16"/>
    </row>
    <row r="482">
      <c r="A482" s="5"/>
      <c r="B482" s="6" t="str">
        <f t="array" ref="B482">IF(ISBLANK(A482),"",IF(A482="PROREP (L)",VLOOKUP(LEFT($A482,6),'Data Feed (35C)'!$A$1:$G$10,2,FALSE),IF(A482="PROREP (S)", INDEX('Data Feed (35C)'!B:B, MATCH(LEFT($A482,6), 'Data Feed (35C)'!$A$1:$A$10, 0) + 1), VLOOKUP($A482,'Data Feed (35C)'!$A$1:$G$10,2,FALSE))))</f>
        <v/>
      </c>
      <c r="C482" s="6" t="str">
        <f t="array" ref="C482">IF(ISBLANK(A482),"",IF(A482="PROREP (L)",VLOOKUP(LEFT($A482,6),'Data Feed (35C)'!$A$1:$G$10,3,FALSE),IF(A482="PROREP (S)", INDEX('Data Feed (35C)'!C:C, MATCH(LEFT($A482,6), 'Data Feed (35C)'!$A$1:$A$10, 0) + 1, +1), VLOOKUP($A482,'Data Feed (35C)'!$A$1:$G$10,3,FALSE))))</f>
        <v/>
      </c>
      <c r="D482" s="6" t="str">
        <f t="array" ref="D482">IF(ISBLANK(A482),"",IF(A482="PROREP (L)",VLOOKUP(LEFT($A482,6),'Data Feed (35C)'!$A$1:$G$10,4,FALSE),IF(A482="PROREP (S)", INDEX('Data Feed (35C)'!D:D, MATCH(LEFT($A482,6), 'Data Feed (35C)'!$A$1:$A$10, 0) + 1, +1), VLOOKUP($A482,'Data Feed (35C)'!$A$1:$G$10,4,FALSE))))</f>
        <v/>
      </c>
      <c r="E482" s="6" t="str">
        <f t="array" ref="E482">IF(ISBLANK(A482),"",IF(A482="PROREP (L)",VLOOKUP(LEFT($A482,6),'Data Feed (35C)'!$A$1:$G$10,7,FALSE),IF(A482="PROREP (S)", INDEX('Data Feed (35C)'!G:G, MATCH(LEFT($A482,6), 'Data Feed (35C)'!$A$1:$A$10, 0) + 1, +1), VLOOKUP($A482,'Data Feed (35C)'!$A$1:$G$10,7,FALSE))))</f>
        <v/>
      </c>
      <c r="F482" s="7"/>
      <c r="G482" s="8"/>
    </row>
    <row r="483">
      <c r="A483" s="9" t="str">
        <f t="shared" ref="A483:A487" si="562">A482</f>
        <v/>
      </c>
      <c r="B483" s="9" t="str">
        <f>IF(ISBLANK(A482),"",LEFT(B482,27)&amp;VALUE(RIGHT(B482,1)+1))</f>
        <v/>
      </c>
      <c r="C483" s="6" t="str">
        <f t="shared" ref="C483:D483" si="561">C482</f>
        <v/>
      </c>
      <c r="D483" s="6" t="str">
        <f t="shared" si="561"/>
        <v/>
      </c>
      <c r="E483" s="10" t="str">
        <f>IF(ISBLANK(A482),"",E482+1)</f>
        <v/>
      </c>
      <c r="F483" s="11" t="str">
        <f t="shared" ref="F483:F487" si="564">F482</f>
        <v/>
      </c>
      <c r="G483" s="8"/>
    </row>
    <row r="484">
      <c r="A484" s="9" t="str">
        <f t="shared" si="562"/>
        <v/>
      </c>
      <c r="B484" s="9" t="str">
        <f>IF(ISBLANK(A482),"",LEFT(B483,27)&amp;VALUE(RIGHT(B483,1)+1))</f>
        <v/>
      </c>
      <c r="C484" s="6" t="str">
        <f t="shared" ref="C484:D484" si="563">C483</f>
        <v/>
      </c>
      <c r="D484" s="6" t="str">
        <f t="shared" si="563"/>
        <v/>
      </c>
      <c r="E484" s="10" t="str">
        <f>IF(ISBLANK(A482),"",E483+1)</f>
        <v/>
      </c>
      <c r="F484" s="11" t="str">
        <f t="shared" si="564"/>
        <v/>
      </c>
      <c r="G484" s="8"/>
    </row>
    <row r="485">
      <c r="A485" s="9" t="str">
        <f t="shared" si="562"/>
        <v/>
      </c>
      <c r="B485" s="9" t="str">
        <f>IF(ISBLANK(A482),"",LEFT(B484,27)&amp;VALUE(RIGHT(B484,1)+1))</f>
        <v/>
      </c>
      <c r="C485" s="6" t="str">
        <f t="shared" ref="C485:D485" si="565">C484</f>
        <v/>
      </c>
      <c r="D485" s="6" t="str">
        <f t="shared" si="565"/>
        <v/>
      </c>
      <c r="E485" s="10" t="str">
        <f>IF(ISBLANK(A482),"",E484+1)</f>
        <v/>
      </c>
      <c r="F485" s="11" t="str">
        <f t="shared" si="564"/>
        <v/>
      </c>
      <c r="G485" s="8"/>
    </row>
    <row r="486">
      <c r="A486" s="9" t="str">
        <f t="shared" si="562"/>
        <v/>
      </c>
      <c r="B486" s="9" t="str">
        <f>IF(ISBLANK(A482),"",LEFT(B485,27)&amp;VALUE(RIGHT(B485,1)+1))</f>
        <v/>
      </c>
      <c r="C486" s="6" t="str">
        <f t="shared" ref="C486:D486" si="566">C485</f>
        <v/>
      </c>
      <c r="D486" s="6" t="str">
        <f t="shared" si="566"/>
        <v/>
      </c>
      <c r="E486" s="10" t="str">
        <f>IF(ISBLANK(A482),"",E485+1)</f>
        <v/>
      </c>
      <c r="F486" s="11" t="str">
        <f t="shared" si="564"/>
        <v/>
      </c>
      <c r="G486" s="8"/>
    </row>
    <row r="487">
      <c r="A487" s="12" t="str">
        <f t="shared" si="562"/>
        <v/>
      </c>
      <c r="B487" s="12" t="str">
        <f>IF(ISBLANK(A482),"",LEFT(B486,27)&amp;VALUE(RIGHT(B486,1)+1))</f>
        <v/>
      </c>
      <c r="C487" s="13" t="str">
        <f t="shared" ref="C487:D487" si="567">C486</f>
        <v/>
      </c>
      <c r="D487" s="13" t="str">
        <f t="shared" si="567"/>
        <v/>
      </c>
      <c r="E487" s="14" t="str">
        <f>IF(ISBLANK(A482),"",E486+1)</f>
        <v/>
      </c>
      <c r="F487" s="15" t="str">
        <f t="shared" si="564"/>
        <v/>
      </c>
      <c r="G487" s="16"/>
    </row>
    <row r="488">
      <c r="A488" s="5"/>
      <c r="B488" s="6" t="str">
        <f t="array" ref="B488">IF(ISBLANK(A488),"",IF(A488="PROREP (L)",VLOOKUP(LEFT($A488,6),'Data Feed (35C)'!$A$1:$G$10,2,FALSE),IF(A488="PROREP (S)", INDEX('Data Feed (35C)'!B:B, MATCH(LEFT($A488,6), 'Data Feed (35C)'!$A$1:$A$10, 0) + 1), VLOOKUP($A488,'Data Feed (35C)'!$A$1:$G$10,2,FALSE))))</f>
        <v/>
      </c>
      <c r="C488" s="6" t="str">
        <f t="array" ref="C488">IF(ISBLANK(A488),"",IF(A488="PROREP (L)",VLOOKUP(LEFT($A488,6),'Data Feed (35C)'!$A$1:$G$10,3,FALSE),IF(A488="PROREP (S)", INDEX('Data Feed (35C)'!C:C, MATCH(LEFT($A488,6), 'Data Feed (35C)'!$A$1:$A$10, 0) + 1, +1), VLOOKUP($A488,'Data Feed (35C)'!$A$1:$G$10,3,FALSE))))</f>
        <v/>
      </c>
      <c r="D488" s="6" t="str">
        <f t="array" ref="D488">IF(ISBLANK(A488),"",IF(A488="PROREP (L)",VLOOKUP(LEFT($A488,6),'Data Feed (35C)'!$A$1:$G$10,4,FALSE),IF(A488="PROREP (S)", INDEX('Data Feed (35C)'!D:D, MATCH(LEFT($A488,6), 'Data Feed (35C)'!$A$1:$A$10, 0) + 1, +1), VLOOKUP($A488,'Data Feed (35C)'!$A$1:$G$10,4,FALSE))))</f>
        <v/>
      </c>
      <c r="E488" s="6" t="str">
        <f t="array" ref="E488">IF(ISBLANK(A488),"",IF(A488="PROREP (L)",VLOOKUP(LEFT($A488,6),'Data Feed (35C)'!$A$1:$G$10,7,FALSE),IF(A488="PROREP (S)", INDEX('Data Feed (35C)'!G:G, MATCH(LEFT($A488,6), 'Data Feed (35C)'!$A$1:$A$10, 0) + 1, +1), VLOOKUP($A488,'Data Feed (35C)'!$A$1:$G$10,7,FALSE))))</f>
        <v/>
      </c>
      <c r="F488" s="7"/>
      <c r="G488" s="8"/>
    </row>
    <row r="489">
      <c r="A489" s="9" t="str">
        <f t="shared" ref="A489:A493" si="569">A488</f>
        <v/>
      </c>
      <c r="B489" s="9" t="str">
        <f>IF(ISBLANK(A488),"",LEFT(B488,27)&amp;VALUE(RIGHT(B488,1)+1))</f>
        <v/>
      </c>
      <c r="C489" s="6" t="str">
        <f t="shared" ref="C489:D489" si="568">C488</f>
        <v/>
      </c>
      <c r="D489" s="6" t="str">
        <f t="shared" si="568"/>
        <v/>
      </c>
      <c r="E489" s="10" t="str">
        <f>IF(ISBLANK(A488),"",E488+1)</f>
        <v/>
      </c>
      <c r="F489" s="11" t="str">
        <f t="shared" ref="F489:F493" si="571">F488</f>
        <v/>
      </c>
      <c r="G489" s="8"/>
    </row>
    <row r="490">
      <c r="A490" s="9" t="str">
        <f t="shared" si="569"/>
        <v/>
      </c>
      <c r="B490" s="9" t="str">
        <f>IF(ISBLANK(A488),"",LEFT(B489,27)&amp;VALUE(RIGHT(B489,1)+1))</f>
        <v/>
      </c>
      <c r="C490" s="6" t="str">
        <f t="shared" ref="C490:D490" si="570">C489</f>
        <v/>
      </c>
      <c r="D490" s="6" t="str">
        <f t="shared" si="570"/>
        <v/>
      </c>
      <c r="E490" s="10" t="str">
        <f>IF(ISBLANK(A488),"",E489+1)</f>
        <v/>
      </c>
      <c r="F490" s="11" t="str">
        <f t="shared" si="571"/>
        <v/>
      </c>
      <c r="G490" s="8"/>
    </row>
    <row r="491">
      <c r="A491" s="9" t="str">
        <f t="shared" si="569"/>
        <v/>
      </c>
      <c r="B491" s="9" t="str">
        <f>IF(ISBLANK(A488),"",LEFT(B490,27)&amp;VALUE(RIGHT(B490,1)+1))</f>
        <v/>
      </c>
      <c r="C491" s="6" t="str">
        <f t="shared" ref="C491:D491" si="572">C490</f>
        <v/>
      </c>
      <c r="D491" s="6" t="str">
        <f t="shared" si="572"/>
        <v/>
      </c>
      <c r="E491" s="10" t="str">
        <f>IF(ISBLANK(A488),"",E490+1)</f>
        <v/>
      </c>
      <c r="F491" s="11" t="str">
        <f t="shared" si="571"/>
        <v/>
      </c>
      <c r="G491" s="8"/>
    </row>
    <row r="492">
      <c r="A492" s="9" t="str">
        <f t="shared" si="569"/>
        <v/>
      </c>
      <c r="B492" s="9" t="str">
        <f>IF(ISBLANK(A488),"",LEFT(B491,27)&amp;VALUE(RIGHT(B491,1)+1))</f>
        <v/>
      </c>
      <c r="C492" s="6" t="str">
        <f t="shared" ref="C492:D492" si="573">C491</f>
        <v/>
      </c>
      <c r="D492" s="6" t="str">
        <f t="shared" si="573"/>
        <v/>
      </c>
      <c r="E492" s="10" t="str">
        <f>IF(ISBLANK(A488),"",E491+1)</f>
        <v/>
      </c>
      <c r="F492" s="11" t="str">
        <f t="shared" si="571"/>
        <v/>
      </c>
      <c r="G492" s="8"/>
    </row>
    <row r="493">
      <c r="A493" s="12" t="str">
        <f t="shared" si="569"/>
        <v/>
      </c>
      <c r="B493" s="12" t="str">
        <f>IF(ISBLANK(A488),"",LEFT(B492,27)&amp;VALUE(RIGHT(B492,1)+1))</f>
        <v/>
      </c>
      <c r="C493" s="13" t="str">
        <f t="shared" ref="C493:D493" si="574">C492</f>
        <v/>
      </c>
      <c r="D493" s="13" t="str">
        <f t="shared" si="574"/>
        <v/>
      </c>
      <c r="E493" s="14" t="str">
        <f>IF(ISBLANK(A488),"",E492+1)</f>
        <v/>
      </c>
      <c r="F493" s="15" t="str">
        <f t="shared" si="571"/>
        <v/>
      </c>
      <c r="G493" s="16"/>
    </row>
    <row r="494">
      <c r="A494" s="5"/>
      <c r="B494" s="6" t="str">
        <f t="array" ref="B494">IF(ISBLANK(A494),"",IF(A494="PROREP (L)",VLOOKUP(LEFT($A494,6),'Data Feed (35C)'!$A$1:$G$10,2,FALSE),IF(A494="PROREP (S)", INDEX('Data Feed (35C)'!B:B, MATCH(LEFT($A494,6), 'Data Feed (35C)'!$A$1:$A$10, 0) + 1), VLOOKUP($A494,'Data Feed (35C)'!$A$1:$G$10,2,FALSE))))</f>
        <v/>
      </c>
      <c r="C494" s="6" t="str">
        <f t="array" ref="C494">IF(ISBLANK(A494),"",IF(A494="PROREP (L)",VLOOKUP(LEFT($A494,6),'Data Feed (35C)'!$A$1:$G$10,3,FALSE),IF(A494="PROREP (S)", INDEX('Data Feed (35C)'!C:C, MATCH(LEFT($A494,6), 'Data Feed (35C)'!$A$1:$A$10, 0) + 1, +1), VLOOKUP($A494,'Data Feed (35C)'!$A$1:$G$10,3,FALSE))))</f>
        <v/>
      </c>
      <c r="D494" s="6" t="str">
        <f t="array" ref="D494">IF(ISBLANK(A494),"",IF(A494="PROREP (L)",VLOOKUP(LEFT($A494,6),'Data Feed (35C)'!$A$1:$G$10,4,FALSE),IF(A494="PROREP (S)", INDEX('Data Feed (35C)'!D:D, MATCH(LEFT($A494,6), 'Data Feed (35C)'!$A$1:$A$10, 0) + 1, +1), VLOOKUP($A494,'Data Feed (35C)'!$A$1:$G$10,4,FALSE))))</f>
        <v/>
      </c>
      <c r="E494" s="6" t="str">
        <f t="array" ref="E494">IF(ISBLANK(A494),"",IF(A494="PROREP (L)",VLOOKUP(LEFT($A494,6),'Data Feed (35C)'!$A$1:$G$10,7,FALSE),IF(A494="PROREP (S)", INDEX('Data Feed (35C)'!G:G, MATCH(LEFT($A494,6), 'Data Feed (35C)'!$A$1:$A$10, 0) + 1, +1), VLOOKUP($A494,'Data Feed (35C)'!$A$1:$G$10,7,FALSE))))</f>
        <v/>
      </c>
      <c r="F494" s="7"/>
      <c r="G494" s="8"/>
    </row>
    <row r="495">
      <c r="A495" s="9" t="str">
        <f t="shared" ref="A495:A499" si="576">A494</f>
        <v/>
      </c>
      <c r="B495" s="9" t="str">
        <f>IF(ISBLANK(A494),"",LEFT(B494,27)&amp;VALUE(RIGHT(B494,1)+1))</f>
        <v/>
      </c>
      <c r="C495" s="6" t="str">
        <f t="shared" ref="C495:D495" si="575">C494</f>
        <v/>
      </c>
      <c r="D495" s="6" t="str">
        <f t="shared" si="575"/>
        <v/>
      </c>
      <c r="E495" s="10" t="str">
        <f>IF(ISBLANK(A494),"",E494+1)</f>
        <v/>
      </c>
      <c r="F495" s="11" t="str">
        <f t="shared" ref="F495:F499" si="578">F494</f>
        <v/>
      </c>
      <c r="G495" s="8"/>
    </row>
    <row r="496">
      <c r="A496" s="9" t="str">
        <f t="shared" si="576"/>
        <v/>
      </c>
      <c r="B496" s="9" t="str">
        <f>IF(ISBLANK(A494),"",LEFT(B495,27)&amp;VALUE(RIGHT(B495,1)+1))</f>
        <v/>
      </c>
      <c r="C496" s="6" t="str">
        <f t="shared" ref="C496:D496" si="577">C495</f>
        <v/>
      </c>
      <c r="D496" s="6" t="str">
        <f t="shared" si="577"/>
        <v/>
      </c>
      <c r="E496" s="10" t="str">
        <f>IF(ISBLANK(A494),"",E495+1)</f>
        <v/>
      </c>
      <c r="F496" s="11" t="str">
        <f t="shared" si="578"/>
        <v/>
      </c>
      <c r="G496" s="8"/>
    </row>
    <row r="497">
      <c r="A497" s="9" t="str">
        <f t="shared" si="576"/>
        <v/>
      </c>
      <c r="B497" s="9" t="str">
        <f>IF(ISBLANK(A494),"",LEFT(B496,27)&amp;VALUE(RIGHT(B496,1)+1))</f>
        <v/>
      </c>
      <c r="C497" s="6" t="str">
        <f t="shared" ref="C497:D497" si="579">C496</f>
        <v/>
      </c>
      <c r="D497" s="6" t="str">
        <f t="shared" si="579"/>
        <v/>
      </c>
      <c r="E497" s="10" t="str">
        <f>IF(ISBLANK(A494),"",E496+1)</f>
        <v/>
      </c>
      <c r="F497" s="11" t="str">
        <f t="shared" si="578"/>
        <v/>
      </c>
      <c r="G497" s="8"/>
    </row>
    <row r="498">
      <c r="A498" s="9" t="str">
        <f t="shared" si="576"/>
        <v/>
      </c>
      <c r="B498" s="9" t="str">
        <f>IF(ISBLANK(A494),"",LEFT(B497,27)&amp;VALUE(RIGHT(B497,1)+1))</f>
        <v/>
      </c>
      <c r="C498" s="6" t="str">
        <f t="shared" ref="C498:D498" si="580">C497</f>
        <v/>
      </c>
      <c r="D498" s="6" t="str">
        <f t="shared" si="580"/>
        <v/>
      </c>
      <c r="E498" s="10" t="str">
        <f>IF(ISBLANK(A494),"",E497+1)</f>
        <v/>
      </c>
      <c r="F498" s="11" t="str">
        <f t="shared" si="578"/>
        <v/>
      </c>
      <c r="G498" s="8"/>
    </row>
    <row r="499">
      <c r="A499" s="12" t="str">
        <f t="shared" si="576"/>
        <v/>
      </c>
      <c r="B499" s="12" t="str">
        <f>IF(ISBLANK(A494),"",LEFT(B498,27)&amp;VALUE(RIGHT(B498,1)+1))</f>
        <v/>
      </c>
      <c r="C499" s="13" t="str">
        <f t="shared" ref="C499:D499" si="581">C498</f>
        <v/>
      </c>
      <c r="D499" s="13" t="str">
        <f t="shared" si="581"/>
        <v/>
      </c>
      <c r="E499" s="14" t="str">
        <f>IF(ISBLANK(A494),"",E498+1)</f>
        <v/>
      </c>
      <c r="F499" s="15" t="str">
        <f t="shared" si="578"/>
        <v/>
      </c>
      <c r="G499" s="16"/>
    </row>
    <row r="500">
      <c r="A500" s="5"/>
      <c r="B500" s="6" t="str">
        <f t="array" ref="B500">IF(ISBLANK(A500),"",IF(A500="PROREP (L)",VLOOKUP(LEFT($A500,6),'Data Feed (35C)'!$A$1:$G$10,2,FALSE),IF(A500="PROREP (S)", INDEX('Data Feed (35C)'!B:B, MATCH(LEFT($A500,6), 'Data Feed (35C)'!$A$1:$A$10, 0) + 1), VLOOKUP($A500,'Data Feed (35C)'!$A$1:$G$10,2,FALSE))))</f>
        <v/>
      </c>
      <c r="C500" s="6" t="str">
        <f t="array" ref="C500">IF(ISBLANK(A500),"",IF(A500="PROREP (L)",VLOOKUP(LEFT($A500,6),'Data Feed (35C)'!$A$1:$G$10,3,FALSE),IF(A500="PROREP (S)", INDEX('Data Feed (35C)'!C:C, MATCH(LEFT($A500,6), 'Data Feed (35C)'!$A$1:$A$10, 0) + 1, +1), VLOOKUP($A500,'Data Feed (35C)'!$A$1:$G$10,3,FALSE))))</f>
        <v/>
      </c>
      <c r="D500" s="6" t="str">
        <f t="array" ref="D500">IF(ISBLANK(A500),"",IF(A500="PROREP (L)",VLOOKUP(LEFT($A500,6),'Data Feed (35C)'!$A$1:$G$10,4,FALSE),IF(A500="PROREP (S)", INDEX('Data Feed (35C)'!D:D, MATCH(LEFT($A500,6), 'Data Feed (35C)'!$A$1:$A$10, 0) + 1, +1), VLOOKUP($A500,'Data Feed (35C)'!$A$1:$G$10,4,FALSE))))</f>
        <v/>
      </c>
      <c r="E500" s="6" t="str">
        <f t="array" ref="E500">IF(ISBLANK(A500),"",IF(A500="PROREP (L)",VLOOKUP(LEFT($A500,6),'Data Feed (35C)'!$A$1:$G$10,7,FALSE),IF(A500="PROREP (S)", INDEX('Data Feed (35C)'!G:G, MATCH(LEFT($A500,6), 'Data Feed (35C)'!$A$1:$A$10, 0) + 1, +1), VLOOKUP($A500,'Data Feed (35C)'!$A$1:$G$10,7,FALSE))))</f>
        <v/>
      </c>
      <c r="F500" s="7"/>
      <c r="G500" s="8"/>
    </row>
    <row r="501">
      <c r="A501" s="9" t="str">
        <f t="shared" ref="A501:A505" si="583">A500</f>
        <v/>
      </c>
      <c r="B501" s="9" t="str">
        <f>IF(ISBLANK(A500),"",LEFT(B500,27)&amp;VALUE(RIGHT(B500,1)+1))</f>
        <v/>
      </c>
      <c r="C501" s="6" t="str">
        <f t="shared" ref="C501:D501" si="582">C500</f>
        <v/>
      </c>
      <c r="D501" s="6" t="str">
        <f t="shared" si="582"/>
        <v/>
      </c>
      <c r="E501" s="10" t="str">
        <f>IF(ISBLANK(A500),"",E500+1)</f>
        <v/>
      </c>
      <c r="F501" s="11" t="str">
        <f t="shared" ref="F501:F505" si="585">F500</f>
        <v/>
      </c>
      <c r="G501" s="8"/>
    </row>
    <row r="502">
      <c r="A502" s="9" t="str">
        <f t="shared" si="583"/>
        <v/>
      </c>
      <c r="B502" s="9" t="str">
        <f>IF(ISBLANK(A500),"",LEFT(B501,27)&amp;VALUE(RIGHT(B501,1)+1))</f>
        <v/>
      </c>
      <c r="C502" s="6" t="str">
        <f t="shared" ref="C502:D502" si="584">C501</f>
        <v/>
      </c>
      <c r="D502" s="6" t="str">
        <f t="shared" si="584"/>
        <v/>
      </c>
      <c r="E502" s="10" t="str">
        <f>IF(ISBLANK(A500),"",E501+1)</f>
        <v/>
      </c>
      <c r="F502" s="11" t="str">
        <f t="shared" si="585"/>
        <v/>
      </c>
      <c r="G502" s="8"/>
    </row>
    <row r="503">
      <c r="A503" s="9" t="str">
        <f t="shared" si="583"/>
        <v/>
      </c>
      <c r="B503" s="9" t="str">
        <f>IF(ISBLANK(A500),"",LEFT(B502,27)&amp;VALUE(RIGHT(B502,1)+1))</f>
        <v/>
      </c>
      <c r="C503" s="6" t="str">
        <f t="shared" ref="C503:D503" si="586">C502</f>
        <v/>
      </c>
      <c r="D503" s="6" t="str">
        <f t="shared" si="586"/>
        <v/>
      </c>
      <c r="E503" s="10" t="str">
        <f>IF(ISBLANK(A500),"",E502+1)</f>
        <v/>
      </c>
      <c r="F503" s="11" t="str">
        <f t="shared" si="585"/>
        <v/>
      </c>
      <c r="G503" s="8"/>
    </row>
    <row r="504">
      <c r="A504" s="9" t="str">
        <f t="shared" si="583"/>
        <v/>
      </c>
      <c r="B504" s="9" t="str">
        <f>IF(ISBLANK(A500),"",LEFT(B503,27)&amp;VALUE(RIGHT(B503,1)+1))</f>
        <v/>
      </c>
      <c r="C504" s="6" t="str">
        <f t="shared" ref="C504:D504" si="587">C503</f>
        <v/>
      </c>
      <c r="D504" s="6" t="str">
        <f t="shared" si="587"/>
        <v/>
      </c>
      <c r="E504" s="10" t="str">
        <f>IF(ISBLANK(A500),"",E503+1)</f>
        <v/>
      </c>
      <c r="F504" s="11" t="str">
        <f t="shared" si="585"/>
        <v/>
      </c>
      <c r="G504" s="8"/>
    </row>
    <row r="505">
      <c r="A505" s="12" t="str">
        <f t="shared" si="583"/>
        <v/>
      </c>
      <c r="B505" s="12" t="str">
        <f>IF(ISBLANK(A500),"",LEFT(B504,27)&amp;VALUE(RIGHT(B504,1)+1))</f>
        <v/>
      </c>
      <c r="C505" s="13" t="str">
        <f t="shared" ref="C505:D505" si="588">C504</f>
        <v/>
      </c>
      <c r="D505" s="13" t="str">
        <f t="shared" si="588"/>
        <v/>
      </c>
      <c r="E505" s="14" t="str">
        <f>IF(ISBLANK(A500),"",E504+1)</f>
        <v/>
      </c>
      <c r="F505" s="15" t="str">
        <f t="shared" si="585"/>
        <v/>
      </c>
      <c r="G505" s="16"/>
    </row>
    <row r="506">
      <c r="A506" s="5"/>
      <c r="B506" s="6" t="str">
        <f t="array" ref="B506">IF(ISBLANK(A506),"",IF(A506="PROREP (L)",VLOOKUP(LEFT($A506,6),'Data Feed (35C)'!$A$1:$G$10,2,FALSE),IF(A506="PROREP (S)", INDEX('Data Feed (35C)'!B:B, MATCH(LEFT($A506,6), 'Data Feed (35C)'!$A$1:$A$10, 0) + 1), VLOOKUP($A506,'Data Feed (35C)'!$A$1:$G$10,2,FALSE))))</f>
        <v/>
      </c>
      <c r="C506" s="6" t="str">
        <f t="array" ref="C506">IF(ISBLANK(A506),"",IF(A506="PROREP (L)",VLOOKUP(LEFT($A506,6),'Data Feed (35C)'!$A$1:$G$10,3,FALSE),IF(A506="PROREP (S)", INDEX('Data Feed (35C)'!C:C, MATCH(LEFT($A506,6), 'Data Feed (35C)'!$A$1:$A$10, 0) + 1, +1), VLOOKUP($A506,'Data Feed (35C)'!$A$1:$G$10,3,FALSE))))</f>
        <v/>
      </c>
      <c r="D506" s="6" t="str">
        <f t="array" ref="D506">IF(ISBLANK(A506),"",IF(A506="PROREP (L)",VLOOKUP(LEFT($A506,6),'Data Feed (35C)'!$A$1:$G$10,4,FALSE),IF(A506="PROREP (S)", INDEX('Data Feed (35C)'!D:D, MATCH(LEFT($A506,6), 'Data Feed (35C)'!$A$1:$A$10, 0) + 1, +1), VLOOKUP($A506,'Data Feed (35C)'!$A$1:$G$10,4,FALSE))))</f>
        <v/>
      </c>
      <c r="E506" s="6" t="str">
        <f t="array" ref="E506">IF(ISBLANK(A506),"",IF(A506="PROREP (L)",VLOOKUP(LEFT($A506,6),'Data Feed (35C)'!$A$1:$G$10,7,FALSE),IF(A506="PROREP (S)", INDEX('Data Feed (35C)'!G:G, MATCH(LEFT($A506,6), 'Data Feed (35C)'!$A$1:$A$10, 0) + 1, +1), VLOOKUP($A506,'Data Feed (35C)'!$A$1:$G$10,7,FALSE))))</f>
        <v/>
      </c>
      <c r="F506" s="7"/>
      <c r="G506" s="8"/>
    </row>
    <row r="507">
      <c r="A507" s="9" t="str">
        <f t="shared" ref="A507:A511" si="590">A506</f>
        <v/>
      </c>
      <c r="B507" s="9" t="str">
        <f>IF(ISBLANK(A506),"",LEFT(B506,27)&amp;VALUE(RIGHT(B506,1)+1))</f>
        <v/>
      </c>
      <c r="C507" s="6" t="str">
        <f t="shared" ref="C507:D507" si="589">C506</f>
        <v/>
      </c>
      <c r="D507" s="6" t="str">
        <f t="shared" si="589"/>
        <v/>
      </c>
      <c r="E507" s="10" t="str">
        <f>IF(ISBLANK(A506),"",E506+1)</f>
        <v/>
      </c>
      <c r="F507" s="11" t="str">
        <f t="shared" ref="F507:F511" si="592">F506</f>
        <v/>
      </c>
      <c r="G507" s="8"/>
    </row>
    <row r="508">
      <c r="A508" s="9" t="str">
        <f t="shared" si="590"/>
        <v/>
      </c>
      <c r="B508" s="9" t="str">
        <f>IF(ISBLANK(A506),"",LEFT(B507,27)&amp;VALUE(RIGHT(B507,1)+1))</f>
        <v/>
      </c>
      <c r="C508" s="6" t="str">
        <f t="shared" ref="C508:D508" si="591">C507</f>
        <v/>
      </c>
      <c r="D508" s="6" t="str">
        <f t="shared" si="591"/>
        <v/>
      </c>
      <c r="E508" s="10" t="str">
        <f>IF(ISBLANK(A506),"",E507+1)</f>
        <v/>
      </c>
      <c r="F508" s="11" t="str">
        <f t="shared" si="592"/>
        <v/>
      </c>
      <c r="G508" s="8"/>
    </row>
    <row r="509">
      <c r="A509" s="9" t="str">
        <f t="shared" si="590"/>
        <v/>
      </c>
      <c r="B509" s="9" t="str">
        <f>IF(ISBLANK(A506),"",LEFT(B508,27)&amp;VALUE(RIGHT(B508,1)+1))</f>
        <v/>
      </c>
      <c r="C509" s="6" t="str">
        <f t="shared" ref="C509:D509" si="593">C508</f>
        <v/>
      </c>
      <c r="D509" s="6" t="str">
        <f t="shared" si="593"/>
        <v/>
      </c>
      <c r="E509" s="10" t="str">
        <f>IF(ISBLANK(A506),"",E508+1)</f>
        <v/>
      </c>
      <c r="F509" s="11" t="str">
        <f t="shared" si="592"/>
        <v/>
      </c>
      <c r="G509" s="8"/>
    </row>
    <row r="510">
      <c r="A510" s="9" t="str">
        <f t="shared" si="590"/>
        <v/>
      </c>
      <c r="B510" s="9" t="str">
        <f>IF(ISBLANK(A506),"",LEFT(B509,27)&amp;VALUE(RIGHT(B509,1)+1))</f>
        <v/>
      </c>
      <c r="C510" s="6" t="str">
        <f t="shared" ref="C510:D510" si="594">C509</f>
        <v/>
      </c>
      <c r="D510" s="6" t="str">
        <f t="shared" si="594"/>
        <v/>
      </c>
      <c r="E510" s="10" t="str">
        <f>IF(ISBLANK(A506),"",E509+1)</f>
        <v/>
      </c>
      <c r="F510" s="11" t="str">
        <f t="shared" si="592"/>
        <v/>
      </c>
      <c r="G510" s="8"/>
    </row>
    <row r="511">
      <c r="A511" s="12" t="str">
        <f t="shared" si="590"/>
        <v/>
      </c>
      <c r="B511" s="12" t="str">
        <f>IF(ISBLANK(A506),"",LEFT(B510,27)&amp;VALUE(RIGHT(B510,1)+1))</f>
        <v/>
      </c>
      <c r="C511" s="13" t="str">
        <f t="shared" ref="C511:D511" si="595">C510</f>
        <v/>
      </c>
      <c r="D511" s="13" t="str">
        <f t="shared" si="595"/>
        <v/>
      </c>
      <c r="E511" s="14" t="str">
        <f>IF(ISBLANK(A506),"",E510+1)</f>
        <v/>
      </c>
      <c r="F511" s="15" t="str">
        <f t="shared" si="592"/>
        <v/>
      </c>
      <c r="G511" s="16"/>
    </row>
    <row r="512">
      <c r="A512" s="5"/>
      <c r="B512" s="6" t="str">
        <f t="array" ref="B512">IF(ISBLANK(A512),"",IF(A512="PROREP (L)",VLOOKUP(LEFT($A512,6),'Data Feed (35C)'!$A$1:$G$10,2,FALSE),IF(A512="PROREP (S)", INDEX('Data Feed (35C)'!B:B, MATCH(LEFT($A512,6), 'Data Feed (35C)'!$A$1:$A$10, 0) + 1), VLOOKUP($A512,'Data Feed (35C)'!$A$1:$G$10,2,FALSE))))</f>
        <v/>
      </c>
      <c r="C512" s="6" t="str">
        <f t="array" ref="C512">IF(ISBLANK(A512),"",IF(A512="PROREP (L)",VLOOKUP(LEFT($A512,6),'Data Feed (35C)'!$A$1:$G$10,3,FALSE),IF(A512="PROREP (S)", INDEX('Data Feed (35C)'!C:C, MATCH(LEFT($A512,6), 'Data Feed (35C)'!$A$1:$A$10, 0) + 1, +1), VLOOKUP($A512,'Data Feed (35C)'!$A$1:$G$10,3,FALSE))))</f>
        <v/>
      </c>
      <c r="D512" s="6" t="str">
        <f t="array" ref="D512">IF(ISBLANK(A512),"",IF(A512="PROREP (L)",VLOOKUP(LEFT($A512,6),'Data Feed (35C)'!$A$1:$G$10,4,FALSE),IF(A512="PROREP (S)", INDEX('Data Feed (35C)'!D:D, MATCH(LEFT($A512,6), 'Data Feed (35C)'!$A$1:$A$10, 0) + 1, +1), VLOOKUP($A512,'Data Feed (35C)'!$A$1:$G$10,4,FALSE))))</f>
        <v/>
      </c>
      <c r="E512" s="6" t="str">
        <f t="array" ref="E512">IF(ISBLANK(A512),"",IF(A512="PROREP (L)",VLOOKUP(LEFT($A512,6),'Data Feed (35C)'!$A$1:$G$10,7,FALSE),IF(A512="PROREP (S)", INDEX('Data Feed (35C)'!G:G, MATCH(LEFT($A512,6), 'Data Feed (35C)'!$A$1:$A$10, 0) + 1, +1), VLOOKUP($A512,'Data Feed (35C)'!$A$1:$G$10,7,FALSE))))</f>
        <v/>
      </c>
      <c r="F512" s="7"/>
      <c r="G512" s="8"/>
    </row>
    <row r="513">
      <c r="A513" s="9" t="str">
        <f t="shared" ref="A513:A517" si="597">A512</f>
        <v/>
      </c>
      <c r="B513" s="9" t="str">
        <f>IF(ISBLANK(A512),"",LEFT(B512,27)&amp;VALUE(RIGHT(B512,1)+1))</f>
        <v/>
      </c>
      <c r="C513" s="6" t="str">
        <f t="shared" ref="C513:D513" si="596">C512</f>
        <v/>
      </c>
      <c r="D513" s="6" t="str">
        <f t="shared" si="596"/>
        <v/>
      </c>
      <c r="E513" s="10" t="str">
        <f>IF(ISBLANK(A512),"",E512+1)</f>
        <v/>
      </c>
      <c r="F513" s="11" t="str">
        <f t="shared" ref="F513:F517" si="599">F512</f>
        <v/>
      </c>
      <c r="G513" s="8"/>
    </row>
    <row r="514">
      <c r="A514" s="9" t="str">
        <f t="shared" si="597"/>
        <v/>
      </c>
      <c r="B514" s="9" t="str">
        <f>IF(ISBLANK(A512),"",LEFT(B513,27)&amp;VALUE(RIGHT(B513,1)+1))</f>
        <v/>
      </c>
      <c r="C514" s="6" t="str">
        <f t="shared" ref="C514:D514" si="598">C513</f>
        <v/>
      </c>
      <c r="D514" s="6" t="str">
        <f t="shared" si="598"/>
        <v/>
      </c>
      <c r="E514" s="10" t="str">
        <f>IF(ISBLANK(A512),"",E513+1)</f>
        <v/>
      </c>
      <c r="F514" s="11" t="str">
        <f t="shared" si="599"/>
        <v/>
      </c>
      <c r="G514" s="8"/>
    </row>
    <row r="515">
      <c r="A515" s="9" t="str">
        <f t="shared" si="597"/>
        <v/>
      </c>
      <c r="B515" s="9" t="str">
        <f>IF(ISBLANK(A512),"",LEFT(B514,27)&amp;VALUE(RIGHT(B514,1)+1))</f>
        <v/>
      </c>
      <c r="C515" s="6" t="str">
        <f t="shared" ref="C515:D515" si="600">C514</f>
        <v/>
      </c>
      <c r="D515" s="6" t="str">
        <f t="shared" si="600"/>
        <v/>
      </c>
      <c r="E515" s="10" t="str">
        <f>IF(ISBLANK(A512),"",E514+1)</f>
        <v/>
      </c>
      <c r="F515" s="11" t="str">
        <f t="shared" si="599"/>
        <v/>
      </c>
      <c r="G515" s="8"/>
    </row>
    <row r="516">
      <c r="A516" s="9" t="str">
        <f t="shared" si="597"/>
        <v/>
      </c>
      <c r="B516" s="9" t="str">
        <f>IF(ISBLANK(A512),"",LEFT(B515,27)&amp;VALUE(RIGHT(B515,1)+1))</f>
        <v/>
      </c>
      <c r="C516" s="6" t="str">
        <f t="shared" ref="C516:D516" si="601">C515</f>
        <v/>
      </c>
      <c r="D516" s="6" t="str">
        <f t="shared" si="601"/>
        <v/>
      </c>
      <c r="E516" s="10" t="str">
        <f>IF(ISBLANK(A512),"",E515+1)</f>
        <v/>
      </c>
      <c r="F516" s="11" t="str">
        <f t="shared" si="599"/>
        <v/>
      </c>
      <c r="G516" s="8"/>
    </row>
    <row r="517">
      <c r="A517" s="12" t="str">
        <f t="shared" si="597"/>
        <v/>
      </c>
      <c r="B517" s="12" t="str">
        <f>IF(ISBLANK(A512),"",LEFT(B516,27)&amp;VALUE(RIGHT(B516,1)+1))</f>
        <v/>
      </c>
      <c r="C517" s="13" t="str">
        <f t="shared" ref="C517:D517" si="602">C516</f>
        <v/>
      </c>
      <c r="D517" s="13" t="str">
        <f t="shared" si="602"/>
        <v/>
      </c>
      <c r="E517" s="14" t="str">
        <f>IF(ISBLANK(A512),"",E516+1)</f>
        <v/>
      </c>
      <c r="F517" s="15" t="str">
        <f t="shared" si="599"/>
        <v/>
      </c>
      <c r="G517" s="16"/>
    </row>
    <row r="518">
      <c r="A518" s="5"/>
      <c r="B518" s="6" t="str">
        <f t="array" ref="B518">IF(ISBLANK(A518),"",IF(A518="PROREP (L)",VLOOKUP(LEFT($A518,6),'Data Feed (35C)'!$A$1:$G$10,2,FALSE),IF(A518="PROREP (S)", INDEX('Data Feed (35C)'!B:B, MATCH(LEFT($A518,6), 'Data Feed (35C)'!$A$1:$A$10, 0) + 1), VLOOKUP($A518,'Data Feed (35C)'!$A$1:$G$10,2,FALSE))))</f>
        <v/>
      </c>
      <c r="C518" s="6" t="str">
        <f t="array" ref="C518">IF(ISBLANK(A518),"",IF(A518="PROREP (L)",VLOOKUP(LEFT($A518,6),'Data Feed (35C)'!$A$1:$G$10,3,FALSE),IF(A518="PROREP (S)", INDEX('Data Feed (35C)'!C:C, MATCH(LEFT($A518,6), 'Data Feed (35C)'!$A$1:$A$10, 0) + 1, +1), VLOOKUP($A518,'Data Feed (35C)'!$A$1:$G$10,3,FALSE))))</f>
        <v/>
      </c>
      <c r="D518" s="6" t="str">
        <f t="array" ref="D518">IF(ISBLANK(A518),"",IF(A518="PROREP (L)",VLOOKUP(LEFT($A518,6),'Data Feed (35C)'!$A$1:$G$10,4,FALSE),IF(A518="PROREP (S)", INDEX('Data Feed (35C)'!D:D, MATCH(LEFT($A518,6), 'Data Feed (35C)'!$A$1:$A$10, 0) + 1, +1), VLOOKUP($A518,'Data Feed (35C)'!$A$1:$G$10,4,FALSE))))</f>
        <v/>
      </c>
      <c r="E518" s="6" t="str">
        <f t="array" ref="E518">IF(ISBLANK(A518),"",IF(A518="PROREP (L)",VLOOKUP(LEFT($A518,6),'Data Feed (35C)'!$A$1:$G$10,7,FALSE),IF(A518="PROREP (S)", INDEX('Data Feed (35C)'!G:G, MATCH(LEFT($A518,6), 'Data Feed (35C)'!$A$1:$A$10, 0) + 1, +1), VLOOKUP($A518,'Data Feed (35C)'!$A$1:$G$10,7,FALSE))))</f>
        <v/>
      </c>
      <c r="F518" s="7"/>
      <c r="G518" s="8"/>
    </row>
    <row r="519">
      <c r="A519" s="9" t="str">
        <f t="shared" ref="A519:A523" si="604">A518</f>
        <v/>
      </c>
      <c r="B519" s="9" t="str">
        <f>IF(ISBLANK(A518),"",LEFT(B518,27)&amp;VALUE(RIGHT(B518,1)+1))</f>
        <v/>
      </c>
      <c r="C519" s="6" t="str">
        <f t="shared" ref="C519:D519" si="603">C518</f>
        <v/>
      </c>
      <c r="D519" s="6" t="str">
        <f t="shared" si="603"/>
        <v/>
      </c>
      <c r="E519" s="10" t="str">
        <f>IF(ISBLANK(A518),"",E518+1)</f>
        <v/>
      </c>
      <c r="F519" s="11" t="str">
        <f t="shared" ref="F519:F523" si="606">F518</f>
        <v/>
      </c>
      <c r="G519" s="8"/>
    </row>
    <row r="520">
      <c r="A520" s="9" t="str">
        <f t="shared" si="604"/>
        <v/>
      </c>
      <c r="B520" s="9" t="str">
        <f>IF(ISBLANK(A518),"",LEFT(B519,27)&amp;VALUE(RIGHT(B519,1)+1))</f>
        <v/>
      </c>
      <c r="C520" s="6" t="str">
        <f t="shared" ref="C520:D520" si="605">C519</f>
        <v/>
      </c>
      <c r="D520" s="6" t="str">
        <f t="shared" si="605"/>
        <v/>
      </c>
      <c r="E520" s="10" t="str">
        <f>IF(ISBLANK(A518),"",E519+1)</f>
        <v/>
      </c>
      <c r="F520" s="11" t="str">
        <f t="shared" si="606"/>
        <v/>
      </c>
      <c r="G520" s="8"/>
    </row>
    <row r="521">
      <c r="A521" s="9" t="str">
        <f t="shared" si="604"/>
        <v/>
      </c>
      <c r="B521" s="9" t="str">
        <f>IF(ISBLANK(A518),"",LEFT(B520,27)&amp;VALUE(RIGHT(B520,1)+1))</f>
        <v/>
      </c>
      <c r="C521" s="6" t="str">
        <f t="shared" ref="C521:D521" si="607">C520</f>
        <v/>
      </c>
      <c r="D521" s="6" t="str">
        <f t="shared" si="607"/>
        <v/>
      </c>
      <c r="E521" s="10" t="str">
        <f>IF(ISBLANK(A518),"",E520+1)</f>
        <v/>
      </c>
      <c r="F521" s="11" t="str">
        <f t="shared" si="606"/>
        <v/>
      </c>
      <c r="G521" s="8"/>
    </row>
    <row r="522">
      <c r="A522" s="9" t="str">
        <f t="shared" si="604"/>
        <v/>
      </c>
      <c r="B522" s="9" t="str">
        <f>IF(ISBLANK(A518),"",LEFT(B521,27)&amp;VALUE(RIGHT(B521,1)+1))</f>
        <v/>
      </c>
      <c r="C522" s="6" t="str">
        <f t="shared" ref="C522:D522" si="608">C521</f>
        <v/>
      </c>
      <c r="D522" s="6" t="str">
        <f t="shared" si="608"/>
        <v/>
      </c>
      <c r="E522" s="10" t="str">
        <f>IF(ISBLANK(A518),"",E521+1)</f>
        <v/>
      </c>
      <c r="F522" s="11" t="str">
        <f t="shared" si="606"/>
        <v/>
      </c>
      <c r="G522" s="8"/>
    </row>
    <row r="523">
      <c r="A523" s="12" t="str">
        <f t="shared" si="604"/>
        <v/>
      </c>
      <c r="B523" s="12" t="str">
        <f>IF(ISBLANK(A518),"",LEFT(B522,27)&amp;VALUE(RIGHT(B522,1)+1))</f>
        <v/>
      </c>
      <c r="C523" s="13" t="str">
        <f t="shared" ref="C523:D523" si="609">C522</f>
        <v/>
      </c>
      <c r="D523" s="13" t="str">
        <f t="shared" si="609"/>
        <v/>
      </c>
      <c r="E523" s="14" t="str">
        <f>IF(ISBLANK(A518),"",E522+1)</f>
        <v/>
      </c>
      <c r="F523" s="15" t="str">
        <f t="shared" si="606"/>
        <v/>
      </c>
      <c r="G523" s="16"/>
    </row>
    <row r="524">
      <c r="A524" s="5"/>
      <c r="B524" s="6" t="str">
        <f t="array" ref="B524">IF(ISBLANK(A524),"",IF(A524="PROREP (L)",VLOOKUP(LEFT($A524,6),'Data Feed (35C)'!$A$1:$G$10,2,FALSE),IF(A524="PROREP (S)", INDEX('Data Feed (35C)'!B:B, MATCH(LEFT($A524,6), 'Data Feed (35C)'!$A$1:$A$10, 0) + 1), VLOOKUP($A524,'Data Feed (35C)'!$A$1:$G$10,2,FALSE))))</f>
        <v/>
      </c>
      <c r="C524" s="6" t="str">
        <f t="array" ref="C524">IF(ISBLANK(A524),"",IF(A524="PROREP (L)",VLOOKUP(LEFT($A524,6),'Data Feed (35C)'!$A$1:$G$10,3,FALSE),IF(A524="PROREP (S)", INDEX('Data Feed (35C)'!C:C, MATCH(LEFT($A524,6), 'Data Feed (35C)'!$A$1:$A$10, 0) + 1, +1), VLOOKUP($A524,'Data Feed (35C)'!$A$1:$G$10,3,FALSE))))</f>
        <v/>
      </c>
      <c r="D524" s="6" t="str">
        <f t="array" ref="D524">IF(ISBLANK(A524),"",IF(A524="PROREP (L)",VLOOKUP(LEFT($A524,6),'Data Feed (35C)'!$A$1:$G$10,4,FALSE),IF(A524="PROREP (S)", INDEX('Data Feed (35C)'!D:D, MATCH(LEFT($A524,6), 'Data Feed (35C)'!$A$1:$A$10, 0) + 1, +1), VLOOKUP($A524,'Data Feed (35C)'!$A$1:$G$10,4,FALSE))))</f>
        <v/>
      </c>
      <c r="E524" s="6" t="str">
        <f t="array" ref="E524">IF(ISBLANK(A524),"",IF(A524="PROREP (L)",VLOOKUP(LEFT($A524,6),'Data Feed (35C)'!$A$1:$G$10,7,FALSE),IF(A524="PROREP (S)", INDEX('Data Feed (35C)'!G:G, MATCH(LEFT($A524,6), 'Data Feed (35C)'!$A$1:$A$10, 0) + 1, +1), VLOOKUP($A524,'Data Feed (35C)'!$A$1:$G$10,7,FALSE))))</f>
        <v/>
      </c>
      <c r="F524" s="7"/>
      <c r="G524" s="8"/>
    </row>
    <row r="525">
      <c r="A525" s="9" t="str">
        <f t="shared" ref="A525:A529" si="611">A524</f>
        <v/>
      </c>
      <c r="B525" s="9" t="str">
        <f>IF(ISBLANK(A524),"",LEFT(B524,27)&amp;VALUE(RIGHT(B524,1)+1))</f>
        <v/>
      </c>
      <c r="C525" s="6" t="str">
        <f t="shared" ref="C525:D525" si="610">C524</f>
        <v/>
      </c>
      <c r="D525" s="6" t="str">
        <f t="shared" si="610"/>
        <v/>
      </c>
      <c r="E525" s="10" t="str">
        <f>IF(ISBLANK(A524),"",E524+1)</f>
        <v/>
      </c>
      <c r="F525" s="11" t="str">
        <f t="shared" ref="F525:F529" si="613">F524</f>
        <v/>
      </c>
      <c r="G525" s="8"/>
    </row>
    <row r="526">
      <c r="A526" s="9" t="str">
        <f t="shared" si="611"/>
        <v/>
      </c>
      <c r="B526" s="9" t="str">
        <f>IF(ISBLANK(A524),"",LEFT(B525,27)&amp;VALUE(RIGHT(B525,1)+1))</f>
        <v/>
      </c>
      <c r="C526" s="6" t="str">
        <f t="shared" ref="C526:D526" si="612">C525</f>
        <v/>
      </c>
      <c r="D526" s="6" t="str">
        <f t="shared" si="612"/>
        <v/>
      </c>
      <c r="E526" s="10" t="str">
        <f>IF(ISBLANK(A524),"",E525+1)</f>
        <v/>
      </c>
      <c r="F526" s="11" t="str">
        <f t="shared" si="613"/>
        <v/>
      </c>
      <c r="G526" s="8"/>
    </row>
    <row r="527">
      <c r="A527" s="9" t="str">
        <f t="shared" si="611"/>
        <v/>
      </c>
      <c r="B527" s="9" t="str">
        <f>IF(ISBLANK(A524),"",LEFT(B526,27)&amp;VALUE(RIGHT(B526,1)+1))</f>
        <v/>
      </c>
      <c r="C527" s="6" t="str">
        <f t="shared" ref="C527:D527" si="614">C526</f>
        <v/>
      </c>
      <c r="D527" s="6" t="str">
        <f t="shared" si="614"/>
        <v/>
      </c>
      <c r="E527" s="10" t="str">
        <f>IF(ISBLANK(A524),"",E526+1)</f>
        <v/>
      </c>
      <c r="F527" s="11" t="str">
        <f t="shared" si="613"/>
        <v/>
      </c>
      <c r="G527" s="8"/>
    </row>
    <row r="528">
      <c r="A528" s="9" t="str">
        <f t="shared" si="611"/>
        <v/>
      </c>
      <c r="B528" s="9" t="str">
        <f>IF(ISBLANK(A524),"",LEFT(B527,27)&amp;VALUE(RIGHT(B527,1)+1))</f>
        <v/>
      </c>
      <c r="C528" s="6" t="str">
        <f t="shared" ref="C528:D528" si="615">C527</f>
        <v/>
      </c>
      <c r="D528" s="6" t="str">
        <f t="shared" si="615"/>
        <v/>
      </c>
      <c r="E528" s="10" t="str">
        <f>IF(ISBLANK(A524),"",E527+1)</f>
        <v/>
      </c>
      <c r="F528" s="11" t="str">
        <f t="shared" si="613"/>
        <v/>
      </c>
      <c r="G528" s="8"/>
    </row>
    <row r="529">
      <c r="A529" s="12" t="str">
        <f t="shared" si="611"/>
        <v/>
      </c>
      <c r="B529" s="12" t="str">
        <f>IF(ISBLANK(A524),"",LEFT(B528,27)&amp;VALUE(RIGHT(B528,1)+1))</f>
        <v/>
      </c>
      <c r="C529" s="13" t="str">
        <f t="shared" ref="C529:D529" si="616">C528</f>
        <v/>
      </c>
      <c r="D529" s="13" t="str">
        <f t="shared" si="616"/>
        <v/>
      </c>
      <c r="E529" s="14" t="str">
        <f>IF(ISBLANK(A524),"",E528+1)</f>
        <v/>
      </c>
      <c r="F529" s="15" t="str">
        <f t="shared" si="613"/>
        <v/>
      </c>
      <c r="G529" s="16"/>
    </row>
    <row r="530">
      <c r="A530" s="5"/>
      <c r="B530" s="6" t="str">
        <f t="array" ref="B530">IF(ISBLANK(A530),"",IF(A530="PROREP (L)",VLOOKUP(LEFT($A530,6),'Data Feed (35C)'!$A$1:$G$10,2,FALSE),IF(A530="PROREP (S)", INDEX('Data Feed (35C)'!B:B, MATCH(LEFT($A530,6), 'Data Feed (35C)'!$A$1:$A$10, 0) + 1), VLOOKUP($A530,'Data Feed (35C)'!$A$1:$G$10,2,FALSE))))</f>
        <v/>
      </c>
      <c r="C530" s="6" t="str">
        <f t="array" ref="C530">IF(ISBLANK(A530),"",IF(A530="PROREP (L)",VLOOKUP(LEFT($A530,6),'Data Feed (35C)'!$A$1:$G$10,3,FALSE),IF(A530="PROREP (S)", INDEX('Data Feed (35C)'!C:C, MATCH(LEFT($A530,6), 'Data Feed (35C)'!$A$1:$A$10, 0) + 1, +1), VLOOKUP($A530,'Data Feed (35C)'!$A$1:$G$10,3,FALSE))))</f>
        <v/>
      </c>
      <c r="D530" s="6" t="str">
        <f t="array" ref="D530">IF(ISBLANK(A530),"",IF(A530="PROREP (L)",VLOOKUP(LEFT($A530,6),'Data Feed (35C)'!$A$1:$G$10,4,FALSE),IF(A530="PROREP (S)", INDEX('Data Feed (35C)'!D:D, MATCH(LEFT($A530,6), 'Data Feed (35C)'!$A$1:$A$10, 0) + 1, +1), VLOOKUP($A530,'Data Feed (35C)'!$A$1:$G$10,4,FALSE))))</f>
        <v/>
      </c>
      <c r="E530" s="6" t="str">
        <f t="array" ref="E530">IF(ISBLANK(A530),"",IF(A530="PROREP (L)",VLOOKUP(LEFT($A530,6),'Data Feed (35C)'!$A$1:$G$10,7,FALSE),IF(A530="PROREP (S)", INDEX('Data Feed (35C)'!G:G, MATCH(LEFT($A530,6), 'Data Feed (35C)'!$A$1:$A$10, 0) + 1, +1), VLOOKUP($A530,'Data Feed (35C)'!$A$1:$G$10,7,FALSE))))</f>
        <v/>
      </c>
      <c r="F530" s="7"/>
      <c r="G530" s="8"/>
    </row>
    <row r="531">
      <c r="A531" s="9" t="str">
        <f t="shared" ref="A531:A535" si="618">A530</f>
        <v/>
      </c>
      <c r="B531" s="9" t="str">
        <f>IF(ISBLANK(A530),"",LEFT(B530,27)&amp;VALUE(RIGHT(B530,1)+1))</f>
        <v/>
      </c>
      <c r="C531" s="6" t="str">
        <f t="shared" ref="C531:D531" si="617">C530</f>
        <v/>
      </c>
      <c r="D531" s="6" t="str">
        <f t="shared" si="617"/>
        <v/>
      </c>
      <c r="E531" s="10" t="str">
        <f>IF(ISBLANK(A530),"",E530+1)</f>
        <v/>
      </c>
      <c r="F531" s="11" t="str">
        <f t="shared" ref="F531:F535" si="620">F530</f>
        <v/>
      </c>
      <c r="G531" s="8"/>
    </row>
    <row r="532">
      <c r="A532" s="9" t="str">
        <f t="shared" si="618"/>
        <v/>
      </c>
      <c r="B532" s="9" t="str">
        <f>IF(ISBLANK(A530),"",LEFT(B531,27)&amp;VALUE(RIGHT(B531,1)+1))</f>
        <v/>
      </c>
      <c r="C532" s="6" t="str">
        <f t="shared" ref="C532:D532" si="619">C531</f>
        <v/>
      </c>
      <c r="D532" s="6" t="str">
        <f t="shared" si="619"/>
        <v/>
      </c>
      <c r="E532" s="10" t="str">
        <f>IF(ISBLANK(A530),"",E531+1)</f>
        <v/>
      </c>
      <c r="F532" s="11" t="str">
        <f t="shared" si="620"/>
        <v/>
      </c>
      <c r="G532" s="8"/>
    </row>
    <row r="533">
      <c r="A533" s="9" t="str">
        <f t="shared" si="618"/>
        <v/>
      </c>
      <c r="B533" s="9" t="str">
        <f>IF(ISBLANK(A530),"",LEFT(B532,27)&amp;VALUE(RIGHT(B532,1)+1))</f>
        <v/>
      </c>
      <c r="C533" s="6" t="str">
        <f t="shared" ref="C533:D533" si="621">C532</f>
        <v/>
      </c>
      <c r="D533" s="6" t="str">
        <f t="shared" si="621"/>
        <v/>
      </c>
      <c r="E533" s="10" t="str">
        <f>IF(ISBLANK(A530),"",E532+1)</f>
        <v/>
      </c>
      <c r="F533" s="11" t="str">
        <f t="shared" si="620"/>
        <v/>
      </c>
      <c r="G533" s="8"/>
    </row>
    <row r="534">
      <c r="A534" s="9" t="str">
        <f t="shared" si="618"/>
        <v/>
      </c>
      <c r="B534" s="9" t="str">
        <f>IF(ISBLANK(A530),"",LEFT(B533,27)&amp;VALUE(RIGHT(B533,1)+1))</f>
        <v/>
      </c>
      <c r="C534" s="6" t="str">
        <f t="shared" ref="C534:D534" si="622">C533</f>
        <v/>
      </c>
      <c r="D534" s="6" t="str">
        <f t="shared" si="622"/>
        <v/>
      </c>
      <c r="E534" s="10" t="str">
        <f>IF(ISBLANK(A530),"",E533+1)</f>
        <v/>
      </c>
      <c r="F534" s="11" t="str">
        <f t="shared" si="620"/>
        <v/>
      </c>
      <c r="G534" s="8"/>
    </row>
    <row r="535">
      <c r="A535" s="12" t="str">
        <f t="shared" si="618"/>
        <v/>
      </c>
      <c r="B535" s="12" t="str">
        <f>IF(ISBLANK(A530),"",LEFT(B534,27)&amp;VALUE(RIGHT(B534,1)+1))</f>
        <v/>
      </c>
      <c r="C535" s="13" t="str">
        <f t="shared" ref="C535:D535" si="623">C534</f>
        <v/>
      </c>
      <c r="D535" s="13" t="str">
        <f t="shared" si="623"/>
        <v/>
      </c>
      <c r="E535" s="14" t="str">
        <f>IF(ISBLANK(A530),"",E534+1)</f>
        <v/>
      </c>
      <c r="F535" s="15" t="str">
        <f t="shared" si="620"/>
        <v/>
      </c>
      <c r="G535" s="16"/>
    </row>
    <row r="536">
      <c r="A536" s="5"/>
      <c r="B536" s="6" t="str">
        <f t="array" ref="B536">IF(ISBLANK(A536),"",IF(A536="PROREP (L)",VLOOKUP(LEFT($A536,6),'Data Feed (35C)'!$A$1:$G$10,2,FALSE),IF(A536="PROREP (S)", INDEX('Data Feed (35C)'!B:B, MATCH(LEFT($A536,6), 'Data Feed (35C)'!$A$1:$A$10, 0) + 1), VLOOKUP($A536,'Data Feed (35C)'!$A$1:$G$10,2,FALSE))))</f>
        <v/>
      </c>
      <c r="C536" s="6" t="str">
        <f t="array" ref="C536">IF(ISBLANK(A536),"",IF(A536="PROREP (L)",VLOOKUP(LEFT($A536,6),'Data Feed (35C)'!$A$1:$G$10,3,FALSE),IF(A536="PROREP (S)", INDEX('Data Feed (35C)'!C:C, MATCH(LEFT($A536,6), 'Data Feed (35C)'!$A$1:$A$10, 0) + 1, +1), VLOOKUP($A536,'Data Feed (35C)'!$A$1:$G$10,3,FALSE))))</f>
        <v/>
      </c>
      <c r="D536" s="6" t="str">
        <f t="array" ref="D536">IF(ISBLANK(A536),"",IF(A536="PROREP (L)",VLOOKUP(LEFT($A536,6),'Data Feed (35C)'!$A$1:$G$10,4,FALSE),IF(A536="PROREP (S)", INDEX('Data Feed (35C)'!D:D, MATCH(LEFT($A536,6), 'Data Feed (35C)'!$A$1:$A$10, 0) + 1, +1), VLOOKUP($A536,'Data Feed (35C)'!$A$1:$G$10,4,FALSE))))</f>
        <v/>
      </c>
      <c r="E536" s="6" t="str">
        <f t="array" ref="E536">IF(ISBLANK(A536),"",IF(A536="PROREP (L)",VLOOKUP(LEFT($A536,6),'Data Feed (35C)'!$A$1:$G$10,7,FALSE),IF(A536="PROREP (S)", INDEX('Data Feed (35C)'!G:G, MATCH(LEFT($A536,6), 'Data Feed (35C)'!$A$1:$A$10, 0) + 1, +1), VLOOKUP($A536,'Data Feed (35C)'!$A$1:$G$10,7,FALSE))))</f>
        <v/>
      </c>
      <c r="F536" s="7"/>
      <c r="G536" s="8"/>
    </row>
    <row r="537">
      <c r="A537" s="9" t="str">
        <f t="shared" ref="A537:A541" si="625">A536</f>
        <v/>
      </c>
      <c r="B537" s="9" t="str">
        <f>IF(ISBLANK(A536),"",LEFT(B536,27)&amp;VALUE(RIGHT(B536,1)+1))</f>
        <v/>
      </c>
      <c r="C537" s="6" t="str">
        <f t="shared" ref="C537:D537" si="624">C536</f>
        <v/>
      </c>
      <c r="D537" s="6" t="str">
        <f t="shared" si="624"/>
        <v/>
      </c>
      <c r="E537" s="10" t="str">
        <f>IF(ISBLANK(A536),"",E536+1)</f>
        <v/>
      </c>
      <c r="F537" s="11" t="str">
        <f t="shared" ref="F537:F541" si="627">F536</f>
        <v/>
      </c>
      <c r="G537" s="8"/>
    </row>
    <row r="538">
      <c r="A538" s="9" t="str">
        <f t="shared" si="625"/>
        <v/>
      </c>
      <c r="B538" s="9" t="str">
        <f>IF(ISBLANK(A536),"",LEFT(B537,27)&amp;VALUE(RIGHT(B537,1)+1))</f>
        <v/>
      </c>
      <c r="C538" s="6" t="str">
        <f t="shared" ref="C538:D538" si="626">C537</f>
        <v/>
      </c>
      <c r="D538" s="6" t="str">
        <f t="shared" si="626"/>
        <v/>
      </c>
      <c r="E538" s="10" t="str">
        <f>IF(ISBLANK(A536),"",E537+1)</f>
        <v/>
      </c>
      <c r="F538" s="11" t="str">
        <f t="shared" si="627"/>
        <v/>
      </c>
      <c r="G538" s="8"/>
    </row>
    <row r="539">
      <c r="A539" s="9" t="str">
        <f t="shared" si="625"/>
        <v/>
      </c>
      <c r="B539" s="9" t="str">
        <f>IF(ISBLANK(A536),"",LEFT(B538,27)&amp;VALUE(RIGHT(B538,1)+1))</f>
        <v/>
      </c>
      <c r="C539" s="6" t="str">
        <f t="shared" ref="C539:D539" si="628">C538</f>
        <v/>
      </c>
      <c r="D539" s="6" t="str">
        <f t="shared" si="628"/>
        <v/>
      </c>
      <c r="E539" s="10" t="str">
        <f>IF(ISBLANK(A536),"",E538+1)</f>
        <v/>
      </c>
      <c r="F539" s="11" t="str">
        <f t="shared" si="627"/>
        <v/>
      </c>
      <c r="G539" s="8"/>
    </row>
    <row r="540">
      <c r="A540" s="9" t="str">
        <f t="shared" si="625"/>
        <v/>
      </c>
      <c r="B540" s="9" t="str">
        <f>IF(ISBLANK(A536),"",LEFT(B539,27)&amp;VALUE(RIGHT(B539,1)+1))</f>
        <v/>
      </c>
      <c r="C540" s="6" t="str">
        <f t="shared" ref="C540:D540" si="629">C539</f>
        <v/>
      </c>
      <c r="D540" s="6" t="str">
        <f t="shared" si="629"/>
        <v/>
      </c>
      <c r="E540" s="10" t="str">
        <f>IF(ISBLANK(A536),"",E539+1)</f>
        <v/>
      </c>
      <c r="F540" s="11" t="str">
        <f t="shared" si="627"/>
        <v/>
      </c>
      <c r="G540" s="8"/>
    </row>
    <row r="541">
      <c r="A541" s="12" t="str">
        <f t="shared" si="625"/>
        <v/>
      </c>
      <c r="B541" s="12" t="str">
        <f>IF(ISBLANK(A536),"",LEFT(B540,27)&amp;VALUE(RIGHT(B540,1)+1))</f>
        <v/>
      </c>
      <c r="C541" s="13" t="str">
        <f t="shared" ref="C541:D541" si="630">C540</f>
        <v/>
      </c>
      <c r="D541" s="13" t="str">
        <f t="shared" si="630"/>
        <v/>
      </c>
      <c r="E541" s="14" t="str">
        <f>IF(ISBLANK(A536),"",E540+1)</f>
        <v/>
      </c>
      <c r="F541" s="15" t="str">
        <f t="shared" si="627"/>
        <v/>
      </c>
      <c r="G541" s="16"/>
    </row>
    <row r="542">
      <c r="A542" s="5"/>
      <c r="B542" s="6" t="str">
        <f t="array" ref="B542">IF(ISBLANK(A542),"",IF(A542="PROREP (L)",VLOOKUP(LEFT($A542,6),'Data Feed (35C)'!$A$1:$G$10,2,FALSE),IF(A542="PROREP (S)", INDEX('Data Feed (35C)'!B:B, MATCH(LEFT($A542,6), 'Data Feed (35C)'!$A$1:$A$10, 0) + 1), VLOOKUP($A542,'Data Feed (35C)'!$A$1:$G$10,2,FALSE))))</f>
        <v/>
      </c>
      <c r="C542" s="6" t="str">
        <f t="array" ref="C542">IF(ISBLANK(A542),"",IF(A542="PROREP (L)",VLOOKUP(LEFT($A542,6),'Data Feed (35C)'!$A$1:$G$10,3,FALSE),IF(A542="PROREP (S)", INDEX('Data Feed (35C)'!C:C, MATCH(LEFT($A542,6), 'Data Feed (35C)'!$A$1:$A$10, 0) + 1, +1), VLOOKUP($A542,'Data Feed (35C)'!$A$1:$G$10,3,FALSE))))</f>
        <v/>
      </c>
      <c r="D542" s="6" t="str">
        <f t="array" ref="D542">IF(ISBLANK(A542),"",IF(A542="PROREP (L)",VLOOKUP(LEFT($A542,6),'Data Feed (35C)'!$A$1:$G$10,4,FALSE),IF(A542="PROREP (S)", INDEX('Data Feed (35C)'!D:D, MATCH(LEFT($A542,6), 'Data Feed (35C)'!$A$1:$A$10, 0) + 1, +1), VLOOKUP($A542,'Data Feed (35C)'!$A$1:$G$10,4,FALSE))))</f>
        <v/>
      </c>
      <c r="E542" s="6" t="str">
        <f t="array" ref="E542">IF(ISBLANK(A542),"",IF(A542="PROREP (L)",VLOOKUP(LEFT($A542,6),'Data Feed (35C)'!$A$1:$G$10,7,FALSE),IF(A542="PROREP (S)", INDEX('Data Feed (35C)'!G:G, MATCH(LEFT($A542,6), 'Data Feed (35C)'!$A$1:$A$10, 0) + 1, +1), VLOOKUP($A542,'Data Feed (35C)'!$A$1:$G$10,7,FALSE))))</f>
        <v/>
      </c>
      <c r="F542" s="7"/>
      <c r="G542" s="8"/>
    </row>
    <row r="543">
      <c r="A543" s="9" t="str">
        <f t="shared" ref="A543:A547" si="632">A542</f>
        <v/>
      </c>
      <c r="B543" s="9" t="str">
        <f>IF(ISBLANK(A542),"",LEFT(B542,27)&amp;VALUE(RIGHT(B542,1)+1))</f>
        <v/>
      </c>
      <c r="C543" s="6" t="str">
        <f t="shared" ref="C543:D543" si="631">C542</f>
        <v/>
      </c>
      <c r="D543" s="6" t="str">
        <f t="shared" si="631"/>
        <v/>
      </c>
      <c r="E543" s="10" t="str">
        <f>IF(ISBLANK(A542),"",E542+1)</f>
        <v/>
      </c>
      <c r="F543" s="11" t="str">
        <f t="shared" ref="F543:F547" si="634">F542</f>
        <v/>
      </c>
      <c r="G543" s="8"/>
    </row>
    <row r="544">
      <c r="A544" s="9" t="str">
        <f t="shared" si="632"/>
        <v/>
      </c>
      <c r="B544" s="9" t="str">
        <f>IF(ISBLANK(A542),"",LEFT(B543,27)&amp;VALUE(RIGHT(B543,1)+1))</f>
        <v/>
      </c>
      <c r="C544" s="6" t="str">
        <f t="shared" ref="C544:D544" si="633">C543</f>
        <v/>
      </c>
      <c r="D544" s="6" t="str">
        <f t="shared" si="633"/>
        <v/>
      </c>
      <c r="E544" s="10" t="str">
        <f>IF(ISBLANK(A542),"",E543+1)</f>
        <v/>
      </c>
      <c r="F544" s="11" t="str">
        <f t="shared" si="634"/>
        <v/>
      </c>
      <c r="G544" s="8"/>
    </row>
    <row r="545">
      <c r="A545" s="9" t="str">
        <f t="shared" si="632"/>
        <v/>
      </c>
      <c r="B545" s="9" t="str">
        <f>IF(ISBLANK(A542),"",LEFT(B544,27)&amp;VALUE(RIGHT(B544,1)+1))</f>
        <v/>
      </c>
      <c r="C545" s="6" t="str">
        <f t="shared" ref="C545:D545" si="635">C544</f>
        <v/>
      </c>
      <c r="D545" s="6" t="str">
        <f t="shared" si="635"/>
        <v/>
      </c>
      <c r="E545" s="10" t="str">
        <f>IF(ISBLANK(A542),"",E544+1)</f>
        <v/>
      </c>
      <c r="F545" s="11" t="str">
        <f t="shared" si="634"/>
        <v/>
      </c>
      <c r="G545" s="8"/>
    </row>
    <row r="546">
      <c r="A546" s="9" t="str">
        <f t="shared" si="632"/>
        <v/>
      </c>
      <c r="B546" s="9" t="str">
        <f>IF(ISBLANK(A542),"",LEFT(B545,27)&amp;VALUE(RIGHT(B545,1)+1))</f>
        <v/>
      </c>
      <c r="C546" s="6" t="str">
        <f t="shared" ref="C546:D546" si="636">C545</f>
        <v/>
      </c>
      <c r="D546" s="6" t="str">
        <f t="shared" si="636"/>
        <v/>
      </c>
      <c r="E546" s="10" t="str">
        <f>IF(ISBLANK(A542),"",E545+1)</f>
        <v/>
      </c>
      <c r="F546" s="11" t="str">
        <f t="shared" si="634"/>
        <v/>
      </c>
      <c r="G546" s="8"/>
    </row>
    <row r="547">
      <c r="A547" s="12" t="str">
        <f t="shared" si="632"/>
        <v/>
      </c>
      <c r="B547" s="12" t="str">
        <f>IF(ISBLANK(A542),"",LEFT(B546,27)&amp;VALUE(RIGHT(B546,1)+1))</f>
        <v/>
      </c>
      <c r="C547" s="13" t="str">
        <f t="shared" ref="C547:D547" si="637">C546</f>
        <v/>
      </c>
      <c r="D547" s="13" t="str">
        <f t="shared" si="637"/>
        <v/>
      </c>
      <c r="E547" s="14" t="str">
        <f>IF(ISBLANK(A542),"",E546+1)</f>
        <v/>
      </c>
      <c r="F547" s="15" t="str">
        <f t="shared" si="634"/>
        <v/>
      </c>
      <c r="G547" s="16"/>
    </row>
    <row r="548">
      <c r="A548" s="5"/>
      <c r="B548" s="6" t="str">
        <f t="array" ref="B548">IF(ISBLANK(A548),"",IF(A548="PROREP (L)",VLOOKUP(LEFT($A548,6),'Data Feed (35C)'!$A$1:$G$10,2,FALSE),IF(A548="PROREP (S)", INDEX('Data Feed (35C)'!B:B, MATCH(LEFT($A548,6), 'Data Feed (35C)'!$A$1:$A$10, 0) + 1), VLOOKUP($A548,'Data Feed (35C)'!$A$1:$G$10,2,FALSE))))</f>
        <v/>
      </c>
      <c r="C548" s="6" t="str">
        <f t="array" ref="C548">IF(ISBLANK(A548),"",IF(A548="PROREP (L)",VLOOKUP(LEFT($A548,6),'Data Feed (35C)'!$A$1:$G$10,3,FALSE),IF(A548="PROREP (S)", INDEX('Data Feed (35C)'!C:C, MATCH(LEFT($A548,6), 'Data Feed (35C)'!$A$1:$A$10, 0) + 1, +1), VLOOKUP($A548,'Data Feed (35C)'!$A$1:$G$10,3,FALSE))))</f>
        <v/>
      </c>
      <c r="D548" s="6" t="str">
        <f t="array" ref="D548">IF(ISBLANK(A548),"",IF(A548="PROREP (L)",VLOOKUP(LEFT($A548,6),'Data Feed (35C)'!$A$1:$G$10,4,FALSE),IF(A548="PROREP (S)", INDEX('Data Feed (35C)'!D:D, MATCH(LEFT($A548,6), 'Data Feed (35C)'!$A$1:$A$10, 0) + 1, +1), VLOOKUP($A548,'Data Feed (35C)'!$A$1:$G$10,4,FALSE))))</f>
        <v/>
      </c>
      <c r="E548" s="6" t="str">
        <f t="array" ref="E548">IF(ISBLANK(A548),"",IF(A548="PROREP (L)",VLOOKUP(LEFT($A548,6),'Data Feed (35C)'!$A$1:$G$10,7,FALSE),IF(A548="PROREP (S)", INDEX('Data Feed (35C)'!G:G, MATCH(LEFT($A548,6), 'Data Feed (35C)'!$A$1:$A$10, 0) + 1, +1), VLOOKUP($A548,'Data Feed (35C)'!$A$1:$G$10,7,FALSE))))</f>
        <v/>
      </c>
      <c r="F548" s="7"/>
      <c r="G548" s="8"/>
    </row>
    <row r="549">
      <c r="A549" s="9" t="str">
        <f t="shared" ref="A549:A553" si="639">A548</f>
        <v/>
      </c>
      <c r="B549" s="9" t="str">
        <f>IF(ISBLANK(A548),"",LEFT(B548,27)&amp;VALUE(RIGHT(B548,1)+1))</f>
        <v/>
      </c>
      <c r="C549" s="6" t="str">
        <f t="shared" ref="C549:D549" si="638">C548</f>
        <v/>
      </c>
      <c r="D549" s="6" t="str">
        <f t="shared" si="638"/>
        <v/>
      </c>
      <c r="E549" s="10" t="str">
        <f>IF(ISBLANK(A548),"",E548+1)</f>
        <v/>
      </c>
      <c r="F549" s="11" t="str">
        <f t="shared" ref="F549:F553" si="641">F548</f>
        <v/>
      </c>
      <c r="G549" s="8"/>
    </row>
    <row r="550">
      <c r="A550" s="9" t="str">
        <f t="shared" si="639"/>
        <v/>
      </c>
      <c r="B550" s="9" t="str">
        <f>IF(ISBLANK(A548),"",LEFT(B549,27)&amp;VALUE(RIGHT(B549,1)+1))</f>
        <v/>
      </c>
      <c r="C550" s="6" t="str">
        <f t="shared" ref="C550:D550" si="640">C549</f>
        <v/>
      </c>
      <c r="D550" s="6" t="str">
        <f t="shared" si="640"/>
        <v/>
      </c>
      <c r="E550" s="10" t="str">
        <f>IF(ISBLANK(A548),"",E549+1)</f>
        <v/>
      </c>
      <c r="F550" s="11" t="str">
        <f t="shared" si="641"/>
        <v/>
      </c>
      <c r="G550" s="8"/>
    </row>
    <row r="551">
      <c r="A551" s="9" t="str">
        <f t="shared" si="639"/>
        <v/>
      </c>
      <c r="B551" s="9" t="str">
        <f>IF(ISBLANK(A548),"",LEFT(B550,27)&amp;VALUE(RIGHT(B550,1)+1))</f>
        <v/>
      </c>
      <c r="C551" s="6" t="str">
        <f t="shared" ref="C551:D551" si="642">C550</f>
        <v/>
      </c>
      <c r="D551" s="6" t="str">
        <f t="shared" si="642"/>
        <v/>
      </c>
      <c r="E551" s="10" t="str">
        <f>IF(ISBLANK(A548),"",E550+1)</f>
        <v/>
      </c>
      <c r="F551" s="11" t="str">
        <f t="shared" si="641"/>
        <v/>
      </c>
      <c r="G551" s="8"/>
    </row>
    <row r="552">
      <c r="A552" s="9" t="str">
        <f t="shared" si="639"/>
        <v/>
      </c>
      <c r="B552" s="9" t="str">
        <f>IF(ISBLANK(A548),"",LEFT(B551,27)&amp;VALUE(RIGHT(B551,1)+1))</f>
        <v/>
      </c>
      <c r="C552" s="6" t="str">
        <f t="shared" ref="C552:D552" si="643">C551</f>
        <v/>
      </c>
      <c r="D552" s="6" t="str">
        <f t="shared" si="643"/>
        <v/>
      </c>
      <c r="E552" s="10" t="str">
        <f>IF(ISBLANK(A548),"",E551+1)</f>
        <v/>
      </c>
      <c r="F552" s="11" t="str">
        <f t="shared" si="641"/>
        <v/>
      </c>
      <c r="G552" s="8"/>
    </row>
    <row r="553">
      <c r="A553" s="12" t="str">
        <f t="shared" si="639"/>
        <v/>
      </c>
      <c r="B553" s="12" t="str">
        <f>IF(ISBLANK(A548),"",LEFT(B552,27)&amp;VALUE(RIGHT(B552,1)+1))</f>
        <v/>
      </c>
      <c r="C553" s="13" t="str">
        <f t="shared" ref="C553:D553" si="644">C552</f>
        <v/>
      </c>
      <c r="D553" s="13" t="str">
        <f t="shared" si="644"/>
        <v/>
      </c>
      <c r="E553" s="14" t="str">
        <f>IF(ISBLANK(A548),"",E552+1)</f>
        <v/>
      </c>
      <c r="F553" s="15" t="str">
        <f t="shared" si="641"/>
        <v/>
      </c>
      <c r="G553" s="16"/>
    </row>
    <row r="554">
      <c r="A554" s="5"/>
      <c r="B554" s="6" t="str">
        <f t="array" ref="B554">IF(ISBLANK(A554),"",IF(A554="PROREP (L)",VLOOKUP(LEFT($A554,6),'Data Feed (35C)'!$A$1:$G$10,2,FALSE),IF(A554="PROREP (S)", INDEX('Data Feed (35C)'!B:B, MATCH(LEFT($A554,6), 'Data Feed (35C)'!$A$1:$A$10, 0) + 1), VLOOKUP($A554,'Data Feed (35C)'!$A$1:$G$10,2,FALSE))))</f>
        <v/>
      </c>
      <c r="C554" s="6" t="str">
        <f t="array" ref="C554">IF(ISBLANK(A554),"",IF(A554="PROREP (L)",VLOOKUP(LEFT($A554,6),'Data Feed (35C)'!$A$1:$G$10,3,FALSE),IF(A554="PROREP (S)", INDEX('Data Feed (35C)'!C:C, MATCH(LEFT($A554,6), 'Data Feed (35C)'!$A$1:$A$10, 0) + 1, +1), VLOOKUP($A554,'Data Feed (35C)'!$A$1:$G$10,3,FALSE))))</f>
        <v/>
      </c>
      <c r="D554" s="6" t="str">
        <f t="array" ref="D554">IF(ISBLANK(A554),"",IF(A554="PROREP (L)",VLOOKUP(LEFT($A554,6),'Data Feed (35C)'!$A$1:$G$10,4,FALSE),IF(A554="PROREP (S)", INDEX('Data Feed (35C)'!D:D, MATCH(LEFT($A554,6), 'Data Feed (35C)'!$A$1:$A$10, 0) + 1, +1), VLOOKUP($A554,'Data Feed (35C)'!$A$1:$G$10,4,FALSE))))</f>
        <v/>
      </c>
      <c r="E554" s="6" t="str">
        <f t="array" ref="E554">IF(ISBLANK(A554),"",IF(A554="PROREP (L)",VLOOKUP(LEFT($A554,6),'Data Feed (35C)'!$A$1:$G$10,7,FALSE),IF(A554="PROREP (S)", INDEX('Data Feed (35C)'!G:G, MATCH(LEFT($A554,6), 'Data Feed (35C)'!$A$1:$A$10, 0) + 1, +1), VLOOKUP($A554,'Data Feed (35C)'!$A$1:$G$10,7,FALSE))))</f>
        <v/>
      </c>
      <c r="F554" s="7"/>
      <c r="G554" s="8"/>
    </row>
    <row r="555">
      <c r="A555" s="9" t="str">
        <f t="shared" ref="A555:A559" si="646">A554</f>
        <v/>
      </c>
      <c r="B555" s="9" t="str">
        <f>IF(ISBLANK(A554),"",LEFT(B554,27)&amp;VALUE(RIGHT(B554,1)+1))</f>
        <v/>
      </c>
      <c r="C555" s="6" t="str">
        <f t="shared" ref="C555:D555" si="645">C554</f>
        <v/>
      </c>
      <c r="D555" s="6" t="str">
        <f t="shared" si="645"/>
        <v/>
      </c>
      <c r="E555" s="10" t="str">
        <f>IF(ISBLANK(A554),"",E554+1)</f>
        <v/>
      </c>
      <c r="F555" s="11" t="str">
        <f t="shared" ref="F555:F559" si="648">F554</f>
        <v/>
      </c>
      <c r="G555" s="8"/>
    </row>
    <row r="556">
      <c r="A556" s="9" t="str">
        <f t="shared" si="646"/>
        <v/>
      </c>
      <c r="B556" s="9" t="str">
        <f>IF(ISBLANK(A554),"",LEFT(B555,27)&amp;VALUE(RIGHT(B555,1)+1))</f>
        <v/>
      </c>
      <c r="C556" s="6" t="str">
        <f t="shared" ref="C556:D556" si="647">C555</f>
        <v/>
      </c>
      <c r="D556" s="6" t="str">
        <f t="shared" si="647"/>
        <v/>
      </c>
      <c r="E556" s="10" t="str">
        <f>IF(ISBLANK(A554),"",E555+1)</f>
        <v/>
      </c>
      <c r="F556" s="11" t="str">
        <f t="shared" si="648"/>
        <v/>
      </c>
      <c r="G556" s="8"/>
    </row>
    <row r="557">
      <c r="A557" s="9" t="str">
        <f t="shared" si="646"/>
        <v/>
      </c>
      <c r="B557" s="9" t="str">
        <f>IF(ISBLANK(A554),"",LEFT(B556,27)&amp;VALUE(RIGHT(B556,1)+1))</f>
        <v/>
      </c>
      <c r="C557" s="6" t="str">
        <f t="shared" ref="C557:D557" si="649">C556</f>
        <v/>
      </c>
      <c r="D557" s="6" t="str">
        <f t="shared" si="649"/>
        <v/>
      </c>
      <c r="E557" s="10" t="str">
        <f>IF(ISBLANK(A554),"",E556+1)</f>
        <v/>
      </c>
      <c r="F557" s="11" t="str">
        <f t="shared" si="648"/>
        <v/>
      </c>
      <c r="G557" s="8"/>
    </row>
    <row r="558">
      <c r="A558" s="9" t="str">
        <f t="shared" si="646"/>
        <v/>
      </c>
      <c r="B558" s="9" t="str">
        <f>IF(ISBLANK(A554),"",LEFT(B557,27)&amp;VALUE(RIGHT(B557,1)+1))</f>
        <v/>
      </c>
      <c r="C558" s="6" t="str">
        <f t="shared" ref="C558:D558" si="650">C557</f>
        <v/>
      </c>
      <c r="D558" s="6" t="str">
        <f t="shared" si="650"/>
        <v/>
      </c>
      <c r="E558" s="10" t="str">
        <f>IF(ISBLANK(A554),"",E557+1)</f>
        <v/>
      </c>
      <c r="F558" s="11" t="str">
        <f t="shared" si="648"/>
        <v/>
      </c>
      <c r="G558" s="8"/>
    </row>
    <row r="559">
      <c r="A559" s="12" t="str">
        <f t="shared" si="646"/>
        <v/>
      </c>
      <c r="B559" s="12" t="str">
        <f>IF(ISBLANK(A554),"",LEFT(B558,27)&amp;VALUE(RIGHT(B558,1)+1))</f>
        <v/>
      </c>
      <c r="C559" s="13" t="str">
        <f t="shared" ref="C559:D559" si="651">C558</f>
        <v/>
      </c>
      <c r="D559" s="13" t="str">
        <f t="shared" si="651"/>
        <v/>
      </c>
      <c r="E559" s="14" t="str">
        <f>IF(ISBLANK(A554),"",E558+1)</f>
        <v/>
      </c>
      <c r="F559" s="15" t="str">
        <f t="shared" si="648"/>
        <v/>
      </c>
      <c r="G559" s="16"/>
    </row>
    <row r="560">
      <c r="A560" s="5"/>
      <c r="B560" s="6" t="str">
        <f t="array" ref="B560">IF(ISBLANK(A560),"",IF(A560="PROREP (L)",VLOOKUP(LEFT($A560,6),'Data Feed (35C)'!$A$1:$G$10,2,FALSE),IF(A560="PROREP (S)", INDEX('Data Feed (35C)'!B:B, MATCH(LEFT($A560,6), 'Data Feed (35C)'!$A$1:$A$10, 0) + 1), VLOOKUP($A560,'Data Feed (35C)'!$A$1:$G$10,2,FALSE))))</f>
        <v/>
      </c>
      <c r="C560" s="6" t="str">
        <f t="array" ref="C560">IF(ISBLANK(A560),"",IF(A560="PROREP (L)",VLOOKUP(LEFT($A560,6),'Data Feed (35C)'!$A$1:$G$10,3,FALSE),IF(A560="PROREP (S)", INDEX('Data Feed (35C)'!C:C, MATCH(LEFT($A560,6), 'Data Feed (35C)'!$A$1:$A$10, 0) + 1, +1), VLOOKUP($A560,'Data Feed (35C)'!$A$1:$G$10,3,FALSE))))</f>
        <v/>
      </c>
      <c r="D560" s="6" t="str">
        <f t="array" ref="D560">IF(ISBLANK(A560),"",IF(A560="PROREP (L)",VLOOKUP(LEFT($A560,6),'Data Feed (35C)'!$A$1:$G$10,4,FALSE),IF(A560="PROREP (S)", INDEX('Data Feed (35C)'!D:D, MATCH(LEFT($A560,6), 'Data Feed (35C)'!$A$1:$A$10, 0) + 1, +1), VLOOKUP($A560,'Data Feed (35C)'!$A$1:$G$10,4,FALSE))))</f>
        <v/>
      </c>
      <c r="E560" s="6" t="str">
        <f t="array" ref="E560">IF(ISBLANK(A560),"",IF(A560="PROREP (L)",VLOOKUP(LEFT($A560,6),'Data Feed (35C)'!$A$1:$G$10,7,FALSE),IF(A560="PROREP (S)", INDEX('Data Feed (35C)'!G:G, MATCH(LEFT($A560,6), 'Data Feed (35C)'!$A$1:$A$10, 0) + 1, +1), VLOOKUP($A560,'Data Feed (35C)'!$A$1:$G$10,7,FALSE))))</f>
        <v/>
      </c>
      <c r="F560" s="7"/>
      <c r="G560" s="8"/>
    </row>
    <row r="561">
      <c r="A561" s="9" t="str">
        <f t="shared" ref="A561:A565" si="653">A560</f>
        <v/>
      </c>
      <c r="B561" s="9" t="str">
        <f>IF(ISBLANK(A560),"",LEFT(B560,27)&amp;VALUE(RIGHT(B560,1)+1))</f>
        <v/>
      </c>
      <c r="C561" s="6" t="str">
        <f t="shared" ref="C561:D561" si="652">C560</f>
        <v/>
      </c>
      <c r="D561" s="6" t="str">
        <f t="shared" si="652"/>
        <v/>
      </c>
      <c r="E561" s="10" t="str">
        <f>IF(ISBLANK(A560),"",E560+1)</f>
        <v/>
      </c>
      <c r="F561" s="11" t="str">
        <f t="shared" ref="F561:F565" si="655">F560</f>
        <v/>
      </c>
      <c r="G561" s="8"/>
    </row>
    <row r="562">
      <c r="A562" s="9" t="str">
        <f t="shared" si="653"/>
        <v/>
      </c>
      <c r="B562" s="9" t="str">
        <f>IF(ISBLANK(A560),"",LEFT(B561,27)&amp;VALUE(RIGHT(B561,1)+1))</f>
        <v/>
      </c>
      <c r="C562" s="6" t="str">
        <f t="shared" ref="C562:D562" si="654">C561</f>
        <v/>
      </c>
      <c r="D562" s="6" t="str">
        <f t="shared" si="654"/>
        <v/>
      </c>
      <c r="E562" s="10" t="str">
        <f>IF(ISBLANK(A560),"",E561+1)</f>
        <v/>
      </c>
      <c r="F562" s="11" t="str">
        <f t="shared" si="655"/>
        <v/>
      </c>
      <c r="G562" s="8"/>
    </row>
    <row r="563">
      <c r="A563" s="9" t="str">
        <f t="shared" si="653"/>
        <v/>
      </c>
      <c r="B563" s="9" t="str">
        <f>IF(ISBLANK(A560),"",LEFT(B562,27)&amp;VALUE(RIGHT(B562,1)+1))</f>
        <v/>
      </c>
      <c r="C563" s="6" t="str">
        <f t="shared" ref="C563:D563" si="656">C562</f>
        <v/>
      </c>
      <c r="D563" s="6" t="str">
        <f t="shared" si="656"/>
        <v/>
      </c>
      <c r="E563" s="10" t="str">
        <f>IF(ISBLANK(A560),"",E562+1)</f>
        <v/>
      </c>
      <c r="F563" s="11" t="str">
        <f t="shared" si="655"/>
        <v/>
      </c>
      <c r="G563" s="8"/>
    </row>
    <row r="564">
      <c r="A564" s="9" t="str">
        <f t="shared" si="653"/>
        <v/>
      </c>
      <c r="B564" s="9" t="str">
        <f>IF(ISBLANK(A560),"",LEFT(B563,27)&amp;VALUE(RIGHT(B563,1)+1))</f>
        <v/>
      </c>
      <c r="C564" s="6" t="str">
        <f t="shared" ref="C564:D564" si="657">C563</f>
        <v/>
      </c>
      <c r="D564" s="6" t="str">
        <f t="shared" si="657"/>
        <v/>
      </c>
      <c r="E564" s="10" t="str">
        <f>IF(ISBLANK(A560),"",E563+1)</f>
        <v/>
      </c>
      <c r="F564" s="11" t="str">
        <f t="shared" si="655"/>
        <v/>
      </c>
      <c r="G564" s="8"/>
    </row>
    <row r="565">
      <c r="A565" s="12" t="str">
        <f t="shared" si="653"/>
        <v/>
      </c>
      <c r="B565" s="12" t="str">
        <f>IF(ISBLANK(A560),"",LEFT(B564,27)&amp;VALUE(RIGHT(B564,1)+1))</f>
        <v/>
      </c>
      <c r="C565" s="13" t="str">
        <f t="shared" ref="C565:D565" si="658">C564</f>
        <v/>
      </c>
      <c r="D565" s="13" t="str">
        <f t="shared" si="658"/>
        <v/>
      </c>
      <c r="E565" s="14" t="str">
        <f>IF(ISBLANK(A560),"",E564+1)</f>
        <v/>
      </c>
      <c r="F565" s="15" t="str">
        <f t="shared" si="655"/>
        <v/>
      </c>
      <c r="G565" s="16"/>
    </row>
    <row r="566">
      <c r="A566" s="5"/>
      <c r="B566" s="6" t="str">
        <f t="array" ref="B566">IF(ISBLANK(A566),"",IF(A566="PROREP (L)",VLOOKUP(LEFT($A566,6),'Data Feed (35C)'!$A$1:$G$10,2,FALSE),IF(A566="PROREP (S)", INDEX('Data Feed (35C)'!B:B, MATCH(LEFT($A566,6), 'Data Feed (35C)'!$A$1:$A$10, 0) + 1), VLOOKUP($A566,'Data Feed (35C)'!$A$1:$G$10,2,FALSE))))</f>
        <v/>
      </c>
      <c r="C566" s="6" t="str">
        <f t="array" ref="C566">IF(ISBLANK(A566),"",IF(A566="PROREP (L)",VLOOKUP(LEFT($A566,6),'Data Feed (35C)'!$A$1:$G$10,3,FALSE),IF(A566="PROREP (S)", INDEX('Data Feed (35C)'!C:C, MATCH(LEFT($A566,6), 'Data Feed (35C)'!$A$1:$A$10, 0) + 1, +1), VLOOKUP($A566,'Data Feed (35C)'!$A$1:$G$10,3,FALSE))))</f>
        <v/>
      </c>
      <c r="D566" s="6" t="str">
        <f t="array" ref="D566">IF(ISBLANK(A566),"",IF(A566="PROREP (L)",VLOOKUP(LEFT($A566,6),'Data Feed (35C)'!$A$1:$G$10,4,FALSE),IF(A566="PROREP (S)", INDEX('Data Feed (35C)'!D:D, MATCH(LEFT($A566,6), 'Data Feed (35C)'!$A$1:$A$10, 0) + 1, +1), VLOOKUP($A566,'Data Feed (35C)'!$A$1:$G$10,4,FALSE))))</f>
        <v/>
      </c>
      <c r="E566" s="6" t="str">
        <f t="array" ref="E566">IF(ISBLANK(A566),"",IF(A566="PROREP (L)",VLOOKUP(LEFT($A566,6),'Data Feed (35C)'!$A$1:$G$10,7,FALSE),IF(A566="PROREP (S)", INDEX('Data Feed (35C)'!G:G, MATCH(LEFT($A566,6), 'Data Feed (35C)'!$A$1:$A$10, 0) + 1, +1), VLOOKUP($A566,'Data Feed (35C)'!$A$1:$G$10,7,FALSE))))</f>
        <v/>
      </c>
      <c r="F566" s="7"/>
      <c r="G566" s="8"/>
    </row>
    <row r="567">
      <c r="A567" s="9" t="str">
        <f t="shared" ref="A567:A571" si="660">A566</f>
        <v/>
      </c>
      <c r="B567" s="9" t="str">
        <f>IF(ISBLANK(A566),"",LEFT(B566,27)&amp;VALUE(RIGHT(B566,1)+1))</f>
        <v/>
      </c>
      <c r="C567" s="6" t="str">
        <f t="shared" ref="C567:D567" si="659">C566</f>
        <v/>
      </c>
      <c r="D567" s="6" t="str">
        <f t="shared" si="659"/>
        <v/>
      </c>
      <c r="E567" s="10" t="str">
        <f>IF(ISBLANK(A566),"",E566+1)</f>
        <v/>
      </c>
      <c r="F567" s="11" t="str">
        <f t="shared" ref="F567:F571" si="662">F566</f>
        <v/>
      </c>
      <c r="G567" s="8"/>
    </row>
    <row r="568">
      <c r="A568" s="9" t="str">
        <f t="shared" si="660"/>
        <v/>
      </c>
      <c r="B568" s="9" t="str">
        <f>IF(ISBLANK(A566),"",LEFT(B567,27)&amp;VALUE(RIGHT(B567,1)+1))</f>
        <v/>
      </c>
      <c r="C568" s="6" t="str">
        <f t="shared" ref="C568:D568" si="661">C567</f>
        <v/>
      </c>
      <c r="D568" s="6" t="str">
        <f t="shared" si="661"/>
        <v/>
      </c>
      <c r="E568" s="10" t="str">
        <f>IF(ISBLANK(A566),"",E567+1)</f>
        <v/>
      </c>
      <c r="F568" s="11" t="str">
        <f t="shared" si="662"/>
        <v/>
      </c>
      <c r="G568" s="8"/>
    </row>
    <row r="569">
      <c r="A569" s="9" t="str">
        <f t="shared" si="660"/>
        <v/>
      </c>
      <c r="B569" s="9" t="str">
        <f>IF(ISBLANK(A566),"",LEFT(B568,27)&amp;VALUE(RIGHT(B568,1)+1))</f>
        <v/>
      </c>
      <c r="C569" s="6" t="str">
        <f t="shared" ref="C569:D569" si="663">C568</f>
        <v/>
      </c>
      <c r="D569" s="6" t="str">
        <f t="shared" si="663"/>
        <v/>
      </c>
      <c r="E569" s="10" t="str">
        <f>IF(ISBLANK(A566),"",E568+1)</f>
        <v/>
      </c>
      <c r="F569" s="11" t="str">
        <f t="shared" si="662"/>
        <v/>
      </c>
      <c r="G569" s="8"/>
    </row>
    <row r="570">
      <c r="A570" s="9" t="str">
        <f t="shared" si="660"/>
        <v/>
      </c>
      <c r="B570" s="9" t="str">
        <f>IF(ISBLANK(A566),"",LEFT(B569,27)&amp;VALUE(RIGHT(B569,1)+1))</f>
        <v/>
      </c>
      <c r="C570" s="6" t="str">
        <f t="shared" ref="C570:D570" si="664">C569</f>
        <v/>
      </c>
      <c r="D570" s="6" t="str">
        <f t="shared" si="664"/>
        <v/>
      </c>
      <c r="E570" s="10" t="str">
        <f>IF(ISBLANK(A566),"",E569+1)</f>
        <v/>
      </c>
      <c r="F570" s="11" t="str">
        <f t="shared" si="662"/>
        <v/>
      </c>
      <c r="G570" s="8"/>
    </row>
    <row r="571">
      <c r="A571" s="12" t="str">
        <f t="shared" si="660"/>
        <v/>
      </c>
      <c r="B571" s="12" t="str">
        <f>IF(ISBLANK(A566),"",LEFT(B570,27)&amp;VALUE(RIGHT(B570,1)+1))</f>
        <v/>
      </c>
      <c r="C571" s="13" t="str">
        <f t="shared" ref="C571:D571" si="665">C570</f>
        <v/>
      </c>
      <c r="D571" s="13" t="str">
        <f t="shared" si="665"/>
        <v/>
      </c>
      <c r="E571" s="14" t="str">
        <f>IF(ISBLANK(A566),"",E570+1)</f>
        <v/>
      </c>
      <c r="F571" s="15" t="str">
        <f t="shared" si="662"/>
        <v/>
      </c>
      <c r="G571" s="16"/>
    </row>
    <row r="572">
      <c r="A572" s="5"/>
      <c r="B572" s="6" t="str">
        <f t="array" ref="B572">IF(ISBLANK(A572),"",IF(A572="PROREP (L)",VLOOKUP(LEFT($A572,6),'Data Feed (35C)'!$A$1:$G$10,2,FALSE),IF(A572="PROREP (S)", INDEX('Data Feed (35C)'!B:B, MATCH(LEFT($A572,6), 'Data Feed (35C)'!$A$1:$A$10, 0) + 1), VLOOKUP($A572,'Data Feed (35C)'!$A$1:$G$10,2,FALSE))))</f>
        <v/>
      </c>
      <c r="C572" s="6" t="str">
        <f t="array" ref="C572">IF(ISBLANK(A572),"",IF(A572="PROREP (L)",VLOOKUP(LEFT($A572,6),'Data Feed (35C)'!$A$1:$G$10,3,FALSE),IF(A572="PROREP (S)", INDEX('Data Feed (35C)'!C:C, MATCH(LEFT($A572,6), 'Data Feed (35C)'!$A$1:$A$10, 0) + 1, +1), VLOOKUP($A572,'Data Feed (35C)'!$A$1:$G$10,3,FALSE))))</f>
        <v/>
      </c>
      <c r="D572" s="6" t="str">
        <f t="array" ref="D572">IF(ISBLANK(A572),"",IF(A572="PROREP (L)",VLOOKUP(LEFT($A572,6),'Data Feed (35C)'!$A$1:$G$10,4,FALSE),IF(A572="PROREP (S)", INDEX('Data Feed (35C)'!D:D, MATCH(LEFT($A572,6), 'Data Feed (35C)'!$A$1:$A$10, 0) + 1, +1), VLOOKUP($A572,'Data Feed (35C)'!$A$1:$G$10,4,FALSE))))</f>
        <v/>
      </c>
      <c r="E572" s="6" t="str">
        <f t="array" ref="E572">IF(ISBLANK(A572),"",IF(A572="PROREP (L)",VLOOKUP(LEFT($A572,6),'Data Feed (35C)'!$A$1:$G$10,7,FALSE),IF(A572="PROREP (S)", INDEX('Data Feed (35C)'!G:G, MATCH(LEFT($A572,6), 'Data Feed (35C)'!$A$1:$A$10, 0) + 1, +1), VLOOKUP($A572,'Data Feed (35C)'!$A$1:$G$10,7,FALSE))))</f>
        <v/>
      </c>
      <c r="F572" s="7"/>
      <c r="G572" s="8"/>
    </row>
    <row r="573">
      <c r="A573" s="9" t="str">
        <f t="shared" ref="A573:A577" si="667">A572</f>
        <v/>
      </c>
      <c r="B573" s="9" t="str">
        <f>IF(ISBLANK(A572),"",LEFT(B572,27)&amp;VALUE(RIGHT(B572,1)+1))</f>
        <v/>
      </c>
      <c r="C573" s="6" t="str">
        <f t="shared" ref="C573:D573" si="666">C572</f>
        <v/>
      </c>
      <c r="D573" s="6" t="str">
        <f t="shared" si="666"/>
        <v/>
      </c>
      <c r="E573" s="10" t="str">
        <f>IF(ISBLANK(A572),"",E572+1)</f>
        <v/>
      </c>
      <c r="F573" s="11" t="str">
        <f t="shared" ref="F573:F577" si="669">F572</f>
        <v/>
      </c>
      <c r="G573" s="8"/>
    </row>
    <row r="574">
      <c r="A574" s="9" t="str">
        <f t="shared" si="667"/>
        <v/>
      </c>
      <c r="B574" s="9" t="str">
        <f>IF(ISBLANK(A572),"",LEFT(B573,27)&amp;VALUE(RIGHT(B573,1)+1))</f>
        <v/>
      </c>
      <c r="C574" s="6" t="str">
        <f t="shared" ref="C574:D574" si="668">C573</f>
        <v/>
      </c>
      <c r="D574" s="6" t="str">
        <f t="shared" si="668"/>
        <v/>
      </c>
      <c r="E574" s="10" t="str">
        <f>IF(ISBLANK(A572),"",E573+1)</f>
        <v/>
      </c>
      <c r="F574" s="11" t="str">
        <f t="shared" si="669"/>
        <v/>
      </c>
      <c r="G574" s="8"/>
    </row>
    <row r="575">
      <c r="A575" s="9" t="str">
        <f t="shared" si="667"/>
        <v/>
      </c>
      <c r="B575" s="9" t="str">
        <f>IF(ISBLANK(A572),"",LEFT(B574,27)&amp;VALUE(RIGHT(B574,1)+1))</f>
        <v/>
      </c>
      <c r="C575" s="6" t="str">
        <f t="shared" ref="C575:D575" si="670">C574</f>
        <v/>
      </c>
      <c r="D575" s="6" t="str">
        <f t="shared" si="670"/>
        <v/>
      </c>
      <c r="E575" s="10" t="str">
        <f>IF(ISBLANK(A572),"",E574+1)</f>
        <v/>
      </c>
      <c r="F575" s="11" t="str">
        <f t="shared" si="669"/>
        <v/>
      </c>
      <c r="G575" s="8"/>
    </row>
    <row r="576">
      <c r="A576" s="9" t="str">
        <f t="shared" si="667"/>
        <v/>
      </c>
      <c r="B576" s="9" t="str">
        <f>IF(ISBLANK(A572),"",LEFT(B575,27)&amp;VALUE(RIGHT(B575,1)+1))</f>
        <v/>
      </c>
      <c r="C576" s="6" t="str">
        <f t="shared" ref="C576:D576" si="671">C575</f>
        <v/>
      </c>
      <c r="D576" s="6" t="str">
        <f t="shared" si="671"/>
        <v/>
      </c>
      <c r="E576" s="10" t="str">
        <f>IF(ISBLANK(A572),"",E575+1)</f>
        <v/>
      </c>
      <c r="F576" s="11" t="str">
        <f t="shared" si="669"/>
        <v/>
      </c>
      <c r="G576" s="8"/>
    </row>
    <row r="577">
      <c r="A577" s="12" t="str">
        <f t="shared" si="667"/>
        <v/>
      </c>
      <c r="B577" s="12" t="str">
        <f>IF(ISBLANK(A572),"",LEFT(B576,27)&amp;VALUE(RIGHT(B576,1)+1))</f>
        <v/>
      </c>
      <c r="C577" s="13" t="str">
        <f t="shared" ref="C577:D577" si="672">C576</f>
        <v/>
      </c>
      <c r="D577" s="13" t="str">
        <f t="shared" si="672"/>
        <v/>
      </c>
      <c r="E577" s="14" t="str">
        <f>IF(ISBLANK(A572),"",E576+1)</f>
        <v/>
      </c>
      <c r="F577" s="15" t="str">
        <f t="shared" si="669"/>
        <v/>
      </c>
      <c r="G577" s="16"/>
    </row>
    <row r="578">
      <c r="A578" s="5"/>
      <c r="B578" s="6" t="str">
        <f t="array" ref="B578">IF(ISBLANK(A578),"",IF(A578="PROREP (L)",VLOOKUP(LEFT($A578,6),'Data Feed (35C)'!$A$1:$G$10,2,FALSE),IF(A578="PROREP (S)", INDEX('Data Feed (35C)'!B:B, MATCH(LEFT($A578,6), 'Data Feed (35C)'!$A$1:$A$10, 0) + 1), VLOOKUP($A578,'Data Feed (35C)'!$A$1:$G$10,2,FALSE))))</f>
        <v/>
      </c>
      <c r="C578" s="6" t="str">
        <f t="array" ref="C578">IF(ISBLANK(A578),"",IF(A578="PROREP (L)",VLOOKUP(LEFT($A578,6),'Data Feed (35C)'!$A$1:$G$10,3,FALSE),IF(A578="PROREP (S)", INDEX('Data Feed (35C)'!C:C, MATCH(LEFT($A578,6), 'Data Feed (35C)'!$A$1:$A$10, 0) + 1, +1), VLOOKUP($A578,'Data Feed (35C)'!$A$1:$G$10,3,FALSE))))</f>
        <v/>
      </c>
      <c r="D578" s="6" t="str">
        <f t="array" ref="D578">IF(ISBLANK(A578),"",IF(A578="PROREP (L)",VLOOKUP(LEFT($A578,6),'Data Feed (35C)'!$A$1:$G$10,4,FALSE),IF(A578="PROREP (S)", INDEX('Data Feed (35C)'!D:D, MATCH(LEFT($A578,6), 'Data Feed (35C)'!$A$1:$A$10, 0) + 1, +1), VLOOKUP($A578,'Data Feed (35C)'!$A$1:$G$10,4,FALSE))))</f>
        <v/>
      </c>
      <c r="E578" s="6" t="str">
        <f t="array" ref="E578">IF(ISBLANK(A578),"",IF(A578="PROREP (L)",VLOOKUP(LEFT($A578,6),'Data Feed (35C)'!$A$1:$G$10,7,FALSE),IF(A578="PROREP (S)", INDEX('Data Feed (35C)'!G:G, MATCH(LEFT($A578,6), 'Data Feed (35C)'!$A$1:$A$10, 0) + 1, +1), VLOOKUP($A578,'Data Feed (35C)'!$A$1:$G$10,7,FALSE))))</f>
        <v/>
      </c>
      <c r="F578" s="7"/>
      <c r="G578" s="8"/>
    </row>
    <row r="579">
      <c r="A579" s="9" t="str">
        <f t="shared" ref="A579:A583" si="674">A578</f>
        <v/>
      </c>
      <c r="B579" s="9" t="str">
        <f>IF(ISBLANK(A578),"",LEFT(B578,27)&amp;VALUE(RIGHT(B578,1)+1))</f>
        <v/>
      </c>
      <c r="C579" s="6" t="str">
        <f t="shared" ref="C579:D579" si="673">C578</f>
        <v/>
      </c>
      <c r="D579" s="6" t="str">
        <f t="shared" si="673"/>
        <v/>
      </c>
      <c r="E579" s="10" t="str">
        <f>IF(ISBLANK(A578),"",E578+1)</f>
        <v/>
      </c>
      <c r="F579" s="11" t="str">
        <f t="shared" ref="F579:F583" si="676">F578</f>
        <v/>
      </c>
      <c r="G579" s="8"/>
    </row>
    <row r="580">
      <c r="A580" s="9" t="str">
        <f t="shared" si="674"/>
        <v/>
      </c>
      <c r="B580" s="9" t="str">
        <f>IF(ISBLANK(A578),"",LEFT(B579,27)&amp;VALUE(RIGHT(B579,1)+1))</f>
        <v/>
      </c>
      <c r="C580" s="6" t="str">
        <f t="shared" ref="C580:D580" si="675">C579</f>
        <v/>
      </c>
      <c r="D580" s="6" t="str">
        <f t="shared" si="675"/>
        <v/>
      </c>
      <c r="E580" s="10" t="str">
        <f>IF(ISBLANK(A578),"",E579+1)</f>
        <v/>
      </c>
      <c r="F580" s="11" t="str">
        <f t="shared" si="676"/>
        <v/>
      </c>
      <c r="G580" s="8"/>
    </row>
    <row r="581">
      <c r="A581" s="9" t="str">
        <f t="shared" si="674"/>
        <v/>
      </c>
      <c r="B581" s="9" t="str">
        <f>IF(ISBLANK(A578),"",LEFT(B580,27)&amp;VALUE(RIGHT(B580,1)+1))</f>
        <v/>
      </c>
      <c r="C581" s="6" t="str">
        <f t="shared" ref="C581:D581" si="677">C580</f>
        <v/>
      </c>
      <c r="D581" s="6" t="str">
        <f t="shared" si="677"/>
        <v/>
      </c>
      <c r="E581" s="10" t="str">
        <f>IF(ISBLANK(A578),"",E580+1)</f>
        <v/>
      </c>
      <c r="F581" s="11" t="str">
        <f t="shared" si="676"/>
        <v/>
      </c>
      <c r="G581" s="8"/>
    </row>
    <row r="582">
      <c r="A582" s="9" t="str">
        <f t="shared" si="674"/>
        <v/>
      </c>
      <c r="B582" s="9" t="str">
        <f>IF(ISBLANK(A578),"",LEFT(B581,27)&amp;VALUE(RIGHT(B581,1)+1))</f>
        <v/>
      </c>
      <c r="C582" s="6" t="str">
        <f t="shared" ref="C582:D582" si="678">C581</f>
        <v/>
      </c>
      <c r="D582" s="6" t="str">
        <f t="shared" si="678"/>
        <v/>
      </c>
      <c r="E582" s="10" t="str">
        <f>IF(ISBLANK(A578),"",E581+1)</f>
        <v/>
      </c>
      <c r="F582" s="11" t="str">
        <f t="shared" si="676"/>
        <v/>
      </c>
      <c r="G582" s="8"/>
    </row>
    <row r="583">
      <c r="A583" s="12" t="str">
        <f t="shared" si="674"/>
        <v/>
      </c>
      <c r="B583" s="12" t="str">
        <f>IF(ISBLANK(A578),"",LEFT(B582,27)&amp;VALUE(RIGHT(B582,1)+1))</f>
        <v/>
      </c>
      <c r="C583" s="13" t="str">
        <f t="shared" ref="C583:D583" si="679">C582</f>
        <v/>
      </c>
      <c r="D583" s="13" t="str">
        <f t="shared" si="679"/>
        <v/>
      </c>
      <c r="E583" s="14" t="str">
        <f>IF(ISBLANK(A578),"",E582+1)</f>
        <v/>
      </c>
      <c r="F583" s="15" t="str">
        <f t="shared" si="676"/>
        <v/>
      </c>
      <c r="G583" s="16"/>
    </row>
    <row r="584">
      <c r="A584" s="5"/>
      <c r="B584" s="6" t="str">
        <f t="array" ref="B584">IF(ISBLANK(A584),"",IF(A584="PROREP (L)",VLOOKUP(LEFT($A584,6),'Data Feed (35C)'!$A$1:$G$10,2,FALSE),IF(A584="PROREP (S)", INDEX('Data Feed (35C)'!B:B, MATCH(LEFT($A584,6), 'Data Feed (35C)'!$A$1:$A$10, 0) + 1), VLOOKUP($A584,'Data Feed (35C)'!$A$1:$G$10,2,FALSE))))</f>
        <v/>
      </c>
      <c r="C584" s="6" t="str">
        <f t="array" ref="C584">IF(ISBLANK(A584),"",IF(A584="PROREP (L)",VLOOKUP(LEFT($A584,6),'Data Feed (35C)'!$A$1:$G$10,3,FALSE),IF(A584="PROREP (S)", INDEX('Data Feed (35C)'!C:C, MATCH(LEFT($A584,6), 'Data Feed (35C)'!$A$1:$A$10, 0) + 1, +1), VLOOKUP($A584,'Data Feed (35C)'!$A$1:$G$10,3,FALSE))))</f>
        <v/>
      </c>
      <c r="D584" s="6" t="str">
        <f t="array" ref="D584">IF(ISBLANK(A584),"",IF(A584="PROREP (L)",VLOOKUP(LEFT($A584,6),'Data Feed (35C)'!$A$1:$G$10,4,FALSE),IF(A584="PROREP (S)", INDEX('Data Feed (35C)'!D:D, MATCH(LEFT($A584,6), 'Data Feed (35C)'!$A$1:$A$10, 0) + 1, +1), VLOOKUP($A584,'Data Feed (35C)'!$A$1:$G$10,4,FALSE))))</f>
        <v/>
      </c>
      <c r="E584" s="6" t="str">
        <f t="array" ref="E584">IF(ISBLANK(A584),"",IF(A584="PROREP (L)",VLOOKUP(LEFT($A584,6),'Data Feed (35C)'!$A$1:$G$10,7,FALSE),IF(A584="PROREP (S)", INDEX('Data Feed (35C)'!G:G, MATCH(LEFT($A584,6), 'Data Feed (35C)'!$A$1:$A$10, 0) + 1, +1), VLOOKUP($A584,'Data Feed (35C)'!$A$1:$G$10,7,FALSE))))</f>
        <v/>
      </c>
      <c r="F584" s="7"/>
      <c r="G584" s="8"/>
    </row>
    <row r="585">
      <c r="A585" s="9" t="str">
        <f t="shared" ref="A585:A589" si="681">A584</f>
        <v/>
      </c>
      <c r="B585" s="9" t="str">
        <f>IF(ISBLANK(A584),"",LEFT(B584,27)&amp;VALUE(RIGHT(B584,1)+1))</f>
        <v/>
      </c>
      <c r="C585" s="6" t="str">
        <f t="shared" ref="C585:D585" si="680">C584</f>
        <v/>
      </c>
      <c r="D585" s="6" t="str">
        <f t="shared" si="680"/>
        <v/>
      </c>
      <c r="E585" s="10" t="str">
        <f>IF(ISBLANK(A584),"",E584+1)</f>
        <v/>
      </c>
      <c r="F585" s="11" t="str">
        <f t="shared" ref="F585:F589" si="683">F584</f>
        <v/>
      </c>
      <c r="G585" s="8"/>
    </row>
    <row r="586">
      <c r="A586" s="9" t="str">
        <f t="shared" si="681"/>
        <v/>
      </c>
      <c r="B586" s="9" t="str">
        <f>IF(ISBLANK(A584),"",LEFT(B585,27)&amp;VALUE(RIGHT(B585,1)+1))</f>
        <v/>
      </c>
      <c r="C586" s="6" t="str">
        <f t="shared" ref="C586:D586" si="682">C585</f>
        <v/>
      </c>
      <c r="D586" s="6" t="str">
        <f t="shared" si="682"/>
        <v/>
      </c>
      <c r="E586" s="10" t="str">
        <f>IF(ISBLANK(A584),"",E585+1)</f>
        <v/>
      </c>
      <c r="F586" s="11" t="str">
        <f t="shared" si="683"/>
        <v/>
      </c>
      <c r="G586" s="8"/>
    </row>
    <row r="587">
      <c r="A587" s="9" t="str">
        <f t="shared" si="681"/>
        <v/>
      </c>
      <c r="B587" s="9" t="str">
        <f>IF(ISBLANK(A584),"",LEFT(B586,27)&amp;VALUE(RIGHT(B586,1)+1))</f>
        <v/>
      </c>
      <c r="C587" s="6" t="str">
        <f t="shared" ref="C587:D587" si="684">C586</f>
        <v/>
      </c>
      <c r="D587" s="6" t="str">
        <f t="shared" si="684"/>
        <v/>
      </c>
      <c r="E587" s="10" t="str">
        <f>IF(ISBLANK(A584),"",E586+1)</f>
        <v/>
      </c>
      <c r="F587" s="11" t="str">
        <f t="shared" si="683"/>
        <v/>
      </c>
      <c r="G587" s="8"/>
    </row>
    <row r="588">
      <c r="A588" s="9" t="str">
        <f t="shared" si="681"/>
        <v/>
      </c>
      <c r="B588" s="9" t="str">
        <f>IF(ISBLANK(A584),"",LEFT(B587,27)&amp;VALUE(RIGHT(B587,1)+1))</f>
        <v/>
      </c>
      <c r="C588" s="6" t="str">
        <f t="shared" ref="C588:D588" si="685">C587</f>
        <v/>
      </c>
      <c r="D588" s="6" t="str">
        <f t="shared" si="685"/>
        <v/>
      </c>
      <c r="E588" s="10" t="str">
        <f>IF(ISBLANK(A584),"",E587+1)</f>
        <v/>
      </c>
      <c r="F588" s="11" t="str">
        <f t="shared" si="683"/>
        <v/>
      </c>
      <c r="G588" s="8"/>
    </row>
    <row r="589">
      <c r="A589" s="12" t="str">
        <f t="shared" si="681"/>
        <v/>
      </c>
      <c r="B589" s="12" t="str">
        <f>IF(ISBLANK(A584),"",LEFT(B588,27)&amp;VALUE(RIGHT(B588,1)+1))</f>
        <v/>
      </c>
      <c r="C589" s="13" t="str">
        <f t="shared" ref="C589:D589" si="686">C588</f>
        <v/>
      </c>
      <c r="D589" s="13" t="str">
        <f t="shared" si="686"/>
        <v/>
      </c>
      <c r="E589" s="14" t="str">
        <f>IF(ISBLANK(A584),"",E588+1)</f>
        <v/>
      </c>
      <c r="F589" s="15" t="str">
        <f t="shared" si="683"/>
        <v/>
      </c>
      <c r="G589" s="16"/>
    </row>
    <row r="590">
      <c r="A590" s="5"/>
      <c r="B590" s="6" t="str">
        <f t="array" ref="B590">IF(ISBLANK(A590),"",IF(A590="PROREP (L)",VLOOKUP(LEFT($A590,6),'Data Feed (35C)'!$A$1:$G$10,2,FALSE),IF(A590="PROREP (S)", INDEX('Data Feed (35C)'!B:B, MATCH(LEFT($A590,6), 'Data Feed (35C)'!$A$1:$A$10, 0) + 1), VLOOKUP($A590,'Data Feed (35C)'!$A$1:$G$10,2,FALSE))))</f>
        <v/>
      </c>
      <c r="C590" s="6" t="str">
        <f t="array" ref="C590">IF(ISBLANK(A590),"",IF(A590="PROREP (L)",VLOOKUP(LEFT($A590,6),'Data Feed (35C)'!$A$1:$G$10,3,FALSE),IF(A590="PROREP (S)", INDEX('Data Feed (35C)'!C:C, MATCH(LEFT($A590,6), 'Data Feed (35C)'!$A$1:$A$10, 0) + 1, +1), VLOOKUP($A590,'Data Feed (35C)'!$A$1:$G$10,3,FALSE))))</f>
        <v/>
      </c>
      <c r="D590" s="6" t="str">
        <f t="array" ref="D590">IF(ISBLANK(A590),"",IF(A590="PROREP (L)",VLOOKUP(LEFT($A590,6),'Data Feed (35C)'!$A$1:$G$10,4,FALSE),IF(A590="PROREP (S)", INDEX('Data Feed (35C)'!D:D, MATCH(LEFT($A590,6), 'Data Feed (35C)'!$A$1:$A$10, 0) + 1, +1), VLOOKUP($A590,'Data Feed (35C)'!$A$1:$G$10,4,FALSE))))</f>
        <v/>
      </c>
      <c r="E590" s="6" t="str">
        <f t="array" ref="E590">IF(ISBLANK(A590),"",IF(A590="PROREP (L)",VLOOKUP(LEFT($A590,6),'Data Feed (35C)'!$A$1:$G$10,7,FALSE),IF(A590="PROREP (S)", INDEX('Data Feed (35C)'!G:G, MATCH(LEFT($A590,6), 'Data Feed (35C)'!$A$1:$A$10, 0) + 1, +1), VLOOKUP($A590,'Data Feed (35C)'!$A$1:$G$10,7,FALSE))))</f>
        <v/>
      </c>
      <c r="F590" s="7"/>
      <c r="G590" s="8"/>
    </row>
    <row r="591">
      <c r="A591" s="9" t="str">
        <f t="shared" ref="A591:A595" si="688">A590</f>
        <v/>
      </c>
      <c r="B591" s="9" t="str">
        <f>IF(ISBLANK(A590),"",LEFT(B590,27)&amp;VALUE(RIGHT(B590,1)+1))</f>
        <v/>
      </c>
      <c r="C591" s="6" t="str">
        <f t="shared" ref="C591:D591" si="687">C590</f>
        <v/>
      </c>
      <c r="D591" s="6" t="str">
        <f t="shared" si="687"/>
        <v/>
      </c>
      <c r="E591" s="10" t="str">
        <f>IF(ISBLANK(A590),"",E590+1)</f>
        <v/>
      </c>
      <c r="F591" s="11" t="str">
        <f t="shared" ref="F591:F595" si="690">F590</f>
        <v/>
      </c>
      <c r="G591" s="8"/>
    </row>
    <row r="592">
      <c r="A592" s="9" t="str">
        <f t="shared" si="688"/>
        <v/>
      </c>
      <c r="B592" s="9" t="str">
        <f>IF(ISBLANK(A590),"",LEFT(B591,27)&amp;VALUE(RIGHT(B591,1)+1))</f>
        <v/>
      </c>
      <c r="C592" s="6" t="str">
        <f t="shared" ref="C592:D592" si="689">C591</f>
        <v/>
      </c>
      <c r="D592" s="6" t="str">
        <f t="shared" si="689"/>
        <v/>
      </c>
      <c r="E592" s="10" t="str">
        <f>IF(ISBLANK(A590),"",E591+1)</f>
        <v/>
      </c>
      <c r="F592" s="11" t="str">
        <f t="shared" si="690"/>
        <v/>
      </c>
      <c r="G592" s="8"/>
    </row>
    <row r="593">
      <c r="A593" s="9" t="str">
        <f t="shared" si="688"/>
        <v/>
      </c>
      <c r="B593" s="9" t="str">
        <f>IF(ISBLANK(A590),"",LEFT(B592,27)&amp;VALUE(RIGHT(B592,1)+1))</f>
        <v/>
      </c>
      <c r="C593" s="6" t="str">
        <f t="shared" ref="C593:D593" si="691">C592</f>
        <v/>
      </c>
      <c r="D593" s="6" t="str">
        <f t="shared" si="691"/>
        <v/>
      </c>
      <c r="E593" s="10" t="str">
        <f>IF(ISBLANK(A590),"",E592+1)</f>
        <v/>
      </c>
      <c r="F593" s="11" t="str">
        <f t="shared" si="690"/>
        <v/>
      </c>
      <c r="G593" s="8"/>
    </row>
    <row r="594">
      <c r="A594" s="9" t="str">
        <f t="shared" si="688"/>
        <v/>
      </c>
      <c r="B594" s="9" t="str">
        <f>IF(ISBLANK(A590),"",LEFT(B593,27)&amp;VALUE(RIGHT(B593,1)+1))</f>
        <v/>
      </c>
      <c r="C594" s="6" t="str">
        <f t="shared" ref="C594:D594" si="692">C593</f>
        <v/>
      </c>
      <c r="D594" s="6" t="str">
        <f t="shared" si="692"/>
        <v/>
      </c>
      <c r="E594" s="10" t="str">
        <f>IF(ISBLANK(A590),"",E593+1)</f>
        <v/>
      </c>
      <c r="F594" s="11" t="str">
        <f t="shared" si="690"/>
        <v/>
      </c>
      <c r="G594" s="8"/>
    </row>
    <row r="595">
      <c r="A595" s="12" t="str">
        <f t="shared" si="688"/>
        <v/>
      </c>
      <c r="B595" s="12" t="str">
        <f>IF(ISBLANK(A590),"",LEFT(B594,27)&amp;VALUE(RIGHT(B594,1)+1))</f>
        <v/>
      </c>
      <c r="C595" s="13" t="str">
        <f t="shared" ref="C595:D595" si="693">C594</f>
        <v/>
      </c>
      <c r="D595" s="13" t="str">
        <f t="shared" si="693"/>
        <v/>
      </c>
      <c r="E595" s="14" t="str">
        <f>IF(ISBLANK(A590),"",E594+1)</f>
        <v/>
      </c>
      <c r="F595" s="15" t="str">
        <f t="shared" si="690"/>
        <v/>
      </c>
      <c r="G595" s="16"/>
    </row>
    <row r="596">
      <c r="A596" s="5"/>
      <c r="B596" s="6" t="str">
        <f t="array" ref="B596">IF(ISBLANK(A596),"",IF(A596="PROREP (L)",VLOOKUP(LEFT($A596,6),'Data Feed (35C)'!$A$1:$G$10,2,FALSE),IF(A596="PROREP (S)", INDEX('Data Feed (35C)'!B:B, MATCH(LEFT($A596,6), 'Data Feed (35C)'!$A$1:$A$10, 0) + 1), VLOOKUP($A596,'Data Feed (35C)'!$A$1:$G$10,2,FALSE))))</f>
        <v/>
      </c>
      <c r="C596" s="6" t="str">
        <f t="array" ref="C596">IF(ISBLANK(A596),"",IF(A596="PROREP (L)",VLOOKUP(LEFT($A596,6),'Data Feed (35C)'!$A$1:$G$10,3,FALSE),IF(A596="PROREP (S)", INDEX('Data Feed (35C)'!C:C, MATCH(LEFT($A596,6), 'Data Feed (35C)'!$A$1:$A$10, 0) + 1, +1), VLOOKUP($A596,'Data Feed (35C)'!$A$1:$G$10,3,FALSE))))</f>
        <v/>
      </c>
      <c r="D596" s="6" t="str">
        <f t="array" ref="D596">IF(ISBLANK(A596),"",IF(A596="PROREP (L)",VLOOKUP(LEFT($A596,6),'Data Feed (35C)'!$A$1:$G$10,4,FALSE),IF(A596="PROREP (S)", INDEX('Data Feed (35C)'!D:D, MATCH(LEFT($A596,6), 'Data Feed (35C)'!$A$1:$A$10, 0) + 1, +1), VLOOKUP($A596,'Data Feed (35C)'!$A$1:$G$10,4,FALSE))))</f>
        <v/>
      </c>
      <c r="E596" s="6" t="str">
        <f t="array" ref="E596">IF(ISBLANK(A596),"",IF(A596="PROREP (L)",VLOOKUP(LEFT($A596,6),'Data Feed (35C)'!$A$1:$G$10,7,FALSE),IF(A596="PROREP (S)", INDEX('Data Feed (35C)'!G:G, MATCH(LEFT($A596,6), 'Data Feed (35C)'!$A$1:$A$10, 0) + 1, +1), VLOOKUP($A596,'Data Feed (35C)'!$A$1:$G$10,7,FALSE))))</f>
        <v/>
      </c>
      <c r="F596" s="7"/>
      <c r="G596" s="8"/>
    </row>
    <row r="597">
      <c r="A597" s="9" t="str">
        <f t="shared" ref="A597:A601" si="695">A596</f>
        <v/>
      </c>
      <c r="B597" s="9" t="str">
        <f>IF(ISBLANK(A596),"",LEFT(B596,27)&amp;VALUE(RIGHT(B596,1)+1))</f>
        <v/>
      </c>
      <c r="C597" s="6" t="str">
        <f t="shared" ref="C597:D597" si="694">C596</f>
        <v/>
      </c>
      <c r="D597" s="6" t="str">
        <f t="shared" si="694"/>
        <v/>
      </c>
      <c r="E597" s="10" t="str">
        <f>IF(ISBLANK(A596),"",E596+1)</f>
        <v/>
      </c>
      <c r="F597" s="11" t="str">
        <f t="shared" ref="F597:F601" si="697">F596</f>
        <v/>
      </c>
      <c r="G597" s="8"/>
    </row>
    <row r="598">
      <c r="A598" s="9" t="str">
        <f t="shared" si="695"/>
        <v/>
      </c>
      <c r="B598" s="9" t="str">
        <f>IF(ISBLANK(A596),"",LEFT(B597,27)&amp;VALUE(RIGHT(B597,1)+1))</f>
        <v/>
      </c>
      <c r="C598" s="6" t="str">
        <f t="shared" ref="C598:D598" si="696">C597</f>
        <v/>
      </c>
      <c r="D598" s="6" t="str">
        <f t="shared" si="696"/>
        <v/>
      </c>
      <c r="E598" s="10" t="str">
        <f>IF(ISBLANK(A596),"",E597+1)</f>
        <v/>
      </c>
      <c r="F598" s="11" t="str">
        <f t="shared" si="697"/>
        <v/>
      </c>
      <c r="G598" s="8"/>
    </row>
    <row r="599">
      <c r="A599" s="9" t="str">
        <f t="shared" si="695"/>
        <v/>
      </c>
      <c r="B599" s="9" t="str">
        <f>IF(ISBLANK(A596),"",LEFT(B598,27)&amp;VALUE(RIGHT(B598,1)+1))</f>
        <v/>
      </c>
      <c r="C599" s="6" t="str">
        <f t="shared" ref="C599:D599" si="698">C598</f>
        <v/>
      </c>
      <c r="D599" s="6" t="str">
        <f t="shared" si="698"/>
        <v/>
      </c>
      <c r="E599" s="10" t="str">
        <f>IF(ISBLANK(A596),"",E598+1)</f>
        <v/>
      </c>
      <c r="F599" s="11" t="str">
        <f t="shared" si="697"/>
        <v/>
      </c>
      <c r="G599" s="8"/>
    </row>
    <row r="600">
      <c r="A600" s="9" t="str">
        <f t="shared" si="695"/>
        <v/>
      </c>
      <c r="B600" s="9" t="str">
        <f>IF(ISBLANK(A596),"",LEFT(B599,27)&amp;VALUE(RIGHT(B599,1)+1))</f>
        <v/>
      </c>
      <c r="C600" s="6" t="str">
        <f t="shared" ref="C600:D600" si="699">C599</f>
        <v/>
      </c>
      <c r="D600" s="6" t="str">
        <f t="shared" si="699"/>
        <v/>
      </c>
      <c r="E600" s="10" t="str">
        <f>IF(ISBLANK(A596),"",E599+1)</f>
        <v/>
      </c>
      <c r="F600" s="11" t="str">
        <f t="shared" si="697"/>
        <v/>
      </c>
      <c r="G600" s="8"/>
    </row>
    <row r="601">
      <c r="A601" s="12" t="str">
        <f t="shared" si="695"/>
        <v/>
      </c>
      <c r="B601" s="12" t="str">
        <f>IF(ISBLANK(A596),"",LEFT(B600,27)&amp;VALUE(RIGHT(B600,1)+1))</f>
        <v/>
      </c>
      <c r="C601" s="13" t="str">
        <f t="shared" ref="C601:D601" si="700">C600</f>
        <v/>
      </c>
      <c r="D601" s="13" t="str">
        <f t="shared" si="700"/>
        <v/>
      </c>
      <c r="E601" s="14" t="str">
        <f>IF(ISBLANK(A596),"",E600+1)</f>
        <v/>
      </c>
      <c r="F601" s="15" t="str">
        <f t="shared" si="697"/>
        <v/>
      </c>
      <c r="G601" s="16"/>
    </row>
    <row r="602">
      <c r="A602" s="5"/>
      <c r="B602" s="6" t="str">
        <f t="array" ref="B602">IF(ISBLANK(A602),"",IF(A602="PROREP (L)",VLOOKUP(LEFT($A602,6),'Data Feed (35C)'!$A$1:$G$10,2,FALSE),IF(A602="PROREP (S)", INDEX('Data Feed (35C)'!B:B, MATCH(LEFT($A602,6), 'Data Feed (35C)'!$A$1:$A$10, 0) + 1), VLOOKUP($A602,'Data Feed (35C)'!$A$1:$G$10,2,FALSE))))</f>
        <v/>
      </c>
      <c r="C602" s="6" t="str">
        <f t="array" ref="C602">IF(ISBLANK(A602),"",IF(A602="PROREP (L)",VLOOKUP(LEFT($A602,6),'Data Feed (35C)'!$A$1:$G$10,3,FALSE),IF(A602="PROREP (S)", INDEX('Data Feed (35C)'!C:C, MATCH(LEFT($A602,6), 'Data Feed (35C)'!$A$1:$A$10, 0) + 1, +1), VLOOKUP($A602,'Data Feed (35C)'!$A$1:$G$10,3,FALSE))))</f>
        <v/>
      </c>
      <c r="D602" s="6" t="str">
        <f t="array" ref="D602">IF(ISBLANK(A602),"",IF(A602="PROREP (L)",VLOOKUP(LEFT($A602,6),'Data Feed (35C)'!$A$1:$G$10,4,FALSE),IF(A602="PROREP (S)", INDEX('Data Feed (35C)'!D:D, MATCH(LEFT($A602,6), 'Data Feed (35C)'!$A$1:$A$10, 0) + 1, +1), VLOOKUP($A602,'Data Feed (35C)'!$A$1:$G$10,4,FALSE))))</f>
        <v/>
      </c>
      <c r="E602" s="6" t="str">
        <f t="array" ref="E602">IF(ISBLANK(A602),"",IF(A602="PROREP (L)",VLOOKUP(LEFT($A602,6),'Data Feed (35C)'!$A$1:$G$10,7,FALSE),IF(A602="PROREP (S)", INDEX('Data Feed (35C)'!G:G, MATCH(LEFT($A602,6), 'Data Feed (35C)'!$A$1:$A$10, 0) + 1, +1), VLOOKUP($A602,'Data Feed (35C)'!$A$1:$G$10,7,FALSE))))</f>
        <v/>
      </c>
      <c r="F602" s="7"/>
      <c r="G602" s="8"/>
    </row>
    <row r="603">
      <c r="A603" s="9" t="str">
        <f t="shared" ref="A603:A607" si="702">A602</f>
        <v/>
      </c>
      <c r="B603" s="9" t="str">
        <f>IF(ISBLANK(A602),"",LEFT(B602,27)&amp;VALUE(RIGHT(B602,1)+1))</f>
        <v/>
      </c>
      <c r="C603" s="6" t="str">
        <f t="shared" ref="C603:D603" si="701">C602</f>
        <v/>
      </c>
      <c r="D603" s="6" t="str">
        <f t="shared" si="701"/>
        <v/>
      </c>
      <c r="E603" s="10" t="str">
        <f>IF(ISBLANK(A602),"",E602+1)</f>
        <v/>
      </c>
      <c r="F603" s="11" t="str">
        <f t="shared" ref="F603:F607" si="704">F602</f>
        <v/>
      </c>
      <c r="G603" s="8"/>
    </row>
    <row r="604">
      <c r="A604" s="9" t="str">
        <f t="shared" si="702"/>
        <v/>
      </c>
      <c r="B604" s="9" t="str">
        <f>IF(ISBLANK(A602),"",LEFT(B603,27)&amp;VALUE(RIGHT(B603,1)+1))</f>
        <v/>
      </c>
      <c r="C604" s="6" t="str">
        <f t="shared" ref="C604:D604" si="703">C603</f>
        <v/>
      </c>
      <c r="D604" s="6" t="str">
        <f t="shared" si="703"/>
        <v/>
      </c>
      <c r="E604" s="10" t="str">
        <f>IF(ISBLANK(A602),"",E603+1)</f>
        <v/>
      </c>
      <c r="F604" s="11" t="str">
        <f t="shared" si="704"/>
        <v/>
      </c>
      <c r="G604" s="8"/>
    </row>
    <row r="605">
      <c r="A605" s="9" t="str">
        <f t="shared" si="702"/>
        <v/>
      </c>
      <c r="B605" s="9" t="str">
        <f>IF(ISBLANK(A602),"",LEFT(B604,27)&amp;VALUE(RIGHT(B604,1)+1))</f>
        <v/>
      </c>
      <c r="C605" s="6" t="str">
        <f t="shared" ref="C605:D605" si="705">C604</f>
        <v/>
      </c>
      <c r="D605" s="6" t="str">
        <f t="shared" si="705"/>
        <v/>
      </c>
      <c r="E605" s="10" t="str">
        <f>IF(ISBLANK(A602),"",E604+1)</f>
        <v/>
      </c>
      <c r="F605" s="11" t="str">
        <f t="shared" si="704"/>
        <v/>
      </c>
      <c r="G605" s="8"/>
    </row>
    <row r="606">
      <c r="A606" s="9" t="str">
        <f t="shared" si="702"/>
        <v/>
      </c>
      <c r="B606" s="9" t="str">
        <f>IF(ISBLANK(A602),"",LEFT(B605,27)&amp;VALUE(RIGHT(B605,1)+1))</f>
        <v/>
      </c>
      <c r="C606" s="6" t="str">
        <f t="shared" ref="C606:D606" si="706">C605</f>
        <v/>
      </c>
      <c r="D606" s="6" t="str">
        <f t="shared" si="706"/>
        <v/>
      </c>
      <c r="E606" s="10" t="str">
        <f>IF(ISBLANK(A602),"",E605+1)</f>
        <v/>
      </c>
      <c r="F606" s="11" t="str">
        <f t="shared" si="704"/>
        <v/>
      </c>
      <c r="G606" s="8"/>
    </row>
    <row r="607">
      <c r="A607" s="12" t="str">
        <f t="shared" si="702"/>
        <v/>
      </c>
      <c r="B607" s="12" t="str">
        <f>IF(ISBLANK(A602),"",LEFT(B606,27)&amp;VALUE(RIGHT(B606,1)+1))</f>
        <v/>
      </c>
      <c r="C607" s="13" t="str">
        <f t="shared" ref="C607:D607" si="707">C606</f>
        <v/>
      </c>
      <c r="D607" s="13" t="str">
        <f t="shared" si="707"/>
        <v/>
      </c>
      <c r="E607" s="14" t="str">
        <f>IF(ISBLANK(A602),"",E606+1)</f>
        <v/>
      </c>
      <c r="F607" s="15" t="str">
        <f t="shared" si="704"/>
        <v/>
      </c>
      <c r="G607" s="16"/>
    </row>
    <row r="608">
      <c r="A608" s="5"/>
      <c r="B608" s="6" t="str">
        <f t="array" ref="B608">IF(ISBLANK(A608),"",IF(A608="PROREP (L)",VLOOKUP(LEFT($A608,6),'Data Feed (35C)'!$A$1:$G$10,2,FALSE),IF(A608="PROREP (S)", INDEX('Data Feed (35C)'!B:B, MATCH(LEFT($A608,6), 'Data Feed (35C)'!$A$1:$A$10, 0) + 1), VLOOKUP($A608,'Data Feed (35C)'!$A$1:$G$10,2,FALSE))))</f>
        <v/>
      </c>
      <c r="C608" s="6" t="str">
        <f t="array" ref="C608">IF(ISBLANK(A608),"",IF(A608="PROREP (L)",VLOOKUP(LEFT($A608,6),'Data Feed (35C)'!$A$1:$G$10,3,FALSE),IF(A608="PROREP (S)", INDEX('Data Feed (35C)'!C:C, MATCH(LEFT($A608,6), 'Data Feed (35C)'!$A$1:$A$10, 0) + 1, +1), VLOOKUP($A608,'Data Feed (35C)'!$A$1:$G$10,3,FALSE))))</f>
        <v/>
      </c>
      <c r="D608" s="6" t="str">
        <f t="array" ref="D608">IF(ISBLANK(A608),"",IF(A608="PROREP (L)",VLOOKUP(LEFT($A608,6),'Data Feed (35C)'!$A$1:$G$10,4,FALSE),IF(A608="PROREP (S)", INDEX('Data Feed (35C)'!D:D, MATCH(LEFT($A608,6), 'Data Feed (35C)'!$A$1:$A$10, 0) + 1, +1), VLOOKUP($A608,'Data Feed (35C)'!$A$1:$G$10,4,FALSE))))</f>
        <v/>
      </c>
      <c r="E608" s="6" t="str">
        <f t="array" ref="E608">IF(ISBLANK(A608),"",IF(A608="PROREP (L)",VLOOKUP(LEFT($A608,6),'Data Feed (35C)'!$A$1:$G$10,7,FALSE),IF(A608="PROREP (S)", INDEX('Data Feed (35C)'!G:G, MATCH(LEFT($A608,6), 'Data Feed (35C)'!$A$1:$A$10, 0) + 1, +1), VLOOKUP($A608,'Data Feed (35C)'!$A$1:$G$10,7,FALSE))))</f>
        <v/>
      </c>
      <c r="F608" s="7"/>
      <c r="G608" s="8"/>
    </row>
    <row r="609">
      <c r="A609" s="9" t="str">
        <f t="shared" ref="A609:A613" si="709">A608</f>
        <v/>
      </c>
      <c r="B609" s="9" t="str">
        <f>IF(ISBLANK(A608),"",LEFT(B608,27)&amp;VALUE(RIGHT(B608,1)+1))</f>
        <v/>
      </c>
      <c r="C609" s="6" t="str">
        <f t="shared" ref="C609:D609" si="708">C608</f>
        <v/>
      </c>
      <c r="D609" s="6" t="str">
        <f t="shared" si="708"/>
        <v/>
      </c>
      <c r="E609" s="10" t="str">
        <f>IF(ISBLANK(A608),"",E608+1)</f>
        <v/>
      </c>
      <c r="F609" s="11" t="str">
        <f t="shared" ref="F609:F613" si="711">F608</f>
        <v/>
      </c>
      <c r="G609" s="8"/>
    </row>
    <row r="610">
      <c r="A610" s="9" t="str">
        <f t="shared" si="709"/>
        <v/>
      </c>
      <c r="B610" s="9" t="str">
        <f>IF(ISBLANK(A608),"",LEFT(B609,27)&amp;VALUE(RIGHT(B609,1)+1))</f>
        <v/>
      </c>
      <c r="C610" s="6" t="str">
        <f t="shared" ref="C610:D610" si="710">C609</f>
        <v/>
      </c>
      <c r="D610" s="6" t="str">
        <f t="shared" si="710"/>
        <v/>
      </c>
      <c r="E610" s="10" t="str">
        <f>IF(ISBLANK(A608),"",E609+1)</f>
        <v/>
      </c>
      <c r="F610" s="11" t="str">
        <f t="shared" si="711"/>
        <v/>
      </c>
      <c r="G610" s="8"/>
    </row>
    <row r="611">
      <c r="A611" s="9" t="str">
        <f t="shared" si="709"/>
        <v/>
      </c>
      <c r="B611" s="9" t="str">
        <f>IF(ISBLANK(A608),"",LEFT(B610,27)&amp;VALUE(RIGHT(B610,1)+1))</f>
        <v/>
      </c>
      <c r="C611" s="6" t="str">
        <f t="shared" ref="C611:D611" si="712">C610</f>
        <v/>
      </c>
      <c r="D611" s="6" t="str">
        <f t="shared" si="712"/>
        <v/>
      </c>
      <c r="E611" s="10" t="str">
        <f>IF(ISBLANK(A608),"",E610+1)</f>
        <v/>
      </c>
      <c r="F611" s="11" t="str">
        <f t="shared" si="711"/>
        <v/>
      </c>
      <c r="G611" s="8"/>
    </row>
    <row r="612">
      <c r="A612" s="9" t="str">
        <f t="shared" si="709"/>
        <v/>
      </c>
      <c r="B612" s="9" t="str">
        <f>IF(ISBLANK(A608),"",LEFT(B611,27)&amp;VALUE(RIGHT(B611,1)+1))</f>
        <v/>
      </c>
      <c r="C612" s="6" t="str">
        <f t="shared" ref="C612:D612" si="713">C611</f>
        <v/>
      </c>
      <c r="D612" s="6" t="str">
        <f t="shared" si="713"/>
        <v/>
      </c>
      <c r="E612" s="10" t="str">
        <f>IF(ISBLANK(A608),"",E611+1)</f>
        <v/>
      </c>
      <c r="F612" s="11" t="str">
        <f t="shared" si="711"/>
        <v/>
      </c>
      <c r="G612" s="8"/>
    </row>
    <row r="613">
      <c r="A613" s="12" t="str">
        <f t="shared" si="709"/>
        <v/>
      </c>
      <c r="B613" s="12" t="str">
        <f>IF(ISBLANK(A608),"",LEFT(B612,27)&amp;VALUE(RIGHT(B612,1)+1))</f>
        <v/>
      </c>
      <c r="C613" s="13" t="str">
        <f t="shared" ref="C613:D613" si="714">C612</f>
        <v/>
      </c>
      <c r="D613" s="13" t="str">
        <f t="shared" si="714"/>
        <v/>
      </c>
      <c r="E613" s="14" t="str">
        <f>IF(ISBLANK(A608),"",E612+1)</f>
        <v/>
      </c>
      <c r="F613" s="15" t="str">
        <f t="shared" si="711"/>
        <v/>
      </c>
      <c r="G613" s="16"/>
    </row>
    <row r="614">
      <c r="A614" s="5"/>
      <c r="B614" s="6" t="str">
        <f t="array" ref="B614">IF(ISBLANK(A614),"",IF(A614="PROREP (L)",VLOOKUP(LEFT($A614,6),'Data Feed (35C)'!$A$1:$G$10,2,FALSE),IF(A614="PROREP (S)", INDEX('Data Feed (35C)'!B:B, MATCH(LEFT($A614,6), 'Data Feed (35C)'!$A$1:$A$10, 0) + 1), VLOOKUP($A614,'Data Feed (35C)'!$A$1:$G$10,2,FALSE))))</f>
        <v/>
      </c>
      <c r="C614" s="6" t="str">
        <f t="array" ref="C614">IF(ISBLANK(A614),"",IF(A614="PROREP (L)",VLOOKUP(LEFT($A614,6),'Data Feed (35C)'!$A$1:$G$10,3,FALSE),IF(A614="PROREP (S)", INDEX('Data Feed (35C)'!C:C, MATCH(LEFT($A614,6), 'Data Feed (35C)'!$A$1:$A$10, 0) + 1, +1), VLOOKUP($A614,'Data Feed (35C)'!$A$1:$G$10,3,FALSE))))</f>
        <v/>
      </c>
      <c r="D614" s="6" t="str">
        <f t="array" ref="D614">IF(ISBLANK(A614),"",IF(A614="PROREP (L)",VLOOKUP(LEFT($A614,6),'Data Feed (35C)'!$A$1:$G$10,4,FALSE),IF(A614="PROREP (S)", INDEX('Data Feed (35C)'!D:D, MATCH(LEFT($A614,6), 'Data Feed (35C)'!$A$1:$A$10, 0) + 1, +1), VLOOKUP($A614,'Data Feed (35C)'!$A$1:$G$10,4,FALSE))))</f>
        <v/>
      </c>
      <c r="E614" s="6" t="str">
        <f t="array" ref="E614">IF(ISBLANK(A614),"",IF(A614="PROREP (L)",VLOOKUP(LEFT($A614,6),'Data Feed (35C)'!$A$1:$G$10,7,FALSE),IF(A614="PROREP (S)", INDEX('Data Feed (35C)'!G:G, MATCH(LEFT($A614,6), 'Data Feed (35C)'!$A$1:$A$10, 0) + 1, +1), VLOOKUP($A614,'Data Feed (35C)'!$A$1:$G$10,7,FALSE))))</f>
        <v/>
      </c>
      <c r="F614" s="7"/>
      <c r="G614" s="8"/>
    </row>
    <row r="615">
      <c r="A615" s="9" t="str">
        <f t="shared" ref="A615:A619" si="716">A614</f>
        <v/>
      </c>
      <c r="B615" s="9" t="str">
        <f>IF(ISBLANK(A614),"",LEFT(B614,27)&amp;VALUE(RIGHT(B614,1)+1))</f>
        <v/>
      </c>
      <c r="C615" s="6" t="str">
        <f t="shared" ref="C615:D615" si="715">C614</f>
        <v/>
      </c>
      <c r="D615" s="6" t="str">
        <f t="shared" si="715"/>
        <v/>
      </c>
      <c r="E615" s="10" t="str">
        <f>IF(ISBLANK(A614),"",E614+1)</f>
        <v/>
      </c>
      <c r="F615" s="11" t="str">
        <f t="shared" ref="F615:F619" si="718">F614</f>
        <v/>
      </c>
      <c r="G615" s="8"/>
    </row>
    <row r="616">
      <c r="A616" s="9" t="str">
        <f t="shared" si="716"/>
        <v/>
      </c>
      <c r="B616" s="9" t="str">
        <f>IF(ISBLANK(A614),"",LEFT(B615,27)&amp;VALUE(RIGHT(B615,1)+1))</f>
        <v/>
      </c>
      <c r="C616" s="6" t="str">
        <f t="shared" ref="C616:D616" si="717">C615</f>
        <v/>
      </c>
      <c r="D616" s="6" t="str">
        <f t="shared" si="717"/>
        <v/>
      </c>
      <c r="E616" s="10" t="str">
        <f>IF(ISBLANK(A614),"",E615+1)</f>
        <v/>
      </c>
      <c r="F616" s="11" t="str">
        <f t="shared" si="718"/>
        <v/>
      </c>
      <c r="G616" s="8"/>
    </row>
    <row r="617">
      <c r="A617" s="9" t="str">
        <f t="shared" si="716"/>
        <v/>
      </c>
      <c r="B617" s="9" t="str">
        <f>IF(ISBLANK(A614),"",LEFT(B616,27)&amp;VALUE(RIGHT(B616,1)+1))</f>
        <v/>
      </c>
      <c r="C617" s="6" t="str">
        <f t="shared" ref="C617:D617" si="719">C616</f>
        <v/>
      </c>
      <c r="D617" s="6" t="str">
        <f t="shared" si="719"/>
        <v/>
      </c>
      <c r="E617" s="10" t="str">
        <f>IF(ISBLANK(A614),"",E616+1)</f>
        <v/>
      </c>
      <c r="F617" s="11" t="str">
        <f t="shared" si="718"/>
        <v/>
      </c>
      <c r="G617" s="8"/>
    </row>
    <row r="618">
      <c r="A618" s="9" t="str">
        <f t="shared" si="716"/>
        <v/>
      </c>
      <c r="B618" s="9" t="str">
        <f>IF(ISBLANK(A614),"",LEFT(B617,27)&amp;VALUE(RIGHT(B617,1)+1))</f>
        <v/>
      </c>
      <c r="C618" s="6" t="str">
        <f t="shared" ref="C618:D618" si="720">C617</f>
        <v/>
      </c>
      <c r="D618" s="6" t="str">
        <f t="shared" si="720"/>
        <v/>
      </c>
      <c r="E618" s="10" t="str">
        <f>IF(ISBLANK(A614),"",E617+1)</f>
        <v/>
      </c>
      <c r="F618" s="11" t="str">
        <f t="shared" si="718"/>
        <v/>
      </c>
      <c r="G618" s="8"/>
    </row>
    <row r="619">
      <c r="A619" s="12" t="str">
        <f t="shared" si="716"/>
        <v/>
      </c>
      <c r="B619" s="12" t="str">
        <f>IF(ISBLANK(A614),"",LEFT(B618,27)&amp;VALUE(RIGHT(B618,1)+1))</f>
        <v/>
      </c>
      <c r="C619" s="13" t="str">
        <f t="shared" ref="C619:D619" si="721">C618</f>
        <v/>
      </c>
      <c r="D619" s="13" t="str">
        <f t="shared" si="721"/>
        <v/>
      </c>
      <c r="E619" s="14" t="str">
        <f>IF(ISBLANK(A614),"",E618+1)</f>
        <v/>
      </c>
      <c r="F619" s="15" t="str">
        <f t="shared" si="718"/>
        <v/>
      </c>
      <c r="G619" s="16"/>
    </row>
    <row r="620">
      <c r="A620" s="5"/>
      <c r="B620" s="6" t="str">
        <f t="array" ref="B620">IF(ISBLANK(A620),"",IF(A620="PROREP (L)",VLOOKUP(LEFT($A620,6),'Data Feed (35C)'!$A$1:$G$10,2,FALSE),IF(A620="PROREP (S)", INDEX('Data Feed (35C)'!B:B, MATCH(LEFT($A620,6), 'Data Feed (35C)'!$A$1:$A$10, 0) + 1), VLOOKUP($A620,'Data Feed (35C)'!$A$1:$G$10,2,FALSE))))</f>
        <v/>
      </c>
      <c r="C620" s="6" t="str">
        <f t="array" ref="C620">IF(ISBLANK(A620),"",IF(A620="PROREP (L)",VLOOKUP(LEFT($A620,6),'Data Feed (35C)'!$A$1:$G$10,3,FALSE),IF(A620="PROREP (S)", INDEX('Data Feed (35C)'!C:C, MATCH(LEFT($A620,6), 'Data Feed (35C)'!$A$1:$A$10, 0) + 1, +1), VLOOKUP($A620,'Data Feed (35C)'!$A$1:$G$10,3,FALSE))))</f>
        <v/>
      </c>
      <c r="D620" s="6" t="str">
        <f t="array" ref="D620">IF(ISBLANK(A620),"",IF(A620="PROREP (L)",VLOOKUP(LEFT($A620,6),'Data Feed (35C)'!$A$1:$G$10,4,FALSE),IF(A620="PROREP (S)", INDEX('Data Feed (35C)'!D:D, MATCH(LEFT($A620,6), 'Data Feed (35C)'!$A$1:$A$10, 0) + 1, +1), VLOOKUP($A620,'Data Feed (35C)'!$A$1:$G$10,4,FALSE))))</f>
        <v/>
      </c>
      <c r="E620" s="6" t="str">
        <f t="array" ref="E620">IF(ISBLANK(A620),"",IF(A620="PROREP (L)",VLOOKUP(LEFT($A620,6),'Data Feed (35C)'!$A$1:$G$10,7,FALSE),IF(A620="PROREP (S)", INDEX('Data Feed (35C)'!G:G, MATCH(LEFT($A620,6), 'Data Feed (35C)'!$A$1:$A$10, 0) + 1, +1), VLOOKUP($A620,'Data Feed (35C)'!$A$1:$G$10,7,FALSE))))</f>
        <v/>
      </c>
      <c r="F620" s="7"/>
      <c r="G620" s="8"/>
    </row>
    <row r="621">
      <c r="A621" s="9" t="str">
        <f t="shared" ref="A621:A625" si="723">A620</f>
        <v/>
      </c>
      <c r="B621" s="9" t="str">
        <f>IF(ISBLANK(A620),"",LEFT(B620,27)&amp;VALUE(RIGHT(B620,1)+1))</f>
        <v/>
      </c>
      <c r="C621" s="6" t="str">
        <f t="shared" ref="C621:D621" si="722">C620</f>
        <v/>
      </c>
      <c r="D621" s="6" t="str">
        <f t="shared" si="722"/>
        <v/>
      </c>
      <c r="E621" s="10" t="str">
        <f>IF(ISBLANK(A620),"",E620+1)</f>
        <v/>
      </c>
      <c r="F621" s="11" t="str">
        <f t="shared" ref="F621:F625" si="725">F620</f>
        <v/>
      </c>
      <c r="G621" s="8"/>
    </row>
    <row r="622">
      <c r="A622" s="9" t="str">
        <f t="shared" si="723"/>
        <v/>
      </c>
      <c r="B622" s="9" t="str">
        <f>IF(ISBLANK(A620),"",LEFT(B621,27)&amp;VALUE(RIGHT(B621,1)+1))</f>
        <v/>
      </c>
      <c r="C622" s="6" t="str">
        <f t="shared" ref="C622:D622" si="724">C621</f>
        <v/>
      </c>
      <c r="D622" s="6" t="str">
        <f t="shared" si="724"/>
        <v/>
      </c>
      <c r="E622" s="10" t="str">
        <f>IF(ISBLANK(A620),"",E621+1)</f>
        <v/>
      </c>
      <c r="F622" s="11" t="str">
        <f t="shared" si="725"/>
        <v/>
      </c>
      <c r="G622" s="8"/>
    </row>
    <row r="623">
      <c r="A623" s="9" t="str">
        <f t="shared" si="723"/>
        <v/>
      </c>
      <c r="B623" s="9" t="str">
        <f>IF(ISBLANK(A620),"",LEFT(B622,27)&amp;VALUE(RIGHT(B622,1)+1))</f>
        <v/>
      </c>
      <c r="C623" s="6" t="str">
        <f t="shared" ref="C623:D623" si="726">C622</f>
        <v/>
      </c>
      <c r="D623" s="6" t="str">
        <f t="shared" si="726"/>
        <v/>
      </c>
      <c r="E623" s="10" t="str">
        <f>IF(ISBLANK(A620),"",E622+1)</f>
        <v/>
      </c>
      <c r="F623" s="11" t="str">
        <f t="shared" si="725"/>
        <v/>
      </c>
      <c r="G623" s="8"/>
    </row>
    <row r="624">
      <c r="A624" s="9" t="str">
        <f t="shared" si="723"/>
        <v/>
      </c>
      <c r="B624" s="9" t="str">
        <f>IF(ISBLANK(A620),"",LEFT(B623,27)&amp;VALUE(RIGHT(B623,1)+1))</f>
        <v/>
      </c>
      <c r="C624" s="6" t="str">
        <f t="shared" ref="C624:D624" si="727">C623</f>
        <v/>
      </c>
      <c r="D624" s="6" t="str">
        <f t="shared" si="727"/>
        <v/>
      </c>
      <c r="E624" s="10" t="str">
        <f>IF(ISBLANK(A620),"",E623+1)</f>
        <v/>
      </c>
      <c r="F624" s="11" t="str">
        <f t="shared" si="725"/>
        <v/>
      </c>
      <c r="G624" s="8"/>
    </row>
    <row r="625">
      <c r="A625" s="12" t="str">
        <f t="shared" si="723"/>
        <v/>
      </c>
      <c r="B625" s="12" t="str">
        <f>IF(ISBLANK(A620),"",LEFT(B624,27)&amp;VALUE(RIGHT(B624,1)+1))</f>
        <v/>
      </c>
      <c r="C625" s="13" t="str">
        <f t="shared" ref="C625:D625" si="728">C624</f>
        <v/>
      </c>
      <c r="D625" s="13" t="str">
        <f t="shared" si="728"/>
        <v/>
      </c>
      <c r="E625" s="14" t="str">
        <f>IF(ISBLANK(A620),"",E624+1)</f>
        <v/>
      </c>
      <c r="F625" s="15" t="str">
        <f t="shared" si="725"/>
        <v/>
      </c>
      <c r="G625" s="16"/>
    </row>
    <row r="626">
      <c r="A626" s="5"/>
      <c r="B626" s="6" t="str">
        <f t="array" ref="B626">IF(ISBLANK(A626),"",IF(A626="PROREP (L)",VLOOKUP(LEFT($A626,6),'Data Feed (35C)'!$A$1:$G$10,2,FALSE),IF(A626="PROREP (S)", INDEX('Data Feed (35C)'!B:B, MATCH(LEFT($A626,6), 'Data Feed (35C)'!$A$1:$A$10, 0) + 1), VLOOKUP($A626,'Data Feed (35C)'!$A$1:$G$10,2,FALSE))))</f>
        <v/>
      </c>
      <c r="C626" s="6" t="str">
        <f t="array" ref="C626">IF(ISBLANK(A626),"",IF(A626="PROREP (L)",VLOOKUP(LEFT($A626,6),'Data Feed (35C)'!$A$1:$G$10,3,FALSE),IF(A626="PROREP (S)", INDEX('Data Feed (35C)'!C:C, MATCH(LEFT($A626,6), 'Data Feed (35C)'!$A$1:$A$10, 0) + 1, +1), VLOOKUP($A626,'Data Feed (35C)'!$A$1:$G$10,3,FALSE))))</f>
        <v/>
      </c>
      <c r="D626" s="6" t="str">
        <f t="array" ref="D626">IF(ISBLANK(A626),"",IF(A626="PROREP (L)",VLOOKUP(LEFT($A626,6),'Data Feed (35C)'!$A$1:$G$10,4,FALSE),IF(A626="PROREP (S)", INDEX('Data Feed (35C)'!D:D, MATCH(LEFT($A626,6), 'Data Feed (35C)'!$A$1:$A$10, 0) + 1, +1), VLOOKUP($A626,'Data Feed (35C)'!$A$1:$G$10,4,FALSE))))</f>
        <v/>
      </c>
      <c r="E626" s="6" t="str">
        <f t="array" ref="E626">IF(ISBLANK(A626),"",IF(A626="PROREP (L)",VLOOKUP(LEFT($A626,6),'Data Feed (35C)'!$A$1:$G$10,7,FALSE),IF(A626="PROREP (S)", INDEX('Data Feed (35C)'!G:G, MATCH(LEFT($A626,6), 'Data Feed (35C)'!$A$1:$A$10, 0) + 1, +1), VLOOKUP($A626,'Data Feed (35C)'!$A$1:$G$10,7,FALSE))))</f>
        <v/>
      </c>
      <c r="F626" s="7"/>
      <c r="G626" s="8"/>
    </row>
    <row r="627">
      <c r="A627" s="9" t="str">
        <f t="shared" ref="A627:A631" si="730">A626</f>
        <v/>
      </c>
      <c r="B627" s="9" t="str">
        <f>IF(ISBLANK(A626),"",LEFT(B626,27)&amp;VALUE(RIGHT(B626,1)+1))</f>
        <v/>
      </c>
      <c r="C627" s="6" t="str">
        <f t="shared" ref="C627:D627" si="729">C626</f>
        <v/>
      </c>
      <c r="D627" s="6" t="str">
        <f t="shared" si="729"/>
        <v/>
      </c>
      <c r="E627" s="10" t="str">
        <f>IF(ISBLANK(A626),"",E626+1)</f>
        <v/>
      </c>
      <c r="F627" s="11" t="str">
        <f t="shared" ref="F627:F631" si="732">F626</f>
        <v/>
      </c>
      <c r="G627" s="8"/>
    </row>
    <row r="628">
      <c r="A628" s="9" t="str">
        <f t="shared" si="730"/>
        <v/>
      </c>
      <c r="B628" s="9" t="str">
        <f>IF(ISBLANK(A626),"",LEFT(B627,27)&amp;VALUE(RIGHT(B627,1)+1))</f>
        <v/>
      </c>
      <c r="C628" s="6" t="str">
        <f t="shared" ref="C628:D628" si="731">C627</f>
        <v/>
      </c>
      <c r="D628" s="6" t="str">
        <f t="shared" si="731"/>
        <v/>
      </c>
      <c r="E628" s="10" t="str">
        <f>IF(ISBLANK(A626),"",E627+1)</f>
        <v/>
      </c>
      <c r="F628" s="11" t="str">
        <f t="shared" si="732"/>
        <v/>
      </c>
      <c r="G628" s="8"/>
    </row>
    <row r="629">
      <c r="A629" s="9" t="str">
        <f t="shared" si="730"/>
        <v/>
      </c>
      <c r="B629" s="9" t="str">
        <f>IF(ISBLANK(A626),"",LEFT(B628,27)&amp;VALUE(RIGHT(B628,1)+1))</f>
        <v/>
      </c>
      <c r="C629" s="6" t="str">
        <f t="shared" ref="C629:D629" si="733">C628</f>
        <v/>
      </c>
      <c r="D629" s="6" t="str">
        <f t="shared" si="733"/>
        <v/>
      </c>
      <c r="E629" s="10" t="str">
        <f>IF(ISBLANK(A626),"",E628+1)</f>
        <v/>
      </c>
      <c r="F629" s="11" t="str">
        <f t="shared" si="732"/>
        <v/>
      </c>
      <c r="G629" s="8"/>
    </row>
    <row r="630">
      <c r="A630" s="9" t="str">
        <f t="shared" si="730"/>
        <v/>
      </c>
      <c r="B630" s="9" t="str">
        <f>IF(ISBLANK(A626),"",LEFT(B629,27)&amp;VALUE(RIGHT(B629,1)+1))</f>
        <v/>
      </c>
      <c r="C630" s="6" t="str">
        <f t="shared" ref="C630:D630" si="734">C629</f>
        <v/>
      </c>
      <c r="D630" s="6" t="str">
        <f t="shared" si="734"/>
        <v/>
      </c>
      <c r="E630" s="10" t="str">
        <f>IF(ISBLANK(A626),"",E629+1)</f>
        <v/>
      </c>
      <c r="F630" s="11" t="str">
        <f t="shared" si="732"/>
        <v/>
      </c>
      <c r="G630" s="8"/>
    </row>
    <row r="631">
      <c r="A631" s="12" t="str">
        <f t="shared" si="730"/>
        <v/>
      </c>
      <c r="B631" s="12" t="str">
        <f>IF(ISBLANK(A626),"",LEFT(B630,27)&amp;VALUE(RIGHT(B630,1)+1))</f>
        <v/>
      </c>
      <c r="C631" s="13" t="str">
        <f t="shared" ref="C631:D631" si="735">C630</f>
        <v/>
      </c>
      <c r="D631" s="13" t="str">
        <f t="shared" si="735"/>
        <v/>
      </c>
      <c r="E631" s="14" t="str">
        <f>IF(ISBLANK(A626),"",E630+1)</f>
        <v/>
      </c>
      <c r="F631" s="15" t="str">
        <f t="shared" si="732"/>
        <v/>
      </c>
      <c r="G631" s="16"/>
    </row>
    <row r="632">
      <c r="A632" s="5"/>
      <c r="B632" s="6" t="str">
        <f t="array" ref="B632">IF(ISBLANK(A632),"",IF(A632="PROREP (L)",VLOOKUP(LEFT($A632,6),'Data Feed (35C)'!$A$1:$G$10,2,FALSE),IF(A632="PROREP (S)", INDEX('Data Feed (35C)'!B:B, MATCH(LEFT($A632,6), 'Data Feed (35C)'!$A$1:$A$10, 0) + 1), VLOOKUP($A632,'Data Feed (35C)'!$A$1:$G$10,2,FALSE))))</f>
        <v/>
      </c>
      <c r="C632" s="6" t="str">
        <f t="array" ref="C632">IF(ISBLANK(A632),"",IF(A632="PROREP (L)",VLOOKUP(LEFT($A632,6),'Data Feed (35C)'!$A$1:$G$10,3,FALSE),IF(A632="PROREP (S)", INDEX('Data Feed (35C)'!C:C, MATCH(LEFT($A632,6), 'Data Feed (35C)'!$A$1:$A$10, 0) + 1, +1), VLOOKUP($A632,'Data Feed (35C)'!$A$1:$G$10,3,FALSE))))</f>
        <v/>
      </c>
      <c r="D632" s="6" t="str">
        <f t="array" ref="D632">IF(ISBLANK(A632),"",IF(A632="PROREP (L)",VLOOKUP(LEFT($A632,6),'Data Feed (35C)'!$A$1:$G$10,4,FALSE),IF(A632="PROREP (S)", INDEX('Data Feed (35C)'!D:D, MATCH(LEFT($A632,6), 'Data Feed (35C)'!$A$1:$A$10, 0) + 1, +1), VLOOKUP($A632,'Data Feed (35C)'!$A$1:$G$10,4,FALSE))))</f>
        <v/>
      </c>
      <c r="E632" s="6" t="str">
        <f t="array" ref="E632">IF(ISBLANK(A632),"",IF(A632="PROREP (L)",VLOOKUP(LEFT($A632,6),'Data Feed (35C)'!$A$1:$G$10,7,FALSE),IF(A632="PROREP (S)", INDEX('Data Feed (35C)'!G:G, MATCH(LEFT($A632,6), 'Data Feed (35C)'!$A$1:$A$10, 0) + 1, +1), VLOOKUP($A632,'Data Feed (35C)'!$A$1:$G$10,7,FALSE))))</f>
        <v/>
      </c>
      <c r="F632" s="7"/>
      <c r="G632" s="8"/>
    </row>
    <row r="633">
      <c r="A633" s="9" t="str">
        <f t="shared" ref="A633:A637" si="737">A632</f>
        <v/>
      </c>
      <c r="B633" s="9" t="str">
        <f>IF(ISBLANK(A632),"",LEFT(B632,27)&amp;VALUE(RIGHT(B632,1)+1))</f>
        <v/>
      </c>
      <c r="C633" s="6" t="str">
        <f t="shared" ref="C633:D633" si="736">C632</f>
        <v/>
      </c>
      <c r="D633" s="6" t="str">
        <f t="shared" si="736"/>
        <v/>
      </c>
      <c r="E633" s="10" t="str">
        <f>IF(ISBLANK(A632),"",E632+1)</f>
        <v/>
      </c>
      <c r="F633" s="11" t="str">
        <f t="shared" ref="F633:F637" si="739">F632</f>
        <v/>
      </c>
      <c r="G633" s="8"/>
    </row>
    <row r="634">
      <c r="A634" s="9" t="str">
        <f t="shared" si="737"/>
        <v/>
      </c>
      <c r="B634" s="9" t="str">
        <f>IF(ISBLANK(A632),"",LEFT(B633,27)&amp;VALUE(RIGHT(B633,1)+1))</f>
        <v/>
      </c>
      <c r="C634" s="6" t="str">
        <f t="shared" ref="C634:D634" si="738">C633</f>
        <v/>
      </c>
      <c r="D634" s="6" t="str">
        <f t="shared" si="738"/>
        <v/>
      </c>
      <c r="E634" s="10" t="str">
        <f>IF(ISBLANK(A632),"",E633+1)</f>
        <v/>
      </c>
      <c r="F634" s="11" t="str">
        <f t="shared" si="739"/>
        <v/>
      </c>
      <c r="G634" s="8"/>
    </row>
    <row r="635">
      <c r="A635" s="9" t="str">
        <f t="shared" si="737"/>
        <v/>
      </c>
      <c r="B635" s="9" t="str">
        <f>IF(ISBLANK(A632),"",LEFT(B634,27)&amp;VALUE(RIGHT(B634,1)+1))</f>
        <v/>
      </c>
      <c r="C635" s="6" t="str">
        <f t="shared" ref="C635:D635" si="740">C634</f>
        <v/>
      </c>
      <c r="D635" s="6" t="str">
        <f t="shared" si="740"/>
        <v/>
      </c>
      <c r="E635" s="10" t="str">
        <f>IF(ISBLANK(A632),"",E634+1)</f>
        <v/>
      </c>
      <c r="F635" s="11" t="str">
        <f t="shared" si="739"/>
        <v/>
      </c>
      <c r="G635" s="8"/>
    </row>
    <row r="636">
      <c r="A636" s="9" t="str">
        <f t="shared" si="737"/>
        <v/>
      </c>
      <c r="B636" s="9" t="str">
        <f>IF(ISBLANK(A632),"",LEFT(B635,27)&amp;VALUE(RIGHT(B635,1)+1))</f>
        <v/>
      </c>
      <c r="C636" s="6" t="str">
        <f t="shared" ref="C636:D636" si="741">C635</f>
        <v/>
      </c>
      <c r="D636" s="6" t="str">
        <f t="shared" si="741"/>
        <v/>
      </c>
      <c r="E636" s="10" t="str">
        <f>IF(ISBLANK(A632),"",E635+1)</f>
        <v/>
      </c>
      <c r="F636" s="11" t="str">
        <f t="shared" si="739"/>
        <v/>
      </c>
      <c r="G636" s="8"/>
    </row>
    <row r="637">
      <c r="A637" s="12" t="str">
        <f t="shared" si="737"/>
        <v/>
      </c>
      <c r="B637" s="12" t="str">
        <f>IF(ISBLANK(A632),"",LEFT(B636,27)&amp;VALUE(RIGHT(B636,1)+1))</f>
        <v/>
      </c>
      <c r="C637" s="13" t="str">
        <f t="shared" ref="C637:D637" si="742">C636</f>
        <v/>
      </c>
      <c r="D637" s="13" t="str">
        <f t="shared" si="742"/>
        <v/>
      </c>
      <c r="E637" s="14" t="str">
        <f>IF(ISBLANK(A632),"",E636+1)</f>
        <v/>
      </c>
      <c r="F637" s="15" t="str">
        <f t="shared" si="739"/>
        <v/>
      </c>
      <c r="G637" s="16"/>
    </row>
    <row r="638">
      <c r="A638" s="5"/>
      <c r="B638" s="6" t="str">
        <f t="array" ref="B638">IF(ISBLANK(A638),"",IF(A638="PROREP (L)",VLOOKUP(LEFT($A638,6),'Data Feed (35C)'!$A$1:$G$10,2,FALSE),IF(A638="PROREP (S)", INDEX('Data Feed (35C)'!B:B, MATCH(LEFT($A638,6), 'Data Feed (35C)'!$A$1:$A$10, 0) + 1), VLOOKUP($A638,'Data Feed (35C)'!$A$1:$G$10,2,FALSE))))</f>
        <v/>
      </c>
      <c r="C638" s="6" t="str">
        <f t="array" ref="C638">IF(ISBLANK(A638),"",IF(A638="PROREP (L)",VLOOKUP(LEFT($A638,6),'Data Feed (35C)'!$A$1:$G$10,3,FALSE),IF(A638="PROREP (S)", INDEX('Data Feed (35C)'!C:C, MATCH(LEFT($A638,6), 'Data Feed (35C)'!$A$1:$A$10, 0) + 1, +1), VLOOKUP($A638,'Data Feed (35C)'!$A$1:$G$10,3,FALSE))))</f>
        <v/>
      </c>
      <c r="D638" s="6" t="str">
        <f t="array" ref="D638">IF(ISBLANK(A638),"",IF(A638="PROREP (L)",VLOOKUP(LEFT($A638,6),'Data Feed (35C)'!$A$1:$G$10,4,FALSE),IF(A638="PROREP (S)", INDEX('Data Feed (35C)'!D:D, MATCH(LEFT($A638,6), 'Data Feed (35C)'!$A$1:$A$10, 0) + 1, +1), VLOOKUP($A638,'Data Feed (35C)'!$A$1:$G$10,4,FALSE))))</f>
        <v/>
      </c>
      <c r="E638" s="6" t="str">
        <f t="array" ref="E638">IF(ISBLANK(A638),"",IF(A638="PROREP (L)",VLOOKUP(LEFT($A638,6),'Data Feed (35C)'!$A$1:$G$10,7,FALSE),IF(A638="PROREP (S)", INDEX('Data Feed (35C)'!G:G, MATCH(LEFT($A638,6), 'Data Feed (35C)'!$A$1:$A$10, 0) + 1, +1), VLOOKUP($A638,'Data Feed (35C)'!$A$1:$G$10,7,FALSE))))</f>
        <v/>
      </c>
      <c r="F638" s="7"/>
      <c r="G638" s="8"/>
    </row>
    <row r="639">
      <c r="A639" s="9" t="str">
        <f t="shared" ref="A639:A643" si="744">A638</f>
        <v/>
      </c>
      <c r="B639" s="9" t="str">
        <f>IF(ISBLANK(A638),"",LEFT(B638,27)&amp;VALUE(RIGHT(B638,1)+1))</f>
        <v/>
      </c>
      <c r="C639" s="6" t="str">
        <f t="shared" ref="C639:D639" si="743">C638</f>
        <v/>
      </c>
      <c r="D639" s="6" t="str">
        <f t="shared" si="743"/>
        <v/>
      </c>
      <c r="E639" s="10" t="str">
        <f>IF(ISBLANK(A638),"",E638+1)</f>
        <v/>
      </c>
      <c r="F639" s="11" t="str">
        <f t="shared" ref="F639:F643" si="746">F638</f>
        <v/>
      </c>
      <c r="G639" s="8"/>
    </row>
    <row r="640">
      <c r="A640" s="9" t="str">
        <f t="shared" si="744"/>
        <v/>
      </c>
      <c r="B640" s="9" t="str">
        <f>IF(ISBLANK(A638),"",LEFT(B639,27)&amp;VALUE(RIGHT(B639,1)+1))</f>
        <v/>
      </c>
      <c r="C640" s="6" t="str">
        <f t="shared" ref="C640:D640" si="745">C639</f>
        <v/>
      </c>
      <c r="D640" s="6" t="str">
        <f t="shared" si="745"/>
        <v/>
      </c>
      <c r="E640" s="10" t="str">
        <f>IF(ISBLANK(A638),"",E639+1)</f>
        <v/>
      </c>
      <c r="F640" s="11" t="str">
        <f t="shared" si="746"/>
        <v/>
      </c>
      <c r="G640" s="8"/>
    </row>
    <row r="641">
      <c r="A641" s="9" t="str">
        <f t="shared" si="744"/>
        <v/>
      </c>
      <c r="B641" s="9" t="str">
        <f>IF(ISBLANK(A638),"",LEFT(B640,27)&amp;VALUE(RIGHT(B640,1)+1))</f>
        <v/>
      </c>
      <c r="C641" s="6" t="str">
        <f t="shared" ref="C641:D641" si="747">C640</f>
        <v/>
      </c>
      <c r="D641" s="6" t="str">
        <f t="shared" si="747"/>
        <v/>
      </c>
      <c r="E641" s="10" t="str">
        <f>IF(ISBLANK(A638),"",E640+1)</f>
        <v/>
      </c>
      <c r="F641" s="11" t="str">
        <f t="shared" si="746"/>
        <v/>
      </c>
      <c r="G641" s="8"/>
    </row>
    <row r="642">
      <c r="A642" s="9" t="str">
        <f t="shared" si="744"/>
        <v/>
      </c>
      <c r="B642" s="9" t="str">
        <f>IF(ISBLANK(A638),"",LEFT(B641,27)&amp;VALUE(RIGHT(B641,1)+1))</f>
        <v/>
      </c>
      <c r="C642" s="6" t="str">
        <f t="shared" ref="C642:D642" si="748">C641</f>
        <v/>
      </c>
      <c r="D642" s="6" t="str">
        <f t="shared" si="748"/>
        <v/>
      </c>
      <c r="E642" s="10" t="str">
        <f>IF(ISBLANK(A638),"",E641+1)</f>
        <v/>
      </c>
      <c r="F642" s="11" t="str">
        <f t="shared" si="746"/>
        <v/>
      </c>
      <c r="G642" s="8"/>
    </row>
    <row r="643">
      <c r="A643" s="12" t="str">
        <f t="shared" si="744"/>
        <v/>
      </c>
      <c r="B643" s="12" t="str">
        <f>IF(ISBLANK(A638),"",LEFT(B642,27)&amp;VALUE(RIGHT(B642,1)+1))</f>
        <v/>
      </c>
      <c r="C643" s="13" t="str">
        <f t="shared" ref="C643:D643" si="749">C642</f>
        <v/>
      </c>
      <c r="D643" s="13" t="str">
        <f t="shared" si="749"/>
        <v/>
      </c>
      <c r="E643" s="14" t="str">
        <f>IF(ISBLANK(A638),"",E642+1)</f>
        <v/>
      </c>
      <c r="F643" s="15" t="str">
        <f t="shared" si="746"/>
        <v/>
      </c>
      <c r="G643" s="16"/>
    </row>
    <row r="644">
      <c r="A644" s="5"/>
      <c r="B644" s="6" t="str">
        <f t="array" ref="B644">IF(ISBLANK(A644),"",IF(A644="PROREP (L)",VLOOKUP(LEFT($A644,6),'Data Feed (35C)'!$A$1:$G$10,2,FALSE),IF(A644="PROREP (S)", INDEX('Data Feed (35C)'!B:B, MATCH(LEFT($A644,6), 'Data Feed (35C)'!$A$1:$A$10, 0) + 1), VLOOKUP($A644,'Data Feed (35C)'!$A$1:$G$10,2,FALSE))))</f>
        <v/>
      </c>
      <c r="C644" s="6" t="str">
        <f t="array" ref="C644">IF(ISBLANK(A644),"",IF(A644="PROREP (L)",VLOOKUP(LEFT($A644,6),'Data Feed (35C)'!$A$1:$G$10,3,FALSE),IF(A644="PROREP (S)", INDEX('Data Feed (35C)'!C:C, MATCH(LEFT($A644,6), 'Data Feed (35C)'!$A$1:$A$10, 0) + 1, +1), VLOOKUP($A644,'Data Feed (35C)'!$A$1:$G$10,3,FALSE))))</f>
        <v/>
      </c>
      <c r="D644" s="6" t="str">
        <f t="array" ref="D644">IF(ISBLANK(A644),"",IF(A644="PROREP (L)",VLOOKUP(LEFT($A644,6),'Data Feed (35C)'!$A$1:$G$10,4,FALSE),IF(A644="PROREP (S)", INDEX('Data Feed (35C)'!D:D, MATCH(LEFT($A644,6), 'Data Feed (35C)'!$A$1:$A$10, 0) + 1, +1), VLOOKUP($A644,'Data Feed (35C)'!$A$1:$G$10,4,FALSE))))</f>
        <v/>
      </c>
      <c r="E644" s="6" t="str">
        <f t="array" ref="E644">IF(ISBLANK(A644),"",IF(A644="PROREP (L)",VLOOKUP(LEFT($A644,6),'Data Feed (35C)'!$A$1:$G$10,7,FALSE),IF(A644="PROREP (S)", INDEX('Data Feed (35C)'!G:G, MATCH(LEFT($A644,6), 'Data Feed (35C)'!$A$1:$A$10, 0) + 1, +1), VLOOKUP($A644,'Data Feed (35C)'!$A$1:$G$10,7,FALSE))))</f>
        <v/>
      </c>
      <c r="F644" s="7"/>
      <c r="G644" s="8"/>
    </row>
    <row r="645">
      <c r="A645" s="9" t="str">
        <f t="shared" ref="A645:A649" si="751">A644</f>
        <v/>
      </c>
      <c r="B645" s="9" t="str">
        <f>IF(ISBLANK(A644),"",LEFT(B644,27)&amp;VALUE(RIGHT(B644,1)+1))</f>
        <v/>
      </c>
      <c r="C645" s="6" t="str">
        <f t="shared" ref="C645:D645" si="750">C644</f>
        <v/>
      </c>
      <c r="D645" s="6" t="str">
        <f t="shared" si="750"/>
        <v/>
      </c>
      <c r="E645" s="10" t="str">
        <f>IF(ISBLANK(A644),"",E644+1)</f>
        <v/>
      </c>
      <c r="F645" s="11" t="str">
        <f t="shared" ref="F645:F649" si="753">F644</f>
        <v/>
      </c>
      <c r="G645" s="8"/>
    </row>
    <row r="646">
      <c r="A646" s="9" t="str">
        <f t="shared" si="751"/>
        <v/>
      </c>
      <c r="B646" s="9" t="str">
        <f>IF(ISBLANK(A644),"",LEFT(B645,27)&amp;VALUE(RIGHT(B645,1)+1))</f>
        <v/>
      </c>
      <c r="C646" s="6" t="str">
        <f t="shared" ref="C646:D646" si="752">C645</f>
        <v/>
      </c>
      <c r="D646" s="6" t="str">
        <f t="shared" si="752"/>
        <v/>
      </c>
      <c r="E646" s="10" t="str">
        <f>IF(ISBLANK(A644),"",E645+1)</f>
        <v/>
      </c>
      <c r="F646" s="11" t="str">
        <f t="shared" si="753"/>
        <v/>
      </c>
      <c r="G646" s="8"/>
    </row>
    <row r="647">
      <c r="A647" s="9" t="str">
        <f t="shared" si="751"/>
        <v/>
      </c>
      <c r="B647" s="9" t="str">
        <f>IF(ISBLANK(A644),"",LEFT(B646,27)&amp;VALUE(RIGHT(B646,1)+1))</f>
        <v/>
      </c>
      <c r="C647" s="6" t="str">
        <f t="shared" ref="C647:D647" si="754">C646</f>
        <v/>
      </c>
      <c r="D647" s="6" t="str">
        <f t="shared" si="754"/>
        <v/>
      </c>
      <c r="E647" s="10" t="str">
        <f>IF(ISBLANK(A644),"",E646+1)</f>
        <v/>
      </c>
      <c r="F647" s="11" t="str">
        <f t="shared" si="753"/>
        <v/>
      </c>
      <c r="G647" s="8"/>
    </row>
    <row r="648">
      <c r="A648" s="9" t="str">
        <f t="shared" si="751"/>
        <v/>
      </c>
      <c r="B648" s="9" t="str">
        <f>IF(ISBLANK(A644),"",LEFT(B647,27)&amp;VALUE(RIGHT(B647,1)+1))</f>
        <v/>
      </c>
      <c r="C648" s="6" t="str">
        <f t="shared" ref="C648:D648" si="755">C647</f>
        <v/>
      </c>
      <c r="D648" s="6" t="str">
        <f t="shared" si="755"/>
        <v/>
      </c>
      <c r="E648" s="10" t="str">
        <f>IF(ISBLANK(A644),"",E647+1)</f>
        <v/>
      </c>
      <c r="F648" s="11" t="str">
        <f t="shared" si="753"/>
        <v/>
      </c>
      <c r="G648" s="8"/>
    </row>
    <row r="649">
      <c r="A649" s="12" t="str">
        <f t="shared" si="751"/>
        <v/>
      </c>
      <c r="B649" s="12" t="str">
        <f>IF(ISBLANK(A644),"",LEFT(B648,27)&amp;VALUE(RIGHT(B648,1)+1))</f>
        <v/>
      </c>
      <c r="C649" s="13" t="str">
        <f t="shared" ref="C649:D649" si="756">C648</f>
        <v/>
      </c>
      <c r="D649" s="13" t="str">
        <f t="shared" si="756"/>
        <v/>
      </c>
      <c r="E649" s="14" t="str">
        <f>IF(ISBLANK(A644),"",E648+1)</f>
        <v/>
      </c>
      <c r="F649" s="15" t="str">
        <f t="shared" si="753"/>
        <v/>
      </c>
      <c r="G649" s="16"/>
    </row>
    <row r="650">
      <c r="A650" s="5"/>
      <c r="B650" s="6" t="str">
        <f t="array" ref="B650">IF(ISBLANK(A650),"",IF(A650="PROREP (L)",VLOOKUP(LEFT($A650,6),'Data Feed (35C)'!$A$1:$G$10,2,FALSE),IF(A650="PROREP (S)", INDEX('Data Feed (35C)'!B:B, MATCH(LEFT($A650,6), 'Data Feed (35C)'!$A$1:$A$10, 0) + 1), VLOOKUP($A650,'Data Feed (35C)'!$A$1:$G$10,2,FALSE))))</f>
        <v/>
      </c>
      <c r="C650" s="6" t="str">
        <f t="array" ref="C650">IF(ISBLANK(A650),"",IF(A650="PROREP (L)",VLOOKUP(LEFT($A650,6),'Data Feed (35C)'!$A$1:$G$10,3,FALSE),IF(A650="PROREP (S)", INDEX('Data Feed (35C)'!C:C, MATCH(LEFT($A650,6), 'Data Feed (35C)'!$A$1:$A$10, 0) + 1, +1), VLOOKUP($A650,'Data Feed (35C)'!$A$1:$G$10,3,FALSE))))</f>
        <v/>
      </c>
      <c r="D650" s="6" t="str">
        <f t="array" ref="D650">IF(ISBLANK(A650),"",IF(A650="PROREP (L)",VLOOKUP(LEFT($A650,6),'Data Feed (35C)'!$A$1:$G$10,4,FALSE),IF(A650="PROREP (S)", INDEX('Data Feed (35C)'!D:D, MATCH(LEFT($A650,6), 'Data Feed (35C)'!$A$1:$A$10, 0) + 1, +1), VLOOKUP($A650,'Data Feed (35C)'!$A$1:$G$10,4,FALSE))))</f>
        <v/>
      </c>
      <c r="E650" s="6" t="str">
        <f t="array" ref="E650">IF(ISBLANK(A650),"",IF(A650="PROREP (L)",VLOOKUP(LEFT($A650,6),'Data Feed (35C)'!$A$1:$G$10,7,FALSE),IF(A650="PROREP (S)", INDEX('Data Feed (35C)'!G:G, MATCH(LEFT($A650,6), 'Data Feed (35C)'!$A$1:$A$10, 0) + 1, +1), VLOOKUP($A650,'Data Feed (35C)'!$A$1:$G$10,7,FALSE))))</f>
        <v/>
      </c>
      <c r="F650" s="7"/>
      <c r="G650" s="8"/>
    </row>
    <row r="651">
      <c r="A651" s="9" t="str">
        <f t="shared" ref="A651:A655" si="758">A650</f>
        <v/>
      </c>
      <c r="B651" s="9" t="str">
        <f>IF(ISBLANK(A650),"",LEFT(B650,27)&amp;VALUE(RIGHT(B650,1)+1))</f>
        <v/>
      </c>
      <c r="C651" s="6" t="str">
        <f t="shared" ref="C651:D651" si="757">C650</f>
        <v/>
      </c>
      <c r="D651" s="6" t="str">
        <f t="shared" si="757"/>
        <v/>
      </c>
      <c r="E651" s="10" t="str">
        <f>IF(ISBLANK(A650),"",E650+1)</f>
        <v/>
      </c>
      <c r="F651" s="11" t="str">
        <f t="shared" ref="F651:F655" si="760">F650</f>
        <v/>
      </c>
      <c r="G651" s="8"/>
    </row>
    <row r="652">
      <c r="A652" s="9" t="str">
        <f t="shared" si="758"/>
        <v/>
      </c>
      <c r="B652" s="9" t="str">
        <f>IF(ISBLANK(A650),"",LEFT(B651,27)&amp;VALUE(RIGHT(B651,1)+1))</f>
        <v/>
      </c>
      <c r="C652" s="6" t="str">
        <f t="shared" ref="C652:D652" si="759">C651</f>
        <v/>
      </c>
      <c r="D652" s="6" t="str">
        <f t="shared" si="759"/>
        <v/>
      </c>
      <c r="E652" s="10" t="str">
        <f>IF(ISBLANK(A650),"",E651+1)</f>
        <v/>
      </c>
      <c r="F652" s="11" t="str">
        <f t="shared" si="760"/>
        <v/>
      </c>
      <c r="G652" s="8"/>
    </row>
    <row r="653">
      <c r="A653" s="9" t="str">
        <f t="shared" si="758"/>
        <v/>
      </c>
      <c r="B653" s="9" t="str">
        <f>IF(ISBLANK(A650),"",LEFT(B652,27)&amp;VALUE(RIGHT(B652,1)+1))</f>
        <v/>
      </c>
      <c r="C653" s="6" t="str">
        <f t="shared" ref="C653:D653" si="761">C652</f>
        <v/>
      </c>
      <c r="D653" s="6" t="str">
        <f t="shared" si="761"/>
        <v/>
      </c>
      <c r="E653" s="10" t="str">
        <f>IF(ISBLANK(A650),"",E652+1)</f>
        <v/>
      </c>
      <c r="F653" s="11" t="str">
        <f t="shared" si="760"/>
        <v/>
      </c>
      <c r="G653" s="8"/>
    </row>
    <row r="654">
      <c r="A654" s="9" t="str">
        <f t="shared" si="758"/>
        <v/>
      </c>
      <c r="B654" s="9" t="str">
        <f>IF(ISBLANK(A650),"",LEFT(B653,27)&amp;VALUE(RIGHT(B653,1)+1))</f>
        <v/>
      </c>
      <c r="C654" s="6" t="str">
        <f t="shared" ref="C654:D654" si="762">C653</f>
        <v/>
      </c>
      <c r="D654" s="6" t="str">
        <f t="shared" si="762"/>
        <v/>
      </c>
      <c r="E654" s="10" t="str">
        <f>IF(ISBLANK(A650),"",E653+1)</f>
        <v/>
      </c>
      <c r="F654" s="11" t="str">
        <f t="shared" si="760"/>
        <v/>
      </c>
      <c r="G654" s="8"/>
    </row>
    <row r="655">
      <c r="A655" s="12" t="str">
        <f t="shared" si="758"/>
        <v/>
      </c>
      <c r="B655" s="12" t="str">
        <f>IF(ISBLANK(A650),"",LEFT(B654,27)&amp;VALUE(RIGHT(B654,1)+1))</f>
        <v/>
      </c>
      <c r="C655" s="13" t="str">
        <f t="shared" ref="C655:D655" si="763">C654</f>
        <v/>
      </c>
      <c r="D655" s="13" t="str">
        <f t="shared" si="763"/>
        <v/>
      </c>
      <c r="E655" s="14" t="str">
        <f>IF(ISBLANK(A650),"",E654+1)</f>
        <v/>
      </c>
      <c r="F655" s="15" t="str">
        <f t="shared" si="760"/>
        <v/>
      </c>
      <c r="G655" s="16"/>
    </row>
    <row r="656">
      <c r="A656" s="5"/>
      <c r="B656" s="6" t="str">
        <f t="array" ref="B656">IF(ISBLANK(A656),"",IF(A656="PROREP (L)",VLOOKUP(LEFT($A656,6),'Data Feed (35C)'!$A$1:$G$10,2,FALSE),IF(A656="PROREP (S)", INDEX('Data Feed (35C)'!B:B, MATCH(LEFT($A656,6), 'Data Feed (35C)'!$A$1:$A$10, 0) + 1), VLOOKUP($A656,'Data Feed (35C)'!$A$1:$G$10,2,FALSE))))</f>
        <v/>
      </c>
      <c r="C656" s="6" t="str">
        <f t="array" ref="C656">IF(ISBLANK(A656),"",IF(A656="PROREP (L)",VLOOKUP(LEFT($A656,6),'Data Feed (35C)'!$A$1:$G$10,3,FALSE),IF(A656="PROREP (S)", INDEX('Data Feed (35C)'!C:C, MATCH(LEFT($A656,6), 'Data Feed (35C)'!$A$1:$A$10, 0) + 1, +1), VLOOKUP($A656,'Data Feed (35C)'!$A$1:$G$10,3,FALSE))))</f>
        <v/>
      </c>
      <c r="D656" s="6" t="str">
        <f t="array" ref="D656">IF(ISBLANK(A656),"",IF(A656="PROREP (L)",VLOOKUP(LEFT($A656,6),'Data Feed (35C)'!$A$1:$G$10,4,FALSE),IF(A656="PROREP (S)", INDEX('Data Feed (35C)'!D:D, MATCH(LEFT($A656,6), 'Data Feed (35C)'!$A$1:$A$10, 0) + 1, +1), VLOOKUP($A656,'Data Feed (35C)'!$A$1:$G$10,4,FALSE))))</f>
        <v/>
      </c>
      <c r="E656" s="6" t="str">
        <f t="array" ref="E656">IF(ISBLANK(A656),"",IF(A656="PROREP (L)",VLOOKUP(LEFT($A656,6),'Data Feed (35C)'!$A$1:$G$10,7,FALSE),IF(A656="PROREP (S)", INDEX('Data Feed (35C)'!G:G, MATCH(LEFT($A656,6), 'Data Feed (35C)'!$A$1:$A$10, 0) + 1, +1), VLOOKUP($A656,'Data Feed (35C)'!$A$1:$G$10,7,FALSE))))</f>
        <v/>
      </c>
      <c r="F656" s="7"/>
      <c r="G656" s="8"/>
    </row>
    <row r="657">
      <c r="A657" s="9" t="str">
        <f t="shared" ref="A657:A661" si="765">A656</f>
        <v/>
      </c>
      <c r="B657" s="9" t="str">
        <f>IF(ISBLANK(A656),"",LEFT(B656,27)&amp;VALUE(RIGHT(B656,1)+1))</f>
        <v/>
      </c>
      <c r="C657" s="6" t="str">
        <f t="shared" ref="C657:D657" si="764">C656</f>
        <v/>
      </c>
      <c r="D657" s="6" t="str">
        <f t="shared" si="764"/>
        <v/>
      </c>
      <c r="E657" s="10" t="str">
        <f>IF(ISBLANK(A656),"",E656+1)</f>
        <v/>
      </c>
      <c r="F657" s="11" t="str">
        <f t="shared" ref="F657:F661" si="767">F656</f>
        <v/>
      </c>
      <c r="G657" s="8"/>
    </row>
    <row r="658">
      <c r="A658" s="9" t="str">
        <f t="shared" si="765"/>
        <v/>
      </c>
      <c r="B658" s="9" t="str">
        <f>IF(ISBLANK(A656),"",LEFT(B657,27)&amp;VALUE(RIGHT(B657,1)+1))</f>
        <v/>
      </c>
      <c r="C658" s="6" t="str">
        <f t="shared" ref="C658:D658" si="766">C657</f>
        <v/>
      </c>
      <c r="D658" s="6" t="str">
        <f t="shared" si="766"/>
        <v/>
      </c>
      <c r="E658" s="10" t="str">
        <f>IF(ISBLANK(A656),"",E657+1)</f>
        <v/>
      </c>
      <c r="F658" s="11" t="str">
        <f t="shared" si="767"/>
        <v/>
      </c>
      <c r="G658" s="8"/>
    </row>
    <row r="659">
      <c r="A659" s="9" t="str">
        <f t="shared" si="765"/>
        <v/>
      </c>
      <c r="B659" s="9" t="str">
        <f>IF(ISBLANK(A656),"",LEFT(B658,27)&amp;VALUE(RIGHT(B658,1)+1))</f>
        <v/>
      </c>
      <c r="C659" s="6" t="str">
        <f t="shared" ref="C659:D659" si="768">C658</f>
        <v/>
      </c>
      <c r="D659" s="6" t="str">
        <f t="shared" si="768"/>
        <v/>
      </c>
      <c r="E659" s="10" t="str">
        <f>IF(ISBLANK(A656),"",E658+1)</f>
        <v/>
      </c>
      <c r="F659" s="11" t="str">
        <f t="shared" si="767"/>
        <v/>
      </c>
      <c r="G659" s="8"/>
    </row>
    <row r="660">
      <c r="A660" s="9" t="str">
        <f t="shared" si="765"/>
        <v/>
      </c>
      <c r="B660" s="9" t="str">
        <f>IF(ISBLANK(A656),"",LEFT(B659,27)&amp;VALUE(RIGHT(B659,1)+1))</f>
        <v/>
      </c>
      <c r="C660" s="6" t="str">
        <f t="shared" ref="C660:D660" si="769">C659</f>
        <v/>
      </c>
      <c r="D660" s="6" t="str">
        <f t="shared" si="769"/>
        <v/>
      </c>
      <c r="E660" s="10" t="str">
        <f>IF(ISBLANK(A656),"",E659+1)</f>
        <v/>
      </c>
      <c r="F660" s="11" t="str">
        <f t="shared" si="767"/>
        <v/>
      </c>
      <c r="G660" s="8"/>
    </row>
    <row r="661">
      <c r="A661" s="12" t="str">
        <f t="shared" si="765"/>
        <v/>
      </c>
      <c r="B661" s="12" t="str">
        <f>IF(ISBLANK(A656),"",LEFT(B660,27)&amp;VALUE(RIGHT(B660,1)+1))</f>
        <v/>
      </c>
      <c r="C661" s="13" t="str">
        <f t="shared" ref="C661:D661" si="770">C660</f>
        <v/>
      </c>
      <c r="D661" s="13" t="str">
        <f t="shared" si="770"/>
        <v/>
      </c>
      <c r="E661" s="14" t="str">
        <f>IF(ISBLANK(A656),"",E660+1)</f>
        <v/>
      </c>
      <c r="F661" s="15" t="str">
        <f t="shared" si="767"/>
        <v/>
      </c>
      <c r="G661" s="16"/>
    </row>
    <row r="662">
      <c r="A662" s="5"/>
      <c r="B662" s="6" t="str">
        <f t="array" ref="B662">IF(ISBLANK(A662),"",IF(A662="PROREP (L)",VLOOKUP(LEFT($A662,6),'Data Feed (35C)'!$A$1:$G$10,2,FALSE),IF(A662="PROREP (S)", INDEX('Data Feed (35C)'!B:B, MATCH(LEFT($A662,6), 'Data Feed (35C)'!$A$1:$A$10, 0) + 1), VLOOKUP($A662,'Data Feed (35C)'!$A$1:$G$10,2,FALSE))))</f>
        <v/>
      </c>
      <c r="C662" s="6" t="str">
        <f t="array" ref="C662">IF(ISBLANK(A662),"",IF(A662="PROREP (L)",VLOOKUP(LEFT($A662,6),'Data Feed (35C)'!$A$1:$G$10,3,FALSE),IF(A662="PROREP (S)", INDEX('Data Feed (35C)'!C:C, MATCH(LEFT($A662,6), 'Data Feed (35C)'!$A$1:$A$10, 0) + 1, +1), VLOOKUP($A662,'Data Feed (35C)'!$A$1:$G$10,3,FALSE))))</f>
        <v/>
      </c>
      <c r="D662" s="6" t="str">
        <f t="array" ref="D662">IF(ISBLANK(A662),"",IF(A662="PROREP (L)",VLOOKUP(LEFT($A662,6),'Data Feed (35C)'!$A$1:$G$10,4,FALSE),IF(A662="PROREP (S)", INDEX('Data Feed (35C)'!D:D, MATCH(LEFT($A662,6), 'Data Feed (35C)'!$A$1:$A$10, 0) + 1, +1), VLOOKUP($A662,'Data Feed (35C)'!$A$1:$G$10,4,FALSE))))</f>
        <v/>
      </c>
      <c r="E662" s="6" t="str">
        <f t="array" ref="E662">IF(ISBLANK(A662),"",IF(A662="PROREP (L)",VLOOKUP(LEFT($A662,6),'Data Feed (35C)'!$A$1:$G$10,7,FALSE),IF(A662="PROREP (S)", INDEX('Data Feed (35C)'!G:G, MATCH(LEFT($A662,6), 'Data Feed (35C)'!$A$1:$A$10, 0) + 1, +1), VLOOKUP($A662,'Data Feed (35C)'!$A$1:$G$10,7,FALSE))))</f>
        <v/>
      </c>
      <c r="F662" s="7"/>
      <c r="G662" s="8"/>
    </row>
    <row r="663">
      <c r="A663" s="9" t="str">
        <f t="shared" ref="A663:A667" si="772">A662</f>
        <v/>
      </c>
      <c r="B663" s="9" t="str">
        <f>IF(ISBLANK(A662),"",LEFT(B662,27)&amp;VALUE(RIGHT(B662,1)+1))</f>
        <v/>
      </c>
      <c r="C663" s="6" t="str">
        <f t="shared" ref="C663:D663" si="771">C662</f>
        <v/>
      </c>
      <c r="D663" s="6" t="str">
        <f t="shared" si="771"/>
        <v/>
      </c>
      <c r="E663" s="10" t="str">
        <f>IF(ISBLANK(A662),"",E662+1)</f>
        <v/>
      </c>
      <c r="F663" s="11" t="str">
        <f t="shared" ref="F663:F667" si="774">F662</f>
        <v/>
      </c>
      <c r="G663" s="8"/>
    </row>
    <row r="664">
      <c r="A664" s="9" t="str">
        <f t="shared" si="772"/>
        <v/>
      </c>
      <c r="B664" s="9" t="str">
        <f>IF(ISBLANK(A662),"",LEFT(B663,27)&amp;VALUE(RIGHT(B663,1)+1))</f>
        <v/>
      </c>
      <c r="C664" s="6" t="str">
        <f t="shared" ref="C664:D664" si="773">C663</f>
        <v/>
      </c>
      <c r="D664" s="6" t="str">
        <f t="shared" si="773"/>
        <v/>
      </c>
      <c r="E664" s="10" t="str">
        <f>IF(ISBLANK(A662),"",E663+1)</f>
        <v/>
      </c>
      <c r="F664" s="11" t="str">
        <f t="shared" si="774"/>
        <v/>
      </c>
      <c r="G664" s="8"/>
    </row>
    <row r="665">
      <c r="A665" s="9" t="str">
        <f t="shared" si="772"/>
        <v/>
      </c>
      <c r="B665" s="9" t="str">
        <f>IF(ISBLANK(A662),"",LEFT(B664,27)&amp;VALUE(RIGHT(B664,1)+1))</f>
        <v/>
      </c>
      <c r="C665" s="6" t="str">
        <f t="shared" ref="C665:D665" si="775">C664</f>
        <v/>
      </c>
      <c r="D665" s="6" t="str">
        <f t="shared" si="775"/>
        <v/>
      </c>
      <c r="E665" s="10" t="str">
        <f>IF(ISBLANK(A662),"",E664+1)</f>
        <v/>
      </c>
      <c r="F665" s="11" t="str">
        <f t="shared" si="774"/>
        <v/>
      </c>
      <c r="G665" s="8"/>
    </row>
    <row r="666">
      <c r="A666" s="9" t="str">
        <f t="shared" si="772"/>
        <v/>
      </c>
      <c r="B666" s="9" t="str">
        <f>IF(ISBLANK(A662),"",LEFT(B665,27)&amp;VALUE(RIGHT(B665,1)+1))</f>
        <v/>
      </c>
      <c r="C666" s="6" t="str">
        <f t="shared" ref="C666:D666" si="776">C665</f>
        <v/>
      </c>
      <c r="D666" s="6" t="str">
        <f t="shared" si="776"/>
        <v/>
      </c>
      <c r="E666" s="10" t="str">
        <f>IF(ISBLANK(A662),"",E665+1)</f>
        <v/>
      </c>
      <c r="F666" s="11" t="str">
        <f t="shared" si="774"/>
        <v/>
      </c>
      <c r="G666" s="8"/>
    </row>
    <row r="667">
      <c r="A667" s="12" t="str">
        <f t="shared" si="772"/>
        <v/>
      </c>
      <c r="B667" s="12" t="str">
        <f>IF(ISBLANK(A662),"",LEFT(B666,27)&amp;VALUE(RIGHT(B666,1)+1))</f>
        <v/>
      </c>
      <c r="C667" s="13" t="str">
        <f t="shared" ref="C667:D667" si="777">C666</f>
        <v/>
      </c>
      <c r="D667" s="13" t="str">
        <f t="shared" si="777"/>
        <v/>
      </c>
      <c r="E667" s="14" t="str">
        <f>IF(ISBLANK(A662),"",E666+1)</f>
        <v/>
      </c>
      <c r="F667" s="15" t="str">
        <f t="shared" si="774"/>
        <v/>
      </c>
      <c r="G667" s="16"/>
    </row>
    <row r="668">
      <c r="A668" s="5"/>
      <c r="B668" s="6" t="str">
        <f t="array" ref="B668">IF(ISBLANK(A668),"",IF(A668="PROREP (L)",VLOOKUP(LEFT($A668,6),'Data Feed (35C)'!$A$1:$G$10,2,FALSE),IF(A668="PROREP (S)", INDEX('Data Feed (35C)'!B:B, MATCH(LEFT($A668,6), 'Data Feed (35C)'!$A$1:$A$10, 0) + 1), VLOOKUP($A668,'Data Feed (35C)'!$A$1:$G$10,2,FALSE))))</f>
        <v/>
      </c>
      <c r="C668" s="6" t="str">
        <f t="array" ref="C668">IF(ISBLANK(A668),"",IF(A668="PROREP (L)",VLOOKUP(LEFT($A668,6),'Data Feed (35C)'!$A$1:$G$10,3,FALSE),IF(A668="PROREP (S)", INDEX('Data Feed (35C)'!C:C, MATCH(LEFT($A668,6), 'Data Feed (35C)'!$A$1:$A$10, 0) + 1, +1), VLOOKUP($A668,'Data Feed (35C)'!$A$1:$G$10,3,FALSE))))</f>
        <v/>
      </c>
      <c r="D668" s="6" t="str">
        <f t="array" ref="D668">IF(ISBLANK(A668),"",IF(A668="PROREP (L)",VLOOKUP(LEFT($A668,6),'Data Feed (35C)'!$A$1:$G$10,4,FALSE),IF(A668="PROREP (S)", INDEX('Data Feed (35C)'!D:D, MATCH(LEFT($A668,6), 'Data Feed (35C)'!$A$1:$A$10, 0) + 1, +1), VLOOKUP($A668,'Data Feed (35C)'!$A$1:$G$10,4,FALSE))))</f>
        <v/>
      </c>
      <c r="E668" s="6" t="str">
        <f t="array" ref="E668">IF(ISBLANK(A668),"",IF(A668="PROREP (L)",VLOOKUP(LEFT($A668,6),'Data Feed (35C)'!$A$1:$G$10,7,FALSE),IF(A668="PROREP (S)", INDEX('Data Feed (35C)'!G:G, MATCH(LEFT($A668,6), 'Data Feed (35C)'!$A$1:$A$10, 0) + 1, +1), VLOOKUP($A668,'Data Feed (35C)'!$A$1:$G$10,7,FALSE))))</f>
        <v/>
      </c>
      <c r="F668" s="7"/>
      <c r="G668" s="8"/>
    </row>
    <row r="669">
      <c r="A669" s="9" t="str">
        <f t="shared" ref="A669:A673" si="779">A668</f>
        <v/>
      </c>
      <c r="B669" s="9" t="str">
        <f>IF(ISBLANK(A668),"",LEFT(B668,27)&amp;VALUE(RIGHT(B668,1)+1))</f>
        <v/>
      </c>
      <c r="C669" s="6" t="str">
        <f t="shared" ref="C669:D669" si="778">C668</f>
        <v/>
      </c>
      <c r="D669" s="6" t="str">
        <f t="shared" si="778"/>
        <v/>
      </c>
      <c r="E669" s="10" t="str">
        <f>IF(ISBLANK(A668),"",E668+1)</f>
        <v/>
      </c>
      <c r="F669" s="11" t="str">
        <f t="shared" ref="F669:F673" si="781">F668</f>
        <v/>
      </c>
      <c r="G669" s="8"/>
    </row>
    <row r="670">
      <c r="A670" s="9" t="str">
        <f t="shared" si="779"/>
        <v/>
      </c>
      <c r="B670" s="9" t="str">
        <f>IF(ISBLANK(A668),"",LEFT(B669,27)&amp;VALUE(RIGHT(B669,1)+1))</f>
        <v/>
      </c>
      <c r="C670" s="6" t="str">
        <f t="shared" ref="C670:D670" si="780">C669</f>
        <v/>
      </c>
      <c r="D670" s="6" t="str">
        <f t="shared" si="780"/>
        <v/>
      </c>
      <c r="E670" s="10" t="str">
        <f>IF(ISBLANK(A668),"",E669+1)</f>
        <v/>
      </c>
      <c r="F670" s="11" t="str">
        <f t="shared" si="781"/>
        <v/>
      </c>
      <c r="G670" s="8"/>
    </row>
    <row r="671">
      <c r="A671" s="9" t="str">
        <f t="shared" si="779"/>
        <v/>
      </c>
      <c r="B671" s="9" t="str">
        <f>IF(ISBLANK(A668),"",LEFT(B670,27)&amp;VALUE(RIGHT(B670,1)+1))</f>
        <v/>
      </c>
      <c r="C671" s="6" t="str">
        <f t="shared" ref="C671:D671" si="782">C670</f>
        <v/>
      </c>
      <c r="D671" s="6" t="str">
        <f t="shared" si="782"/>
        <v/>
      </c>
      <c r="E671" s="10" t="str">
        <f>IF(ISBLANK(A668),"",E670+1)</f>
        <v/>
      </c>
      <c r="F671" s="11" t="str">
        <f t="shared" si="781"/>
        <v/>
      </c>
      <c r="G671" s="8"/>
    </row>
    <row r="672">
      <c r="A672" s="9" t="str">
        <f t="shared" si="779"/>
        <v/>
      </c>
      <c r="B672" s="9" t="str">
        <f>IF(ISBLANK(A668),"",LEFT(B671,27)&amp;VALUE(RIGHT(B671,1)+1))</f>
        <v/>
      </c>
      <c r="C672" s="6" t="str">
        <f t="shared" ref="C672:D672" si="783">C671</f>
        <v/>
      </c>
      <c r="D672" s="6" t="str">
        <f t="shared" si="783"/>
        <v/>
      </c>
      <c r="E672" s="10" t="str">
        <f>IF(ISBLANK(A668),"",E671+1)</f>
        <v/>
      </c>
      <c r="F672" s="11" t="str">
        <f t="shared" si="781"/>
        <v/>
      </c>
      <c r="G672" s="8"/>
    </row>
    <row r="673">
      <c r="A673" s="12" t="str">
        <f t="shared" si="779"/>
        <v/>
      </c>
      <c r="B673" s="12" t="str">
        <f>IF(ISBLANK(A668),"",LEFT(B672,27)&amp;VALUE(RIGHT(B672,1)+1))</f>
        <v/>
      </c>
      <c r="C673" s="13" t="str">
        <f t="shared" ref="C673:D673" si="784">C672</f>
        <v/>
      </c>
      <c r="D673" s="13" t="str">
        <f t="shared" si="784"/>
        <v/>
      </c>
      <c r="E673" s="14" t="str">
        <f>IF(ISBLANK(A668),"",E672+1)</f>
        <v/>
      </c>
      <c r="F673" s="15" t="str">
        <f t="shared" si="781"/>
        <v/>
      </c>
      <c r="G673" s="16"/>
    </row>
    <row r="674">
      <c r="A674" s="5"/>
      <c r="B674" s="6" t="str">
        <f t="array" ref="B674">IF(ISBLANK(A674),"",IF(A674="PROREP (L)",VLOOKUP(LEFT($A674,6),'Data Feed (35C)'!$A$1:$G$10,2,FALSE),IF(A674="PROREP (S)", INDEX('Data Feed (35C)'!B:B, MATCH(LEFT($A674,6), 'Data Feed (35C)'!$A$1:$A$10, 0) + 1), VLOOKUP($A674,'Data Feed (35C)'!$A$1:$G$10,2,FALSE))))</f>
        <v/>
      </c>
      <c r="C674" s="6" t="str">
        <f t="array" ref="C674">IF(ISBLANK(A674),"",IF(A674="PROREP (L)",VLOOKUP(LEFT($A674,6),'Data Feed (35C)'!$A$1:$G$10,3,FALSE),IF(A674="PROREP (S)", INDEX('Data Feed (35C)'!C:C, MATCH(LEFT($A674,6), 'Data Feed (35C)'!$A$1:$A$10, 0) + 1, +1), VLOOKUP($A674,'Data Feed (35C)'!$A$1:$G$10,3,FALSE))))</f>
        <v/>
      </c>
      <c r="D674" s="6" t="str">
        <f t="array" ref="D674">IF(ISBLANK(A674),"",IF(A674="PROREP (L)",VLOOKUP(LEFT($A674,6),'Data Feed (35C)'!$A$1:$G$10,4,FALSE),IF(A674="PROREP (S)", INDEX('Data Feed (35C)'!D:D, MATCH(LEFT($A674,6), 'Data Feed (35C)'!$A$1:$A$10, 0) + 1, +1), VLOOKUP($A674,'Data Feed (35C)'!$A$1:$G$10,4,FALSE))))</f>
        <v/>
      </c>
      <c r="E674" s="6" t="str">
        <f t="array" ref="E674">IF(ISBLANK(A674),"",IF(A674="PROREP (L)",VLOOKUP(LEFT($A674,6),'Data Feed (35C)'!$A$1:$G$10,7,FALSE),IF(A674="PROREP (S)", INDEX('Data Feed (35C)'!G:G, MATCH(LEFT($A674,6), 'Data Feed (35C)'!$A$1:$A$10, 0) + 1, +1), VLOOKUP($A674,'Data Feed (35C)'!$A$1:$G$10,7,FALSE))))</f>
        <v/>
      </c>
      <c r="F674" s="7"/>
      <c r="G674" s="8"/>
    </row>
    <row r="675">
      <c r="A675" s="9" t="str">
        <f t="shared" ref="A675:A679" si="786">A674</f>
        <v/>
      </c>
      <c r="B675" s="9" t="str">
        <f>IF(ISBLANK(A674),"",LEFT(B674,27)&amp;VALUE(RIGHT(B674,1)+1))</f>
        <v/>
      </c>
      <c r="C675" s="6" t="str">
        <f t="shared" ref="C675:D675" si="785">C674</f>
        <v/>
      </c>
      <c r="D675" s="6" t="str">
        <f t="shared" si="785"/>
        <v/>
      </c>
      <c r="E675" s="10" t="str">
        <f>IF(ISBLANK(A674),"",E674+1)</f>
        <v/>
      </c>
      <c r="F675" s="11" t="str">
        <f t="shared" ref="F675:F679" si="788">F674</f>
        <v/>
      </c>
      <c r="G675" s="8"/>
    </row>
    <row r="676">
      <c r="A676" s="9" t="str">
        <f t="shared" si="786"/>
        <v/>
      </c>
      <c r="B676" s="9" t="str">
        <f>IF(ISBLANK(A674),"",LEFT(B675,27)&amp;VALUE(RIGHT(B675,1)+1))</f>
        <v/>
      </c>
      <c r="C676" s="6" t="str">
        <f t="shared" ref="C676:D676" si="787">C675</f>
        <v/>
      </c>
      <c r="D676" s="6" t="str">
        <f t="shared" si="787"/>
        <v/>
      </c>
      <c r="E676" s="10" t="str">
        <f>IF(ISBLANK(A674),"",E675+1)</f>
        <v/>
      </c>
      <c r="F676" s="11" t="str">
        <f t="shared" si="788"/>
        <v/>
      </c>
      <c r="G676" s="8"/>
    </row>
    <row r="677">
      <c r="A677" s="9" t="str">
        <f t="shared" si="786"/>
        <v/>
      </c>
      <c r="B677" s="9" t="str">
        <f>IF(ISBLANK(A674),"",LEFT(B676,27)&amp;VALUE(RIGHT(B676,1)+1))</f>
        <v/>
      </c>
      <c r="C677" s="6" t="str">
        <f t="shared" ref="C677:D677" si="789">C676</f>
        <v/>
      </c>
      <c r="D677" s="6" t="str">
        <f t="shared" si="789"/>
        <v/>
      </c>
      <c r="E677" s="10" t="str">
        <f>IF(ISBLANK(A674),"",E676+1)</f>
        <v/>
      </c>
      <c r="F677" s="11" t="str">
        <f t="shared" si="788"/>
        <v/>
      </c>
      <c r="G677" s="8"/>
    </row>
    <row r="678">
      <c r="A678" s="9" t="str">
        <f t="shared" si="786"/>
        <v/>
      </c>
      <c r="B678" s="9" t="str">
        <f>IF(ISBLANK(A674),"",LEFT(B677,27)&amp;VALUE(RIGHT(B677,1)+1))</f>
        <v/>
      </c>
      <c r="C678" s="6" t="str">
        <f t="shared" ref="C678:D678" si="790">C677</f>
        <v/>
      </c>
      <c r="D678" s="6" t="str">
        <f t="shared" si="790"/>
        <v/>
      </c>
      <c r="E678" s="10" t="str">
        <f>IF(ISBLANK(A674),"",E677+1)</f>
        <v/>
      </c>
      <c r="F678" s="11" t="str">
        <f t="shared" si="788"/>
        <v/>
      </c>
      <c r="G678" s="8"/>
    </row>
    <row r="679">
      <c r="A679" s="12" t="str">
        <f t="shared" si="786"/>
        <v/>
      </c>
      <c r="B679" s="12" t="str">
        <f>IF(ISBLANK(A674),"",LEFT(B678,27)&amp;VALUE(RIGHT(B678,1)+1))</f>
        <v/>
      </c>
      <c r="C679" s="13" t="str">
        <f t="shared" ref="C679:D679" si="791">C678</f>
        <v/>
      </c>
      <c r="D679" s="13" t="str">
        <f t="shared" si="791"/>
        <v/>
      </c>
      <c r="E679" s="14" t="str">
        <f>IF(ISBLANK(A674),"",E678+1)</f>
        <v/>
      </c>
      <c r="F679" s="15" t="str">
        <f t="shared" si="788"/>
        <v/>
      </c>
      <c r="G679" s="16"/>
    </row>
    <row r="680">
      <c r="A680" s="5"/>
      <c r="B680" s="6" t="str">
        <f t="array" ref="B680">IF(ISBLANK(A680),"",IF(A680="PROREP (L)",VLOOKUP(LEFT($A680,6),'Data Feed (35C)'!$A$1:$G$10,2,FALSE),IF(A680="PROREP (S)", INDEX('Data Feed (35C)'!B:B, MATCH(LEFT($A680,6), 'Data Feed (35C)'!$A$1:$A$10, 0) + 1), VLOOKUP($A680,'Data Feed (35C)'!$A$1:$G$10,2,FALSE))))</f>
        <v/>
      </c>
      <c r="C680" s="6" t="str">
        <f t="array" ref="C680">IF(ISBLANK(A680),"",IF(A680="PROREP (L)",VLOOKUP(LEFT($A680,6),'Data Feed (35C)'!$A$1:$G$10,3,FALSE),IF(A680="PROREP (S)", INDEX('Data Feed (35C)'!C:C, MATCH(LEFT($A680,6), 'Data Feed (35C)'!$A$1:$A$10, 0) + 1, +1), VLOOKUP($A680,'Data Feed (35C)'!$A$1:$G$10,3,FALSE))))</f>
        <v/>
      </c>
      <c r="D680" s="6" t="str">
        <f t="array" ref="D680">IF(ISBLANK(A680),"",IF(A680="PROREP (L)",VLOOKUP(LEFT($A680,6),'Data Feed (35C)'!$A$1:$G$10,4,FALSE),IF(A680="PROREP (S)", INDEX('Data Feed (35C)'!D:D, MATCH(LEFT($A680,6), 'Data Feed (35C)'!$A$1:$A$10, 0) + 1, +1), VLOOKUP($A680,'Data Feed (35C)'!$A$1:$G$10,4,FALSE))))</f>
        <v/>
      </c>
      <c r="E680" s="6" t="str">
        <f t="array" ref="E680">IF(ISBLANK(A680),"",IF(A680="PROREP (L)",VLOOKUP(LEFT($A680,6),'Data Feed (35C)'!$A$1:$G$10,7,FALSE),IF(A680="PROREP (S)", INDEX('Data Feed (35C)'!G:G, MATCH(LEFT($A680,6), 'Data Feed (35C)'!$A$1:$A$10, 0) + 1, +1), VLOOKUP($A680,'Data Feed (35C)'!$A$1:$G$10,7,FALSE))))</f>
        <v/>
      </c>
      <c r="F680" s="7"/>
      <c r="G680" s="8"/>
    </row>
    <row r="681">
      <c r="A681" s="9" t="str">
        <f t="shared" ref="A681:A685" si="793">A680</f>
        <v/>
      </c>
      <c r="B681" s="9" t="str">
        <f>IF(ISBLANK(A680),"",LEFT(B680,27)&amp;VALUE(RIGHT(B680,1)+1))</f>
        <v/>
      </c>
      <c r="C681" s="6" t="str">
        <f t="shared" ref="C681:D681" si="792">C680</f>
        <v/>
      </c>
      <c r="D681" s="6" t="str">
        <f t="shared" si="792"/>
        <v/>
      </c>
      <c r="E681" s="10" t="str">
        <f>IF(ISBLANK(A680),"",E680+1)</f>
        <v/>
      </c>
      <c r="F681" s="11" t="str">
        <f t="shared" ref="F681:F685" si="795">F680</f>
        <v/>
      </c>
      <c r="G681" s="8"/>
    </row>
    <row r="682">
      <c r="A682" s="9" t="str">
        <f t="shared" si="793"/>
        <v/>
      </c>
      <c r="B682" s="9" t="str">
        <f>IF(ISBLANK(A680),"",LEFT(B681,27)&amp;VALUE(RIGHT(B681,1)+1))</f>
        <v/>
      </c>
      <c r="C682" s="6" t="str">
        <f t="shared" ref="C682:D682" si="794">C681</f>
        <v/>
      </c>
      <c r="D682" s="6" t="str">
        <f t="shared" si="794"/>
        <v/>
      </c>
      <c r="E682" s="10" t="str">
        <f>IF(ISBLANK(A680),"",E681+1)</f>
        <v/>
      </c>
      <c r="F682" s="11" t="str">
        <f t="shared" si="795"/>
        <v/>
      </c>
      <c r="G682" s="8"/>
    </row>
    <row r="683">
      <c r="A683" s="9" t="str">
        <f t="shared" si="793"/>
        <v/>
      </c>
      <c r="B683" s="9" t="str">
        <f>IF(ISBLANK(A680),"",LEFT(B682,27)&amp;VALUE(RIGHT(B682,1)+1))</f>
        <v/>
      </c>
      <c r="C683" s="6" t="str">
        <f t="shared" ref="C683:D683" si="796">C682</f>
        <v/>
      </c>
      <c r="D683" s="6" t="str">
        <f t="shared" si="796"/>
        <v/>
      </c>
      <c r="E683" s="10" t="str">
        <f>IF(ISBLANK(A680),"",E682+1)</f>
        <v/>
      </c>
      <c r="F683" s="11" t="str">
        <f t="shared" si="795"/>
        <v/>
      </c>
      <c r="G683" s="8"/>
    </row>
    <row r="684">
      <c r="A684" s="9" t="str">
        <f t="shared" si="793"/>
        <v/>
      </c>
      <c r="B684" s="9" t="str">
        <f>IF(ISBLANK(A680),"",LEFT(B683,27)&amp;VALUE(RIGHT(B683,1)+1))</f>
        <v/>
      </c>
      <c r="C684" s="6" t="str">
        <f t="shared" ref="C684:D684" si="797">C683</f>
        <v/>
      </c>
      <c r="D684" s="6" t="str">
        <f t="shared" si="797"/>
        <v/>
      </c>
      <c r="E684" s="10" t="str">
        <f>IF(ISBLANK(A680),"",E683+1)</f>
        <v/>
      </c>
      <c r="F684" s="11" t="str">
        <f t="shared" si="795"/>
        <v/>
      </c>
      <c r="G684" s="8"/>
    </row>
    <row r="685">
      <c r="A685" s="12" t="str">
        <f t="shared" si="793"/>
        <v/>
      </c>
      <c r="B685" s="12" t="str">
        <f>IF(ISBLANK(A680),"",LEFT(B684,27)&amp;VALUE(RIGHT(B684,1)+1))</f>
        <v/>
      </c>
      <c r="C685" s="13" t="str">
        <f t="shared" ref="C685:D685" si="798">C684</f>
        <v/>
      </c>
      <c r="D685" s="13" t="str">
        <f t="shared" si="798"/>
        <v/>
      </c>
      <c r="E685" s="14" t="str">
        <f>IF(ISBLANK(A680),"",E684+1)</f>
        <v/>
      </c>
      <c r="F685" s="15" t="str">
        <f t="shared" si="795"/>
        <v/>
      </c>
      <c r="G685" s="16"/>
    </row>
    <row r="686">
      <c r="A686" s="5"/>
      <c r="B686" s="6" t="str">
        <f t="array" ref="B686">IF(ISBLANK(A686),"",IF(A686="PROREP (L)",VLOOKUP(LEFT($A686,6),'Data Feed (35C)'!$A$1:$G$10,2,FALSE),IF(A686="PROREP (S)", INDEX('Data Feed (35C)'!B:B, MATCH(LEFT($A686,6), 'Data Feed (35C)'!$A$1:$A$10, 0) + 1), VLOOKUP($A686,'Data Feed (35C)'!$A$1:$G$10,2,FALSE))))</f>
        <v/>
      </c>
      <c r="C686" s="6" t="str">
        <f t="array" ref="C686">IF(ISBLANK(A686),"",IF(A686="PROREP (L)",VLOOKUP(LEFT($A686,6),'Data Feed (35C)'!$A$1:$G$10,3,FALSE),IF(A686="PROREP (S)", INDEX('Data Feed (35C)'!C:C, MATCH(LEFT($A686,6), 'Data Feed (35C)'!$A$1:$A$10, 0) + 1, +1), VLOOKUP($A686,'Data Feed (35C)'!$A$1:$G$10,3,FALSE))))</f>
        <v/>
      </c>
      <c r="D686" s="6" t="str">
        <f t="array" ref="D686">IF(ISBLANK(A686),"",IF(A686="PROREP (L)",VLOOKUP(LEFT($A686,6),'Data Feed (35C)'!$A$1:$G$10,4,FALSE),IF(A686="PROREP (S)", INDEX('Data Feed (35C)'!D:D, MATCH(LEFT($A686,6), 'Data Feed (35C)'!$A$1:$A$10, 0) + 1, +1), VLOOKUP($A686,'Data Feed (35C)'!$A$1:$G$10,4,FALSE))))</f>
        <v/>
      </c>
      <c r="E686" s="6" t="str">
        <f t="array" ref="E686">IF(ISBLANK(A686),"",IF(A686="PROREP (L)",VLOOKUP(LEFT($A686,6),'Data Feed (35C)'!$A$1:$G$10,7,FALSE),IF(A686="PROREP (S)", INDEX('Data Feed (35C)'!G:G, MATCH(LEFT($A686,6), 'Data Feed (35C)'!$A$1:$A$10, 0) + 1, +1), VLOOKUP($A686,'Data Feed (35C)'!$A$1:$G$10,7,FALSE))))</f>
        <v/>
      </c>
      <c r="F686" s="7"/>
      <c r="G686" s="8"/>
    </row>
    <row r="687">
      <c r="A687" s="9" t="str">
        <f t="shared" ref="A687:A691" si="800">A686</f>
        <v/>
      </c>
      <c r="B687" s="9" t="str">
        <f>IF(ISBLANK(A686),"",LEFT(B686,27)&amp;VALUE(RIGHT(B686,1)+1))</f>
        <v/>
      </c>
      <c r="C687" s="6" t="str">
        <f t="shared" ref="C687:D687" si="799">C686</f>
        <v/>
      </c>
      <c r="D687" s="6" t="str">
        <f t="shared" si="799"/>
        <v/>
      </c>
      <c r="E687" s="10" t="str">
        <f>IF(ISBLANK(A686),"",E686+1)</f>
        <v/>
      </c>
      <c r="F687" s="11" t="str">
        <f t="shared" ref="F687:F691" si="802">F686</f>
        <v/>
      </c>
      <c r="G687" s="8"/>
    </row>
    <row r="688">
      <c r="A688" s="9" t="str">
        <f t="shared" si="800"/>
        <v/>
      </c>
      <c r="B688" s="9" t="str">
        <f>IF(ISBLANK(A686),"",LEFT(B687,27)&amp;VALUE(RIGHT(B687,1)+1))</f>
        <v/>
      </c>
      <c r="C688" s="6" t="str">
        <f t="shared" ref="C688:D688" si="801">C687</f>
        <v/>
      </c>
      <c r="D688" s="6" t="str">
        <f t="shared" si="801"/>
        <v/>
      </c>
      <c r="E688" s="10" t="str">
        <f>IF(ISBLANK(A686),"",E687+1)</f>
        <v/>
      </c>
      <c r="F688" s="11" t="str">
        <f t="shared" si="802"/>
        <v/>
      </c>
      <c r="G688" s="8"/>
    </row>
    <row r="689">
      <c r="A689" s="9" t="str">
        <f t="shared" si="800"/>
        <v/>
      </c>
      <c r="B689" s="9" t="str">
        <f>IF(ISBLANK(A686),"",LEFT(B688,27)&amp;VALUE(RIGHT(B688,1)+1))</f>
        <v/>
      </c>
      <c r="C689" s="6" t="str">
        <f t="shared" ref="C689:D689" si="803">C688</f>
        <v/>
      </c>
      <c r="D689" s="6" t="str">
        <f t="shared" si="803"/>
        <v/>
      </c>
      <c r="E689" s="10" t="str">
        <f>IF(ISBLANK(A686),"",E688+1)</f>
        <v/>
      </c>
      <c r="F689" s="11" t="str">
        <f t="shared" si="802"/>
        <v/>
      </c>
      <c r="G689" s="8"/>
    </row>
    <row r="690">
      <c r="A690" s="9" t="str">
        <f t="shared" si="800"/>
        <v/>
      </c>
      <c r="B690" s="9" t="str">
        <f>IF(ISBLANK(A686),"",LEFT(B689,27)&amp;VALUE(RIGHT(B689,1)+1))</f>
        <v/>
      </c>
      <c r="C690" s="6" t="str">
        <f t="shared" ref="C690:D690" si="804">C689</f>
        <v/>
      </c>
      <c r="D690" s="6" t="str">
        <f t="shared" si="804"/>
        <v/>
      </c>
      <c r="E690" s="10" t="str">
        <f>IF(ISBLANK(A686),"",E689+1)</f>
        <v/>
      </c>
      <c r="F690" s="11" t="str">
        <f t="shared" si="802"/>
        <v/>
      </c>
      <c r="G690" s="8"/>
    </row>
    <row r="691">
      <c r="A691" s="12" t="str">
        <f t="shared" si="800"/>
        <v/>
      </c>
      <c r="B691" s="12" t="str">
        <f>IF(ISBLANK(A686),"",LEFT(B690,27)&amp;VALUE(RIGHT(B690,1)+1))</f>
        <v/>
      </c>
      <c r="C691" s="13" t="str">
        <f t="shared" ref="C691:D691" si="805">C690</f>
        <v/>
      </c>
      <c r="D691" s="13" t="str">
        <f t="shared" si="805"/>
        <v/>
      </c>
      <c r="E691" s="14" t="str">
        <f>IF(ISBLANK(A686),"",E690+1)</f>
        <v/>
      </c>
      <c r="F691" s="15" t="str">
        <f t="shared" si="802"/>
        <v/>
      </c>
      <c r="G691" s="16"/>
    </row>
    <row r="692">
      <c r="A692" s="5"/>
      <c r="B692" s="6" t="str">
        <f t="array" ref="B692">IF(ISBLANK(A692),"",IF(A692="PROREP (L)",VLOOKUP(LEFT($A692,6),'Data Feed (35C)'!$A$1:$G$10,2,FALSE),IF(A692="PROREP (S)", INDEX('Data Feed (35C)'!B:B, MATCH(LEFT($A692,6), 'Data Feed (35C)'!$A$1:$A$10, 0) + 1), VLOOKUP($A692,'Data Feed (35C)'!$A$1:$G$10,2,FALSE))))</f>
        <v/>
      </c>
      <c r="C692" s="6" t="str">
        <f t="array" ref="C692">IF(ISBLANK(A692),"",IF(A692="PROREP (L)",VLOOKUP(LEFT($A692,6),'Data Feed (35C)'!$A$1:$G$10,3,FALSE),IF(A692="PROREP (S)", INDEX('Data Feed (35C)'!C:C, MATCH(LEFT($A692,6), 'Data Feed (35C)'!$A$1:$A$10, 0) + 1, +1), VLOOKUP($A692,'Data Feed (35C)'!$A$1:$G$10,3,FALSE))))</f>
        <v/>
      </c>
      <c r="D692" s="6" t="str">
        <f t="array" ref="D692">IF(ISBLANK(A692),"",IF(A692="PROREP (L)",VLOOKUP(LEFT($A692,6),'Data Feed (35C)'!$A$1:$G$10,4,FALSE),IF(A692="PROREP (S)", INDEX('Data Feed (35C)'!D:D, MATCH(LEFT($A692,6), 'Data Feed (35C)'!$A$1:$A$10, 0) + 1, +1), VLOOKUP($A692,'Data Feed (35C)'!$A$1:$G$10,4,FALSE))))</f>
        <v/>
      </c>
      <c r="E692" s="6" t="str">
        <f t="array" ref="E692">IF(ISBLANK(A692),"",IF(A692="PROREP (L)",VLOOKUP(LEFT($A692,6),'Data Feed (35C)'!$A$1:$G$10,7,FALSE),IF(A692="PROREP (S)", INDEX('Data Feed (35C)'!G:G, MATCH(LEFT($A692,6), 'Data Feed (35C)'!$A$1:$A$10, 0) + 1, +1), VLOOKUP($A692,'Data Feed (35C)'!$A$1:$G$10,7,FALSE))))</f>
        <v/>
      </c>
      <c r="F692" s="7"/>
      <c r="G692" s="8"/>
    </row>
    <row r="693">
      <c r="A693" s="9" t="str">
        <f t="shared" ref="A693:A697" si="807">A692</f>
        <v/>
      </c>
      <c r="B693" s="9" t="str">
        <f>IF(ISBLANK(A692),"",LEFT(B692,27)&amp;VALUE(RIGHT(B692,1)+1))</f>
        <v/>
      </c>
      <c r="C693" s="6" t="str">
        <f t="shared" ref="C693:D693" si="806">C692</f>
        <v/>
      </c>
      <c r="D693" s="6" t="str">
        <f t="shared" si="806"/>
        <v/>
      </c>
      <c r="E693" s="10" t="str">
        <f>IF(ISBLANK(A692),"",E692+1)</f>
        <v/>
      </c>
      <c r="F693" s="11" t="str">
        <f t="shared" ref="F693:F697" si="809">F692</f>
        <v/>
      </c>
      <c r="G693" s="8"/>
    </row>
    <row r="694">
      <c r="A694" s="9" t="str">
        <f t="shared" si="807"/>
        <v/>
      </c>
      <c r="B694" s="9" t="str">
        <f>IF(ISBLANK(A692),"",LEFT(B693,27)&amp;VALUE(RIGHT(B693,1)+1))</f>
        <v/>
      </c>
      <c r="C694" s="6" t="str">
        <f t="shared" ref="C694:D694" si="808">C693</f>
        <v/>
      </c>
      <c r="D694" s="6" t="str">
        <f t="shared" si="808"/>
        <v/>
      </c>
      <c r="E694" s="10" t="str">
        <f>IF(ISBLANK(A692),"",E693+1)</f>
        <v/>
      </c>
      <c r="F694" s="11" t="str">
        <f t="shared" si="809"/>
        <v/>
      </c>
      <c r="G694" s="8"/>
    </row>
    <row r="695">
      <c r="A695" s="9" t="str">
        <f t="shared" si="807"/>
        <v/>
      </c>
      <c r="B695" s="9" t="str">
        <f>IF(ISBLANK(A692),"",LEFT(B694,27)&amp;VALUE(RIGHT(B694,1)+1))</f>
        <v/>
      </c>
      <c r="C695" s="6" t="str">
        <f t="shared" ref="C695:D695" si="810">C694</f>
        <v/>
      </c>
      <c r="D695" s="6" t="str">
        <f t="shared" si="810"/>
        <v/>
      </c>
      <c r="E695" s="10" t="str">
        <f>IF(ISBLANK(A692),"",E694+1)</f>
        <v/>
      </c>
      <c r="F695" s="11" t="str">
        <f t="shared" si="809"/>
        <v/>
      </c>
      <c r="G695" s="8"/>
    </row>
    <row r="696">
      <c r="A696" s="9" t="str">
        <f t="shared" si="807"/>
        <v/>
      </c>
      <c r="B696" s="9" t="str">
        <f>IF(ISBLANK(A692),"",LEFT(B695,27)&amp;VALUE(RIGHT(B695,1)+1))</f>
        <v/>
      </c>
      <c r="C696" s="6" t="str">
        <f t="shared" ref="C696:D696" si="811">C695</f>
        <v/>
      </c>
      <c r="D696" s="6" t="str">
        <f t="shared" si="811"/>
        <v/>
      </c>
      <c r="E696" s="10" t="str">
        <f>IF(ISBLANK(A692),"",E695+1)</f>
        <v/>
      </c>
      <c r="F696" s="11" t="str">
        <f t="shared" si="809"/>
        <v/>
      </c>
      <c r="G696" s="8"/>
    </row>
    <row r="697">
      <c r="A697" s="12" t="str">
        <f t="shared" si="807"/>
        <v/>
      </c>
      <c r="B697" s="12" t="str">
        <f>IF(ISBLANK(A692),"",LEFT(B696,27)&amp;VALUE(RIGHT(B696,1)+1))</f>
        <v/>
      </c>
      <c r="C697" s="13" t="str">
        <f t="shared" ref="C697:D697" si="812">C696</f>
        <v/>
      </c>
      <c r="D697" s="13" t="str">
        <f t="shared" si="812"/>
        <v/>
      </c>
      <c r="E697" s="14" t="str">
        <f>IF(ISBLANK(A692),"",E696+1)</f>
        <v/>
      </c>
      <c r="F697" s="15" t="str">
        <f t="shared" si="809"/>
        <v/>
      </c>
      <c r="G697" s="16"/>
    </row>
    <row r="698">
      <c r="A698" s="5"/>
      <c r="B698" s="6" t="str">
        <f t="array" ref="B698">IF(ISBLANK(A698),"",IF(A698="PROREP (L)",VLOOKUP(LEFT($A698,6),'Data Feed (35C)'!$A$1:$G$10,2,FALSE),IF(A698="PROREP (S)", INDEX('Data Feed (35C)'!B:B, MATCH(LEFT($A698,6), 'Data Feed (35C)'!$A$1:$A$10, 0) + 1), VLOOKUP($A698,'Data Feed (35C)'!$A$1:$G$10,2,FALSE))))</f>
        <v/>
      </c>
      <c r="C698" s="6" t="str">
        <f t="array" ref="C698">IF(ISBLANK(A698),"",IF(A698="PROREP (L)",VLOOKUP(LEFT($A698,6),'Data Feed (35C)'!$A$1:$G$10,3,FALSE),IF(A698="PROREP (S)", INDEX('Data Feed (35C)'!C:C, MATCH(LEFT($A698,6), 'Data Feed (35C)'!$A$1:$A$10, 0) + 1, +1), VLOOKUP($A698,'Data Feed (35C)'!$A$1:$G$10,3,FALSE))))</f>
        <v/>
      </c>
      <c r="D698" s="6" t="str">
        <f t="array" ref="D698">IF(ISBLANK(A698),"",IF(A698="PROREP (L)",VLOOKUP(LEFT($A698,6),'Data Feed (35C)'!$A$1:$G$10,4,FALSE),IF(A698="PROREP (S)", INDEX('Data Feed (35C)'!D:D, MATCH(LEFT($A698,6), 'Data Feed (35C)'!$A$1:$A$10, 0) + 1, +1), VLOOKUP($A698,'Data Feed (35C)'!$A$1:$G$10,4,FALSE))))</f>
        <v/>
      </c>
      <c r="E698" s="6" t="str">
        <f t="array" ref="E698">IF(ISBLANK(A698),"",IF(A698="PROREP (L)",VLOOKUP(LEFT($A698,6),'Data Feed (35C)'!$A$1:$G$10,7,FALSE),IF(A698="PROREP (S)", INDEX('Data Feed (35C)'!G:G, MATCH(LEFT($A698,6), 'Data Feed (35C)'!$A$1:$A$10, 0) + 1, +1), VLOOKUP($A698,'Data Feed (35C)'!$A$1:$G$10,7,FALSE))))</f>
        <v/>
      </c>
      <c r="F698" s="7"/>
      <c r="G698" s="8"/>
    </row>
    <row r="699">
      <c r="A699" s="9" t="str">
        <f t="shared" ref="A699:A703" si="814">A698</f>
        <v/>
      </c>
      <c r="B699" s="9" t="str">
        <f>IF(ISBLANK(A698),"",LEFT(B698,27)&amp;VALUE(RIGHT(B698,1)+1))</f>
        <v/>
      </c>
      <c r="C699" s="6" t="str">
        <f t="shared" ref="C699:D699" si="813">C698</f>
        <v/>
      </c>
      <c r="D699" s="6" t="str">
        <f t="shared" si="813"/>
        <v/>
      </c>
      <c r="E699" s="10" t="str">
        <f>IF(ISBLANK(A698),"",E698+1)</f>
        <v/>
      </c>
      <c r="F699" s="11" t="str">
        <f t="shared" ref="F699:F703" si="816">F698</f>
        <v/>
      </c>
      <c r="G699" s="8"/>
    </row>
    <row r="700">
      <c r="A700" s="9" t="str">
        <f t="shared" si="814"/>
        <v/>
      </c>
      <c r="B700" s="9" t="str">
        <f>IF(ISBLANK(A698),"",LEFT(B699,27)&amp;VALUE(RIGHT(B699,1)+1))</f>
        <v/>
      </c>
      <c r="C700" s="6" t="str">
        <f t="shared" ref="C700:D700" si="815">C699</f>
        <v/>
      </c>
      <c r="D700" s="6" t="str">
        <f t="shared" si="815"/>
        <v/>
      </c>
      <c r="E700" s="10" t="str">
        <f>IF(ISBLANK(A698),"",E699+1)</f>
        <v/>
      </c>
      <c r="F700" s="11" t="str">
        <f t="shared" si="816"/>
        <v/>
      </c>
      <c r="G700" s="8"/>
    </row>
    <row r="701">
      <c r="A701" s="9" t="str">
        <f t="shared" si="814"/>
        <v/>
      </c>
      <c r="B701" s="9" t="str">
        <f>IF(ISBLANK(A698),"",LEFT(B700,27)&amp;VALUE(RIGHT(B700,1)+1))</f>
        <v/>
      </c>
      <c r="C701" s="6" t="str">
        <f t="shared" ref="C701:D701" si="817">C700</f>
        <v/>
      </c>
      <c r="D701" s="6" t="str">
        <f t="shared" si="817"/>
        <v/>
      </c>
      <c r="E701" s="10" t="str">
        <f>IF(ISBLANK(A698),"",E700+1)</f>
        <v/>
      </c>
      <c r="F701" s="11" t="str">
        <f t="shared" si="816"/>
        <v/>
      </c>
      <c r="G701" s="8"/>
    </row>
    <row r="702">
      <c r="A702" s="9" t="str">
        <f t="shared" si="814"/>
        <v/>
      </c>
      <c r="B702" s="9" t="str">
        <f>IF(ISBLANK(A698),"",LEFT(B701,27)&amp;VALUE(RIGHT(B701,1)+1))</f>
        <v/>
      </c>
      <c r="C702" s="6" t="str">
        <f t="shared" ref="C702:D702" si="818">C701</f>
        <v/>
      </c>
      <c r="D702" s="6" t="str">
        <f t="shared" si="818"/>
        <v/>
      </c>
      <c r="E702" s="10" t="str">
        <f>IF(ISBLANK(A698),"",E701+1)</f>
        <v/>
      </c>
      <c r="F702" s="11" t="str">
        <f t="shared" si="816"/>
        <v/>
      </c>
      <c r="G702" s="8"/>
    </row>
    <row r="703">
      <c r="A703" s="12" t="str">
        <f t="shared" si="814"/>
        <v/>
      </c>
      <c r="B703" s="12" t="str">
        <f>IF(ISBLANK(A698),"",LEFT(B702,27)&amp;VALUE(RIGHT(B702,1)+1))</f>
        <v/>
      </c>
      <c r="C703" s="13" t="str">
        <f t="shared" ref="C703:D703" si="819">C702</f>
        <v/>
      </c>
      <c r="D703" s="13" t="str">
        <f t="shared" si="819"/>
        <v/>
      </c>
      <c r="E703" s="14" t="str">
        <f>IF(ISBLANK(A698),"",E702+1)</f>
        <v/>
      </c>
      <c r="F703" s="15" t="str">
        <f t="shared" si="816"/>
        <v/>
      </c>
      <c r="G703" s="16"/>
    </row>
    <row r="704">
      <c r="A704" s="5"/>
      <c r="B704" s="6" t="str">
        <f t="array" ref="B704">IF(ISBLANK(A704),"",IF(A704="PROREP (L)",VLOOKUP(LEFT($A704,6),'Data Feed (35C)'!$A$1:$G$10,2,FALSE),IF(A704="PROREP (S)", INDEX('Data Feed (35C)'!B:B, MATCH(LEFT($A704,6), 'Data Feed (35C)'!$A$1:$A$10, 0) + 1), VLOOKUP($A704,'Data Feed (35C)'!$A$1:$G$10,2,FALSE))))</f>
        <v/>
      </c>
      <c r="C704" s="6" t="str">
        <f t="array" ref="C704">IF(ISBLANK(A704),"",IF(A704="PROREP (L)",VLOOKUP(LEFT($A704,6),'Data Feed (35C)'!$A$1:$G$10,3,FALSE),IF(A704="PROREP (S)", INDEX('Data Feed (35C)'!C:C, MATCH(LEFT($A704,6), 'Data Feed (35C)'!$A$1:$A$10, 0) + 1, +1), VLOOKUP($A704,'Data Feed (35C)'!$A$1:$G$10,3,FALSE))))</f>
        <v/>
      </c>
      <c r="D704" s="6" t="str">
        <f t="array" ref="D704">IF(ISBLANK(A704),"",IF(A704="PROREP (L)",VLOOKUP(LEFT($A704,6),'Data Feed (35C)'!$A$1:$G$10,4,FALSE),IF(A704="PROREP (S)", INDEX('Data Feed (35C)'!D:D, MATCH(LEFT($A704,6), 'Data Feed (35C)'!$A$1:$A$10, 0) + 1, +1), VLOOKUP($A704,'Data Feed (35C)'!$A$1:$G$10,4,FALSE))))</f>
        <v/>
      </c>
      <c r="E704" s="6" t="str">
        <f t="array" ref="E704">IF(ISBLANK(A704),"",IF(A704="PROREP (L)",VLOOKUP(LEFT($A704,6),'Data Feed (35C)'!$A$1:$G$10,7,FALSE),IF(A704="PROREP (S)", INDEX('Data Feed (35C)'!G:G, MATCH(LEFT($A704,6), 'Data Feed (35C)'!$A$1:$A$10, 0) + 1, +1), VLOOKUP($A704,'Data Feed (35C)'!$A$1:$G$10,7,FALSE))))</f>
        <v/>
      </c>
      <c r="F704" s="7"/>
      <c r="G704" s="8"/>
    </row>
    <row r="705">
      <c r="A705" s="9" t="str">
        <f t="shared" ref="A705:A709" si="821">A704</f>
        <v/>
      </c>
      <c r="B705" s="9" t="str">
        <f>IF(ISBLANK(A704),"",LEFT(B704,27)&amp;VALUE(RIGHT(B704,1)+1))</f>
        <v/>
      </c>
      <c r="C705" s="6" t="str">
        <f t="shared" ref="C705:D705" si="820">C704</f>
        <v/>
      </c>
      <c r="D705" s="6" t="str">
        <f t="shared" si="820"/>
        <v/>
      </c>
      <c r="E705" s="10" t="str">
        <f>IF(ISBLANK(A704),"",E704+1)</f>
        <v/>
      </c>
      <c r="F705" s="11" t="str">
        <f t="shared" ref="F705:F709" si="823">F704</f>
        <v/>
      </c>
      <c r="G705" s="8"/>
    </row>
    <row r="706">
      <c r="A706" s="9" t="str">
        <f t="shared" si="821"/>
        <v/>
      </c>
      <c r="B706" s="9" t="str">
        <f>IF(ISBLANK(A704),"",LEFT(B705,27)&amp;VALUE(RIGHT(B705,1)+1))</f>
        <v/>
      </c>
      <c r="C706" s="6" t="str">
        <f t="shared" ref="C706:D706" si="822">C705</f>
        <v/>
      </c>
      <c r="D706" s="6" t="str">
        <f t="shared" si="822"/>
        <v/>
      </c>
      <c r="E706" s="10" t="str">
        <f>IF(ISBLANK(A704),"",E705+1)</f>
        <v/>
      </c>
      <c r="F706" s="11" t="str">
        <f t="shared" si="823"/>
        <v/>
      </c>
      <c r="G706" s="8"/>
    </row>
    <row r="707">
      <c r="A707" s="9" t="str">
        <f t="shared" si="821"/>
        <v/>
      </c>
      <c r="B707" s="9" t="str">
        <f>IF(ISBLANK(A704),"",LEFT(B706,27)&amp;VALUE(RIGHT(B706,1)+1))</f>
        <v/>
      </c>
      <c r="C707" s="6" t="str">
        <f t="shared" ref="C707:D707" si="824">C706</f>
        <v/>
      </c>
      <c r="D707" s="6" t="str">
        <f t="shared" si="824"/>
        <v/>
      </c>
      <c r="E707" s="10" t="str">
        <f>IF(ISBLANK(A704),"",E706+1)</f>
        <v/>
      </c>
      <c r="F707" s="11" t="str">
        <f t="shared" si="823"/>
        <v/>
      </c>
      <c r="G707" s="8"/>
    </row>
    <row r="708">
      <c r="A708" s="9" t="str">
        <f t="shared" si="821"/>
        <v/>
      </c>
      <c r="B708" s="9" t="str">
        <f>IF(ISBLANK(A704),"",LEFT(B707,27)&amp;VALUE(RIGHT(B707,1)+1))</f>
        <v/>
      </c>
      <c r="C708" s="6" t="str">
        <f t="shared" ref="C708:D708" si="825">C707</f>
        <v/>
      </c>
      <c r="D708" s="6" t="str">
        <f t="shared" si="825"/>
        <v/>
      </c>
      <c r="E708" s="10" t="str">
        <f>IF(ISBLANK(A704),"",E707+1)</f>
        <v/>
      </c>
      <c r="F708" s="11" t="str">
        <f t="shared" si="823"/>
        <v/>
      </c>
      <c r="G708" s="8"/>
    </row>
    <row r="709">
      <c r="A709" s="12" t="str">
        <f t="shared" si="821"/>
        <v/>
      </c>
      <c r="B709" s="12" t="str">
        <f>IF(ISBLANK(A704),"",LEFT(B708,27)&amp;VALUE(RIGHT(B708,1)+1))</f>
        <v/>
      </c>
      <c r="C709" s="13" t="str">
        <f t="shared" ref="C709:D709" si="826">C708</f>
        <v/>
      </c>
      <c r="D709" s="13" t="str">
        <f t="shared" si="826"/>
        <v/>
      </c>
      <c r="E709" s="14" t="str">
        <f>IF(ISBLANK(A704),"",E708+1)</f>
        <v/>
      </c>
      <c r="F709" s="15" t="str">
        <f t="shared" si="823"/>
        <v/>
      </c>
      <c r="G709" s="16"/>
    </row>
    <row r="710">
      <c r="A710" s="5"/>
      <c r="B710" s="6" t="str">
        <f t="array" ref="B710">IF(ISBLANK(A710),"",IF(A710="PROREP (L)",VLOOKUP(LEFT($A710,6),'Data Feed (35C)'!$A$1:$G$10,2,FALSE),IF(A710="PROREP (S)", INDEX('Data Feed (35C)'!B:B, MATCH(LEFT($A710,6), 'Data Feed (35C)'!$A$1:$A$10, 0) + 1), VLOOKUP($A710,'Data Feed (35C)'!$A$1:$G$10,2,FALSE))))</f>
        <v/>
      </c>
      <c r="C710" s="6" t="str">
        <f t="array" ref="C710">IF(ISBLANK(A710),"",IF(A710="PROREP (L)",VLOOKUP(LEFT($A710,6),'Data Feed (35C)'!$A$1:$G$10,3,FALSE),IF(A710="PROREP (S)", INDEX('Data Feed (35C)'!C:C, MATCH(LEFT($A710,6), 'Data Feed (35C)'!$A$1:$A$10, 0) + 1, +1), VLOOKUP($A710,'Data Feed (35C)'!$A$1:$G$10,3,FALSE))))</f>
        <v/>
      </c>
      <c r="D710" s="6" t="str">
        <f t="array" ref="D710">IF(ISBLANK(A710),"",IF(A710="PROREP (L)",VLOOKUP(LEFT($A710,6),'Data Feed (35C)'!$A$1:$G$10,4,FALSE),IF(A710="PROREP (S)", INDEX('Data Feed (35C)'!D:D, MATCH(LEFT($A710,6), 'Data Feed (35C)'!$A$1:$A$10, 0) + 1, +1), VLOOKUP($A710,'Data Feed (35C)'!$A$1:$G$10,4,FALSE))))</f>
        <v/>
      </c>
      <c r="E710" s="6" t="str">
        <f t="array" ref="E710">IF(ISBLANK(A710),"",IF(A710="PROREP (L)",VLOOKUP(LEFT($A710,6),'Data Feed (35C)'!$A$1:$G$10,7,FALSE),IF(A710="PROREP (S)", INDEX('Data Feed (35C)'!G:G, MATCH(LEFT($A710,6), 'Data Feed (35C)'!$A$1:$A$10, 0) + 1, +1), VLOOKUP($A710,'Data Feed (35C)'!$A$1:$G$10,7,FALSE))))</f>
        <v/>
      </c>
      <c r="F710" s="7"/>
      <c r="G710" s="8"/>
    </row>
    <row r="711">
      <c r="A711" s="9" t="str">
        <f t="shared" ref="A711:A715" si="828">A710</f>
        <v/>
      </c>
      <c r="B711" s="9" t="str">
        <f>IF(ISBLANK(A710),"",LEFT(B710,27)&amp;VALUE(RIGHT(B710,1)+1))</f>
        <v/>
      </c>
      <c r="C711" s="6" t="str">
        <f t="shared" ref="C711:D711" si="827">C710</f>
        <v/>
      </c>
      <c r="D711" s="6" t="str">
        <f t="shared" si="827"/>
        <v/>
      </c>
      <c r="E711" s="10" t="str">
        <f>IF(ISBLANK(A710),"",E710+1)</f>
        <v/>
      </c>
      <c r="F711" s="11" t="str">
        <f t="shared" ref="F711:F715" si="830">F710</f>
        <v/>
      </c>
      <c r="G711" s="8"/>
    </row>
    <row r="712">
      <c r="A712" s="9" t="str">
        <f t="shared" si="828"/>
        <v/>
      </c>
      <c r="B712" s="9" t="str">
        <f>IF(ISBLANK(A710),"",LEFT(B711,27)&amp;VALUE(RIGHT(B711,1)+1))</f>
        <v/>
      </c>
      <c r="C712" s="6" t="str">
        <f t="shared" ref="C712:D712" si="829">C711</f>
        <v/>
      </c>
      <c r="D712" s="6" t="str">
        <f t="shared" si="829"/>
        <v/>
      </c>
      <c r="E712" s="10" t="str">
        <f>IF(ISBLANK(A710),"",E711+1)</f>
        <v/>
      </c>
      <c r="F712" s="11" t="str">
        <f t="shared" si="830"/>
        <v/>
      </c>
      <c r="G712" s="8"/>
    </row>
    <row r="713">
      <c r="A713" s="9" t="str">
        <f t="shared" si="828"/>
        <v/>
      </c>
      <c r="B713" s="9" t="str">
        <f>IF(ISBLANK(A710),"",LEFT(B712,27)&amp;VALUE(RIGHT(B712,1)+1))</f>
        <v/>
      </c>
      <c r="C713" s="6" t="str">
        <f t="shared" ref="C713:D713" si="831">C712</f>
        <v/>
      </c>
      <c r="D713" s="6" t="str">
        <f t="shared" si="831"/>
        <v/>
      </c>
      <c r="E713" s="10" t="str">
        <f>IF(ISBLANK(A710),"",E712+1)</f>
        <v/>
      </c>
      <c r="F713" s="11" t="str">
        <f t="shared" si="830"/>
        <v/>
      </c>
      <c r="G713" s="8"/>
    </row>
    <row r="714">
      <c r="A714" s="9" t="str">
        <f t="shared" si="828"/>
        <v/>
      </c>
      <c r="B714" s="9" t="str">
        <f>IF(ISBLANK(A710),"",LEFT(B713,27)&amp;VALUE(RIGHT(B713,1)+1))</f>
        <v/>
      </c>
      <c r="C714" s="6" t="str">
        <f t="shared" ref="C714:D714" si="832">C713</f>
        <v/>
      </c>
      <c r="D714" s="6" t="str">
        <f t="shared" si="832"/>
        <v/>
      </c>
      <c r="E714" s="10" t="str">
        <f>IF(ISBLANK(A710),"",E713+1)</f>
        <v/>
      </c>
      <c r="F714" s="11" t="str">
        <f t="shared" si="830"/>
        <v/>
      </c>
      <c r="G714" s="8"/>
    </row>
    <row r="715">
      <c r="A715" s="12" t="str">
        <f t="shared" si="828"/>
        <v/>
      </c>
      <c r="B715" s="12" t="str">
        <f>IF(ISBLANK(A710),"",LEFT(B714,27)&amp;VALUE(RIGHT(B714,1)+1))</f>
        <v/>
      </c>
      <c r="C715" s="13" t="str">
        <f t="shared" ref="C715:D715" si="833">C714</f>
        <v/>
      </c>
      <c r="D715" s="13" t="str">
        <f t="shared" si="833"/>
        <v/>
      </c>
      <c r="E715" s="14" t="str">
        <f>IF(ISBLANK(A710),"",E714+1)</f>
        <v/>
      </c>
      <c r="F715" s="15" t="str">
        <f t="shared" si="830"/>
        <v/>
      </c>
      <c r="G715" s="16"/>
    </row>
    <row r="716">
      <c r="A716" s="5"/>
      <c r="B716" s="6" t="str">
        <f t="array" ref="B716">IF(ISBLANK(A716),"",IF(A716="PROREP (L)",VLOOKUP(LEFT($A716,6),'Data Feed (35C)'!$A$1:$G$10,2,FALSE),IF(A716="PROREP (S)", INDEX('Data Feed (35C)'!B:B, MATCH(LEFT($A716,6), 'Data Feed (35C)'!$A$1:$A$10, 0) + 1), VLOOKUP($A716,'Data Feed (35C)'!$A$1:$G$10,2,FALSE))))</f>
        <v/>
      </c>
      <c r="C716" s="6" t="str">
        <f t="array" ref="C716">IF(ISBLANK(A716),"",IF(A716="PROREP (L)",VLOOKUP(LEFT($A716,6),'Data Feed (35C)'!$A$1:$G$10,3,FALSE),IF(A716="PROREP (S)", INDEX('Data Feed (35C)'!C:C, MATCH(LEFT($A716,6), 'Data Feed (35C)'!$A$1:$A$10, 0) + 1, +1), VLOOKUP($A716,'Data Feed (35C)'!$A$1:$G$10,3,FALSE))))</f>
        <v/>
      </c>
      <c r="D716" s="6" t="str">
        <f t="array" ref="D716">IF(ISBLANK(A716),"",IF(A716="PROREP (L)",VLOOKUP(LEFT($A716,6),'Data Feed (35C)'!$A$1:$G$10,4,FALSE),IF(A716="PROREP (S)", INDEX('Data Feed (35C)'!D:D, MATCH(LEFT($A716,6), 'Data Feed (35C)'!$A$1:$A$10, 0) + 1, +1), VLOOKUP($A716,'Data Feed (35C)'!$A$1:$G$10,4,FALSE))))</f>
        <v/>
      </c>
      <c r="E716" s="6" t="str">
        <f t="array" ref="E716">IF(ISBLANK(A716),"",IF(A716="PROREP (L)",VLOOKUP(LEFT($A716,6),'Data Feed (35C)'!$A$1:$G$10,7,FALSE),IF(A716="PROREP (S)", INDEX('Data Feed (35C)'!G:G, MATCH(LEFT($A716,6), 'Data Feed (35C)'!$A$1:$A$10, 0) + 1, +1), VLOOKUP($A716,'Data Feed (35C)'!$A$1:$G$10,7,FALSE))))</f>
        <v/>
      </c>
      <c r="F716" s="7"/>
      <c r="G716" s="8"/>
    </row>
    <row r="717">
      <c r="A717" s="9" t="str">
        <f t="shared" ref="A717:A721" si="835">A716</f>
        <v/>
      </c>
      <c r="B717" s="9" t="str">
        <f>IF(ISBLANK(A716),"",LEFT(B716,27)&amp;VALUE(RIGHT(B716,1)+1))</f>
        <v/>
      </c>
      <c r="C717" s="6" t="str">
        <f t="shared" ref="C717:D717" si="834">C716</f>
        <v/>
      </c>
      <c r="D717" s="6" t="str">
        <f t="shared" si="834"/>
        <v/>
      </c>
      <c r="E717" s="10" t="str">
        <f>IF(ISBLANK(A716),"",E716+1)</f>
        <v/>
      </c>
      <c r="F717" s="11" t="str">
        <f t="shared" ref="F717:F721" si="837">F716</f>
        <v/>
      </c>
      <c r="G717" s="8"/>
    </row>
    <row r="718">
      <c r="A718" s="9" t="str">
        <f t="shared" si="835"/>
        <v/>
      </c>
      <c r="B718" s="9" t="str">
        <f>IF(ISBLANK(A716),"",LEFT(B717,27)&amp;VALUE(RIGHT(B717,1)+1))</f>
        <v/>
      </c>
      <c r="C718" s="6" t="str">
        <f t="shared" ref="C718:D718" si="836">C717</f>
        <v/>
      </c>
      <c r="D718" s="6" t="str">
        <f t="shared" si="836"/>
        <v/>
      </c>
      <c r="E718" s="10" t="str">
        <f>IF(ISBLANK(A716),"",E717+1)</f>
        <v/>
      </c>
      <c r="F718" s="11" t="str">
        <f t="shared" si="837"/>
        <v/>
      </c>
      <c r="G718" s="8"/>
    </row>
    <row r="719">
      <c r="A719" s="9" t="str">
        <f t="shared" si="835"/>
        <v/>
      </c>
      <c r="B719" s="9" t="str">
        <f>IF(ISBLANK(A716),"",LEFT(B718,27)&amp;VALUE(RIGHT(B718,1)+1))</f>
        <v/>
      </c>
      <c r="C719" s="6" t="str">
        <f t="shared" ref="C719:D719" si="838">C718</f>
        <v/>
      </c>
      <c r="D719" s="6" t="str">
        <f t="shared" si="838"/>
        <v/>
      </c>
      <c r="E719" s="10" t="str">
        <f>IF(ISBLANK(A716),"",E718+1)</f>
        <v/>
      </c>
      <c r="F719" s="11" t="str">
        <f t="shared" si="837"/>
        <v/>
      </c>
      <c r="G719" s="8"/>
    </row>
    <row r="720">
      <c r="A720" s="9" t="str">
        <f t="shared" si="835"/>
        <v/>
      </c>
      <c r="B720" s="9" t="str">
        <f>IF(ISBLANK(A716),"",LEFT(B719,27)&amp;VALUE(RIGHT(B719,1)+1))</f>
        <v/>
      </c>
      <c r="C720" s="6" t="str">
        <f t="shared" ref="C720:D720" si="839">C719</f>
        <v/>
      </c>
      <c r="D720" s="6" t="str">
        <f t="shared" si="839"/>
        <v/>
      </c>
      <c r="E720" s="10" t="str">
        <f>IF(ISBLANK(A716),"",E719+1)</f>
        <v/>
      </c>
      <c r="F720" s="11" t="str">
        <f t="shared" si="837"/>
        <v/>
      </c>
      <c r="G720" s="8"/>
    </row>
    <row r="721">
      <c r="A721" s="12" t="str">
        <f t="shared" si="835"/>
        <v/>
      </c>
      <c r="B721" s="12" t="str">
        <f>IF(ISBLANK(A716),"",LEFT(B720,27)&amp;VALUE(RIGHT(B720,1)+1))</f>
        <v/>
      </c>
      <c r="C721" s="13" t="str">
        <f t="shared" ref="C721:D721" si="840">C720</f>
        <v/>
      </c>
      <c r="D721" s="13" t="str">
        <f t="shared" si="840"/>
        <v/>
      </c>
      <c r="E721" s="14" t="str">
        <f>IF(ISBLANK(A716),"",E720+1)</f>
        <v/>
      </c>
      <c r="F721" s="15" t="str">
        <f t="shared" si="837"/>
        <v/>
      </c>
      <c r="G721" s="16"/>
    </row>
    <row r="722">
      <c r="A722" s="5"/>
      <c r="B722" s="6" t="str">
        <f t="array" ref="B722">IF(ISBLANK(A722),"",IF(A722="PROREP (L)",VLOOKUP(LEFT($A722,6),'Data Feed (35C)'!$A$1:$G$10,2,FALSE),IF(A722="PROREP (S)", INDEX('Data Feed (35C)'!B:B, MATCH(LEFT($A722,6), 'Data Feed (35C)'!$A$1:$A$10, 0) + 1), VLOOKUP($A722,'Data Feed (35C)'!$A$1:$G$10,2,FALSE))))</f>
        <v/>
      </c>
      <c r="C722" s="6" t="str">
        <f t="array" ref="C722">IF(ISBLANK(A722),"",IF(A722="PROREP (L)",VLOOKUP(LEFT($A722,6),'Data Feed (35C)'!$A$1:$G$10,3,FALSE),IF(A722="PROREP (S)", INDEX('Data Feed (35C)'!C:C, MATCH(LEFT($A722,6), 'Data Feed (35C)'!$A$1:$A$10, 0) + 1, +1), VLOOKUP($A722,'Data Feed (35C)'!$A$1:$G$10,3,FALSE))))</f>
        <v/>
      </c>
      <c r="D722" s="6" t="str">
        <f t="array" ref="D722">IF(ISBLANK(A722),"",IF(A722="PROREP (L)",VLOOKUP(LEFT($A722,6),'Data Feed (35C)'!$A$1:$G$10,4,FALSE),IF(A722="PROREP (S)", INDEX('Data Feed (35C)'!D:D, MATCH(LEFT($A722,6), 'Data Feed (35C)'!$A$1:$A$10, 0) + 1, +1), VLOOKUP($A722,'Data Feed (35C)'!$A$1:$G$10,4,FALSE))))</f>
        <v/>
      </c>
      <c r="E722" s="6" t="str">
        <f t="array" ref="E722">IF(ISBLANK(A722),"",IF(A722="PROREP (L)",VLOOKUP(LEFT($A722,6),'Data Feed (35C)'!$A$1:$G$10,7,FALSE),IF(A722="PROREP (S)", INDEX('Data Feed (35C)'!G:G, MATCH(LEFT($A722,6), 'Data Feed (35C)'!$A$1:$A$10, 0) + 1, +1), VLOOKUP($A722,'Data Feed (35C)'!$A$1:$G$10,7,FALSE))))</f>
        <v/>
      </c>
      <c r="F722" s="7"/>
      <c r="G722" s="8"/>
    </row>
    <row r="723">
      <c r="A723" s="9" t="str">
        <f t="shared" ref="A723:A727" si="842">A722</f>
        <v/>
      </c>
      <c r="B723" s="9" t="str">
        <f>IF(ISBLANK(A722),"",LEFT(B722,27)&amp;VALUE(RIGHT(B722,1)+1))</f>
        <v/>
      </c>
      <c r="C723" s="6" t="str">
        <f t="shared" ref="C723:D723" si="841">C722</f>
        <v/>
      </c>
      <c r="D723" s="6" t="str">
        <f t="shared" si="841"/>
        <v/>
      </c>
      <c r="E723" s="10" t="str">
        <f>IF(ISBLANK(A722),"",E722+1)</f>
        <v/>
      </c>
      <c r="F723" s="11" t="str">
        <f t="shared" ref="F723:F727" si="844">F722</f>
        <v/>
      </c>
      <c r="G723" s="8"/>
    </row>
    <row r="724">
      <c r="A724" s="9" t="str">
        <f t="shared" si="842"/>
        <v/>
      </c>
      <c r="B724" s="9" t="str">
        <f>IF(ISBLANK(A722),"",LEFT(B723,27)&amp;VALUE(RIGHT(B723,1)+1))</f>
        <v/>
      </c>
      <c r="C724" s="6" t="str">
        <f t="shared" ref="C724:D724" si="843">C723</f>
        <v/>
      </c>
      <c r="D724" s="6" t="str">
        <f t="shared" si="843"/>
        <v/>
      </c>
      <c r="E724" s="10" t="str">
        <f>IF(ISBLANK(A722),"",E723+1)</f>
        <v/>
      </c>
      <c r="F724" s="11" t="str">
        <f t="shared" si="844"/>
        <v/>
      </c>
      <c r="G724" s="8"/>
    </row>
    <row r="725">
      <c r="A725" s="9" t="str">
        <f t="shared" si="842"/>
        <v/>
      </c>
      <c r="B725" s="9" t="str">
        <f>IF(ISBLANK(A722),"",LEFT(B724,27)&amp;VALUE(RIGHT(B724,1)+1))</f>
        <v/>
      </c>
      <c r="C725" s="6" t="str">
        <f t="shared" ref="C725:D725" si="845">C724</f>
        <v/>
      </c>
      <c r="D725" s="6" t="str">
        <f t="shared" si="845"/>
        <v/>
      </c>
      <c r="E725" s="10" t="str">
        <f>IF(ISBLANK(A722),"",E724+1)</f>
        <v/>
      </c>
      <c r="F725" s="11" t="str">
        <f t="shared" si="844"/>
        <v/>
      </c>
      <c r="G725" s="8"/>
    </row>
    <row r="726">
      <c r="A726" s="9" t="str">
        <f t="shared" si="842"/>
        <v/>
      </c>
      <c r="B726" s="9" t="str">
        <f>IF(ISBLANK(A722),"",LEFT(B725,27)&amp;VALUE(RIGHT(B725,1)+1))</f>
        <v/>
      </c>
      <c r="C726" s="6" t="str">
        <f t="shared" ref="C726:D726" si="846">C725</f>
        <v/>
      </c>
      <c r="D726" s="6" t="str">
        <f t="shared" si="846"/>
        <v/>
      </c>
      <c r="E726" s="10" t="str">
        <f>IF(ISBLANK(A722),"",E725+1)</f>
        <v/>
      </c>
      <c r="F726" s="11" t="str">
        <f t="shared" si="844"/>
        <v/>
      </c>
      <c r="G726" s="8"/>
    </row>
    <row r="727">
      <c r="A727" s="12" t="str">
        <f t="shared" si="842"/>
        <v/>
      </c>
      <c r="B727" s="12" t="str">
        <f>IF(ISBLANK(A722),"",LEFT(B726,27)&amp;VALUE(RIGHT(B726,1)+1))</f>
        <v/>
      </c>
      <c r="C727" s="13" t="str">
        <f t="shared" ref="C727:D727" si="847">C726</f>
        <v/>
      </c>
      <c r="D727" s="13" t="str">
        <f t="shared" si="847"/>
        <v/>
      </c>
      <c r="E727" s="14" t="str">
        <f>IF(ISBLANK(A722),"",E726+1)</f>
        <v/>
      </c>
      <c r="F727" s="15" t="str">
        <f t="shared" si="844"/>
        <v/>
      </c>
      <c r="G727" s="16"/>
    </row>
    <row r="728">
      <c r="A728" s="5"/>
      <c r="B728" s="6" t="str">
        <f t="array" ref="B728">IF(ISBLANK(A728),"",IF(A728="PROREP (L)",VLOOKUP(LEFT($A728,6),'Data Feed (35C)'!$A$1:$G$10,2,FALSE),IF(A728="PROREP (S)", INDEX('Data Feed (35C)'!B:B, MATCH(LEFT($A728,6), 'Data Feed (35C)'!$A$1:$A$10, 0) + 1), VLOOKUP($A728,'Data Feed (35C)'!$A$1:$G$10,2,FALSE))))</f>
        <v/>
      </c>
      <c r="C728" s="6" t="str">
        <f t="array" ref="C728">IF(ISBLANK(A728),"",IF(A728="PROREP (L)",VLOOKUP(LEFT($A728,6),'Data Feed (35C)'!$A$1:$G$10,3,FALSE),IF(A728="PROREP (S)", INDEX('Data Feed (35C)'!C:C, MATCH(LEFT($A728,6), 'Data Feed (35C)'!$A$1:$A$10, 0) + 1, +1), VLOOKUP($A728,'Data Feed (35C)'!$A$1:$G$10,3,FALSE))))</f>
        <v/>
      </c>
      <c r="D728" s="6" t="str">
        <f t="array" ref="D728">IF(ISBLANK(A728),"",IF(A728="PROREP (L)",VLOOKUP(LEFT($A728,6),'Data Feed (35C)'!$A$1:$G$10,4,FALSE),IF(A728="PROREP (S)", INDEX('Data Feed (35C)'!D:D, MATCH(LEFT($A728,6), 'Data Feed (35C)'!$A$1:$A$10, 0) + 1, +1), VLOOKUP($A728,'Data Feed (35C)'!$A$1:$G$10,4,FALSE))))</f>
        <v/>
      </c>
      <c r="E728" s="6" t="str">
        <f t="array" ref="E728">IF(ISBLANK(A728),"",IF(A728="PROREP (L)",VLOOKUP(LEFT($A728,6),'Data Feed (35C)'!$A$1:$G$10,7,FALSE),IF(A728="PROREP (S)", INDEX('Data Feed (35C)'!G:G, MATCH(LEFT($A728,6), 'Data Feed (35C)'!$A$1:$A$10, 0) + 1, +1), VLOOKUP($A728,'Data Feed (35C)'!$A$1:$G$10,7,FALSE))))</f>
        <v/>
      </c>
      <c r="F728" s="7"/>
      <c r="G728" s="8"/>
    </row>
    <row r="729">
      <c r="A729" s="9" t="str">
        <f t="shared" ref="A729:A733" si="849">A728</f>
        <v/>
      </c>
      <c r="B729" s="9" t="str">
        <f>IF(ISBLANK(A728),"",LEFT(B728,27)&amp;VALUE(RIGHT(B728,1)+1))</f>
        <v/>
      </c>
      <c r="C729" s="6" t="str">
        <f t="shared" ref="C729:D729" si="848">C728</f>
        <v/>
      </c>
      <c r="D729" s="6" t="str">
        <f t="shared" si="848"/>
        <v/>
      </c>
      <c r="E729" s="10" t="str">
        <f>IF(ISBLANK(A728),"",E728+1)</f>
        <v/>
      </c>
      <c r="F729" s="11" t="str">
        <f t="shared" ref="F729:F733" si="851">F728</f>
        <v/>
      </c>
      <c r="G729" s="8"/>
    </row>
    <row r="730">
      <c r="A730" s="9" t="str">
        <f t="shared" si="849"/>
        <v/>
      </c>
      <c r="B730" s="9" t="str">
        <f>IF(ISBLANK(A728),"",LEFT(B729,27)&amp;VALUE(RIGHT(B729,1)+1))</f>
        <v/>
      </c>
      <c r="C730" s="6" t="str">
        <f t="shared" ref="C730:D730" si="850">C729</f>
        <v/>
      </c>
      <c r="D730" s="6" t="str">
        <f t="shared" si="850"/>
        <v/>
      </c>
      <c r="E730" s="10" t="str">
        <f>IF(ISBLANK(A728),"",E729+1)</f>
        <v/>
      </c>
      <c r="F730" s="11" t="str">
        <f t="shared" si="851"/>
        <v/>
      </c>
      <c r="G730" s="8"/>
    </row>
    <row r="731">
      <c r="A731" s="9" t="str">
        <f t="shared" si="849"/>
        <v/>
      </c>
      <c r="B731" s="9" t="str">
        <f>IF(ISBLANK(A728),"",LEFT(B730,27)&amp;VALUE(RIGHT(B730,1)+1))</f>
        <v/>
      </c>
      <c r="C731" s="6" t="str">
        <f t="shared" ref="C731:D731" si="852">C730</f>
        <v/>
      </c>
      <c r="D731" s="6" t="str">
        <f t="shared" si="852"/>
        <v/>
      </c>
      <c r="E731" s="10" t="str">
        <f>IF(ISBLANK(A728),"",E730+1)</f>
        <v/>
      </c>
      <c r="F731" s="11" t="str">
        <f t="shared" si="851"/>
        <v/>
      </c>
      <c r="G731" s="8"/>
    </row>
    <row r="732">
      <c r="A732" s="9" t="str">
        <f t="shared" si="849"/>
        <v/>
      </c>
      <c r="B732" s="9" t="str">
        <f>IF(ISBLANK(A728),"",LEFT(B731,27)&amp;VALUE(RIGHT(B731,1)+1))</f>
        <v/>
      </c>
      <c r="C732" s="6" t="str">
        <f t="shared" ref="C732:D732" si="853">C731</f>
        <v/>
      </c>
      <c r="D732" s="6" t="str">
        <f t="shared" si="853"/>
        <v/>
      </c>
      <c r="E732" s="10" t="str">
        <f>IF(ISBLANK(A728),"",E731+1)</f>
        <v/>
      </c>
      <c r="F732" s="11" t="str">
        <f t="shared" si="851"/>
        <v/>
      </c>
      <c r="G732" s="8"/>
    </row>
    <row r="733">
      <c r="A733" s="12" t="str">
        <f t="shared" si="849"/>
        <v/>
      </c>
      <c r="B733" s="12" t="str">
        <f>IF(ISBLANK(A728),"",LEFT(B732,27)&amp;VALUE(RIGHT(B732,1)+1))</f>
        <v/>
      </c>
      <c r="C733" s="13" t="str">
        <f t="shared" ref="C733:D733" si="854">C732</f>
        <v/>
      </c>
      <c r="D733" s="13" t="str">
        <f t="shared" si="854"/>
        <v/>
      </c>
      <c r="E733" s="14" t="str">
        <f>IF(ISBLANK(A728),"",E732+1)</f>
        <v/>
      </c>
      <c r="F733" s="15" t="str">
        <f t="shared" si="851"/>
        <v/>
      </c>
      <c r="G733" s="16"/>
    </row>
    <row r="734">
      <c r="A734" s="5"/>
      <c r="B734" s="6" t="str">
        <f t="array" ref="B734">IF(ISBLANK(A734),"",IF(A734="PROREP (L)",VLOOKUP(LEFT($A734,6),'Data Feed (35C)'!$A$1:$G$10,2,FALSE),IF(A734="PROREP (S)", INDEX('Data Feed (35C)'!B:B, MATCH(LEFT($A734,6), 'Data Feed (35C)'!$A$1:$A$10, 0) + 1), VLOOKUP($A734,'Data Feed (35C)'!$A$1:$G$10,2,FALSE))))</f>
        <v/>
      </c>
      <c r="C734" s="6" t="str">
        <f t="array" ref="C734">IF(ISBLANK(A734),"",IF(A734="PROREP (L)",VLOOKUP(LEFT($A734,6),'Data Feed (35C)'!$A$1:$G$10,3,FALSE),IF(A734="PROREP (S)", INDEX('Data Feed (35C)'!C:C, MATCH(LEFT($A734,6), 'Data Feed (35C)'!$A$1:$A$10, 0) + 1, +1), VLOOKUP($A734,'Data Feed (35C)'!$A$1:$G$10,3,FALSE))))</f>
        <v/>
      </c>
      <c r="D734" s="6" t="str">
        <f t="array" ref="D734">IF(ISBLANK(A734),"",IF(A734="PROREP (L)",VLOOKUP(LEFT($A734,6),'Data Feed (35C)'!$A$1:$G$10,4,FALSE),IF(A734="PROREP (S)", INDEX('Data Feed (35C)'!D:D, MATCH(LEFT($A734,6), 'Data Feed (35C)'!$A$1:$A$10, 0) + 1, +1), VLOOKUP($A734,'Data Feed (35C)'!$A$1:$G$10,4,FALSE))))</f>
        <v/>
      </c>
      <c r="E734" s="6" t="str">
        <f t="array" ref="E734">IF(ISBLANK(A734),"",IF(A734="PROREP (L)",VLOOKUP(LEFT($A734,6),'Data Feed (35C)'!$A$1:$G$10,7,FALSE),IF(A734="PROREP (S)", INDEX('Data Feed (35C)'!G:G, MATCH(LEFT($A734,6), 'Data Feed (35C)'!$A$1:$A$10, 0) + 1, +1), VLOOKUP($A734,'Data Feed (35C)'!$A$1:$G$10,7,FALSE))))</f>
        <v/>
      </c>
      <c r="F734" s="7"/>
      <c r="G734" s="8"/>
    </row>
    <row r="735">
      <c r="A735" s="9" t="str">
        <f t="shared" ref="A735:A739" si="856">A734</f>
        <v/>
      </c>
      <c r="B735" s="9" t="str">
        <f>IF(ISBLANK(A734),"",LEFT(B734,27)&amp;VALUE(RIGHT(B734,1)+1))</f>
        <v/>
      </c>
      <c r="C735" s="6" t="str">
        <f t="shared" ref="C735:D735" si="855">C734</f>
        <v/>
      </c>
      <c r="D735" s="6" t="str">
        <f t="shared" si="855"/>
        <v/>
      </c>
      <c r="E735" s="10" t="str">
        <f>IF(ISBLANK(A734),"",E734+1)</f>
        <v/>
      </c>
      <c r="F735" s="11" t="str">
        <f t="shared" ref="F735:F739" si="858">F734</f>
        <v/>
      </c>
      <c r="G735" s="8"/>
    </row>
    <row r="736">
      <c r="A736" s="9" t="str">
        <f t="shared" si="856"/>
        <v/>
      </c>
      <c r="B736" s="9" t="str">
        <f>IF(ISBLANK(A734),"",LEFT(B735,27)&amp;VALUE(RIGHT(B735,1)+1))</f>
        <v/>
      </c>
      <c r="C736" s="6" t="str">
        <f t="shared" ref="C736:D736" si="857">C735</f>
        <v/>
      </c>
      <c r="D736" s="6" t="str">
        <f t="shared" si="857"/>
        <v/>
      </c>
      <c r="E736" s="10" t="str">
        <f>IF(ISBLANK(A734),"",E735+1)</f>
        <v/>
      </c>
      <c r="F736" s="11" t="str">
        <f t="shared" si="858"/>
        <v/>
      </c>
      <c r="G736" s="8"/>
    </row>
    <row r="737">
      <c r="A737" s="9" t="str">
        <f t="shared" si="856"/>
        <v/>
      </c>
      <c r="B737" s="9" t="str">
        <f>IF(ISBLANK(A734),"",LEFT(B736,27)&amp;VALUE(RIGHT(B736,1)+1))</f>
        <v/>
      </c>
      <c r="C737" s="6" t="str">
        <f t="shared" ref="C737:D737" si="859">C736</f>
        <v/>
      </c>
      <c r="D737" s="6" t="str">
        <f t="shared" si="859"/>
        <v/>
      </c>
      <c r="E737" s="10" t="str">
        <f>IF(ISBLANK(A734),"",E736+1)</f>
        <v/>
      </c>
      <c r="F737" s="11" t="str">
        <f t="shared" si="858"/>
        <v/>
      </c>
      <c r="G737" s="8"/>
    </row>
    <row r="738">
      <c r="A738" s="9" t="str">
        <f t="shared" si="856"/>
        <v/>
      </c>
      <c r="B738" s="9" t="str">
        <f>IF(ISBLANK(A734),"",LEFT(B737,27)&amp;VALUE(RIGHT(B737,1)+1))</f>
        <v/>
      </c>
      <c r="C738" s="6" t="str">
        <f t="shared" ref="C738:D738" si="860">C737</f>
        <v/>
      </c>
      <c r="D738" s="6" t="str">
        <f t="shared" si="860"/>
        <v/>
      </c>
      <c r="E738" s="10" t="str">
        <f>IF(ISBLANK(A734),"",E737+1)</f>
        <v/>
      </c>
      <c r="F738" s="11" t="str">
        <f t="shared" si="858"/>
        <v/>
      </c>
      <c r="G738" s="8"/>
    </row>
    <row r="739">
      <c r="A739" s="12" t="str">
        <f t="shared" si="856"/>
        <v/>
      </c>
      <c r="B739" s="12" t="str">
        <f>IF(ISBLANK(A734),"",LEFT(B738,27)&amp;VALUE(RIGHT(B738,1)+1))</f>
        <v/>
      </c>
      <c r="C739" s="13" t="str">
        <f t="shared" ref="C739:D739" si="861">C738</f>
        <v/>
      </c>
      <c r="D739" s="13" t="str">
        <f t="shared" si="861"/>
        <v/>
      </c>
      <c r="E739" s="14" t="str">
        <f>IF(ISBLANK(A734),"",E738+1)</f>
        <v/>
      </c>
      <c r="F739" s="15" t="str">
        <f t="shared" si="858"/>
        <v/>
      </c>
      <c r="G739" s="16"/>
    </row>
    <row r="740">
      <c r="A740" s="5"/>
      <c r="B740" s="6" t="str">
        <f t="array" ref="B740">IF(ISBLANK(A740),"",IF(A740="PROREP (L)",VLOOKUP(LEFT($A740,6),'Data Feed (35C)'!$A$1:$G$10,2,FALSE),IF(A740="PROREP (S)", INDEX('Data Feed (35C)'!B:B, MATCH(LEFT($A740,6), 'Data Feed (35C)'!$A$1:$A$10, 0) + 1), VLOOKUP($A740,'Data Feed (35C)'!$A$1:$G$10,2,FALSE))))</f>
        <v/>
      </c>
      <c r="C740" s="6" t="str">
        <f t="array" ref="C740">IF(ISBLANK(A740),"",IF(A740="PROREP (L)",VLOOKUP(LEFT($A740,6),'Data Feed (35C)'!$A$1:$G$10,3,FALSE),IF(A740="PROREP (S)", INDEX('Data Feed (35C)'!C:C, MATCH(LEFT($A740,6), 'Data Feed (35C)'!$A$1:$A$10, 0) + 1, +1), VLOOKUP($A740,'Data Feed (35C)'!$A$1:$G$10,3,FALSE))))</f>
        <v/>
      </c>
      <c r="D740" s="6" t="str">
        <f t="array" ref="D740">IF(ISBLANK(A740),"",IF(A740="PROREP (L)",VLOOKUP(LEFT($A740,6),'Data Feed (35C)'!$A$1:$G$10,4,FALSE),IF(A740="PROREP (S)", INDEX('Data Feed (35C)'!D:D, MATCH(LEFT($A740,6), 'Data Feed (35C)'!$A$1:$A$10, 0) + 1, +1), VLOOKUP($A740,'Data Feed (35C)'!$A$1:$G$10,4,FALSE))))</f>
        <v/>
      </c>
      <c r="E740" s="6" t="str">
        <f t="array" ref="E740">IF(ISBLANK(A740),"",IF(A740="PROREP (L)",VLOOKUP(LEFT($A740,6),'Data Feed (35C)'!$A$1:$G$10,7,FALSE),IF(A740="PROREP (S)", INDEX('Data Feed (35C)'!G:G, MATCH(LEFT($A740,6), 'Data Feed (35C)'!$A$1:$A$10, 0) + 1, +1), VLOOKUP($A740,'Data Feed (35C)'!$A$1:$G$10,7,FALSE))))</f>
        <v/>
      </c>
      <c r="F740" s="7"/>
      <c r="G740" s="8"/>
    </row>
    <row r="741">
      <c r="A741" s="9" t="str">
        <f t="shared" ref="A741:A745" si="863">A740</f>
        <v/>
      </c>
      <c r="B741" s="9" t="str">
        <f>IF(ISBLANK(A740),"",LEFT(B740,27)&amp;VALUE(RIGHT(B740,1)+1))</f>
        <v/>
      </c>
      <c r="C741" s="6" t="str">
        <f t="shared" ref="C741:D741" si="862">C740</f>
        <v/>
      </c>
      <c r="D741" s="6" t="str">
        <f t="shared" si="862"/>
        <v/>
      </c>
      <c r="E741" s="10" t="str">
        <f>IF(ISBLANK(A740),"",E740+1)</f>
        <v/>
      </c>
      <c r="F741" s="11" t="str">
        <f t="shared" ref="F741:F745" si="865">F740</f>
        <v/>
      </c>
      <c r="G741" s="8"/>
    </row>
    <row r="742">
      <c r="A742" s="9" t="str">
        <f t="shared" si="863"/>
        <v/>
      </c>
      <c r="B742" s="9" t="str">
        <f>IF(ISBLANK(A740),"",LEFT(B741,27)&amp;VALUE(RIGHT(B741,1)+1))</f>
        <v/>
      </c>
      <c r="C742" s="6" t="str">
        <f t="shared" ref="C742:D742" si="864">C741</f>
        <v/>
      </c>
      <c r="D742" s="6" t="str">
        <f t="shared" si="864"/>
        <v/>
      </c>
      <c r="E742" s="10" t="str">
        <f>IF(ISBLANK(A740),"",E741+1)</f>
        <v/>
      </c>
      <c r="F742" s="11" t="str">
        <f t="shared" si="865"/>
        <v/>
      </c>
      <c r="G742" s="8"/>
    </row>
    <row r="743">
      <c r="A743" s="9" t="str">
        <f t="shared" si="863"/>
        <v/>
      </c>
      <c r="B743" s="9" t="str">
        <f>IF(ISBLANK(A740),"",LEFT(B742,27)&amp;VALUE(RIGHT(B742,1)+1))</f>
        <v/>
      </c>
      <c r="C743" s="6" t="str">
        <f t="shared" ref="C743:D743" si="866">C742</f>
        <v/>
      </c>
      <c r="D743" s="6" t="str">
        <f t="shared" si="866"/>
        <v/>
      </c>
      <c r="E743" s="10" t="str">
        <f>IF(ISBLANK(A740),"",E742+1)</f>
        <v/>
      </c>
      <c r="F743" s="11" t="str">
        <f t="shared" si="865"/>
        <v/>
      </c>
      <c r="G743" s="8"/>
    </row>
    <row r="744">
      <c r="A744" s="9" t="str">
        <f t="shared" si="863"/>
        <v/>
      </c>
      <c r="B744" s="9" t="str">
        <f>IF(ISBLANK(A740),"",LEFT(B743,27)&amp;VALUE(RIGHT(B743,1)+1))</f>
        <v/>
      </c>
      <c r="C744" s="6" t="str">
        <f t="shared" ref="C744:D744" si="867">C743</f>
        <v/>
      </c>
      <c r="D744" s="6" t="str">
        <f t="shared" si="867"/>
        <v/>
      </c>
      <c r="E744" s="10" t="str">
        <f>IF(ISBLANK(A740),"",E743+1)</f>
        <v/>
      </c>
      <c r="F744" s="11" t="str">
        <f t="shared" si="865"/>
        <v/>
      </c>
      <c r="G744" s="8"/>
    </row>
    <row r="745">
      <c r="A745" s="12" t="str">
        <f t="shared" si="863"/>
        <v/>
      </c>
      <c r="B745" s="12" t="str">
        <f>IF(ISBLANK(A740),"",LEFT(B744,27)&amp;VALUE(RIGHT(B744,1)+1))</f>
        <v/>
      </c>
      <c r="C745" s="13" t="str">
        <f t="shared" ref="C745:D745" si="868">C744</f>
        <v/>
      </c>
      <c r="D745" s="13" t="str">
        <f t="shared" si="868"/>
        <v/>
      </c>
      <c r="E745" s="14" t="str">
        <f>IF(ISBLANK(A740),"",E744+1)</f>
        <v/>
      </c>
      <c r="F745" s="15" t="str">
        <f t="shared" si="865"/>
        <v/>
      </c>
      <c r="G745" s="16"/>
    </row>
    <row r="746">
      <c r="A746" s="5"/>
      <c r="B746" s="6" t="str">
        <f t="array" ref="B746">IF(ISBLANK(A746),"",IF(A746="PROREP (L)",VLOOKUP(LEFT($A746,6),'Data Feed (35C)'!$A$1:$G$10,2,FALSE),IF(A746="PROREP (S)", INDEX('Data Feed (35C)'!B:B, MATCH(LEFT($A746,6), 'Data Feed (35C)'!$A$1:$A$10, 0) + 1), VLOOKUP($A746,'Data Feed (35C)'!$A$1:$G$10,2,FALSE))))</f>
        <v/>
      </c>
      <c r="C746" s="6" t="str">
        <f t="array" ref="C746">IF(ISBLANK(A746),"",IF(A746="PROREP (L)",VLOOKUP(LEFT($A746,6),'Data Feed (35C)'!$A$1:$G$10,3,FALSE),IF(A746="PROREP (S)", INDEX('Data Feed (35C)'!C:C, MATCH(LEFT($A746,6), 'Data Feed (35C)'!$A$1:$A$10, 0) + 1, +1), VLOOKUP($A746,'Data Feed (35C)'!$A$1:$G$10,3,FALSE))))</f>
        <v/>
      </c>
      <c r="D746" s="6" t="str">
        <f t="array" ref="D746">IF(ISBLANK(A746),"",IF(A746="PROREP (L)",VLOOKUP(LEFT($A746,6),'Data Feed (35C)'!$A$1:$G$10,4,FALSE),IF(A746="PROREP (S)", INDEX('Data Feed (35C)'!D:D, MATCH(LEFT($A746,6), 'Data Feed (35C)'!$A$1:$A$10, 0) + 1, +1), VLOOKUP($A746,'Data Feed (35C)'!$A$1:$G$10,4,FALSE))))</f>
        <v/>
      </c>
      <c r="E746" s="6" t="str">
        <f t="array" ref="E746">IF(ISBLANK(A746),"",IF(A746="PROREP (L)",VLOOKUP(LEFT($A746,6),'Data Feed (35C)'!$A$1:$G$10,7,FALSE),IF(A746="PROREP (S)", INDEX('Data Feed (35C)'!G:G, MATCH(LEFT($A746,6), 'Data Feed (35C)'!$A$1:$A$10, 0) + 1, +1), VLOOKUP($A746,'Data Feed (35C)'!$A$1:$G$10,7,FALSE))))</f>
        <v/>
      </c>
      <c r="F746" s="7"/>
      <c r="G746" s="8"/>
    </row>
    <row r="747">
      <c r="A747" s="9" t="str">
        <f t="shared" ref="A747:A751" si="870">A746</f>
        <v/>
      </c>
      <c r="B747" s="9" t="str">
        <f>IF(ISBLANK(A746),"",LEFT(B746,27)&amp;VALUE(RIGHT(B746,1)+1))</f>
        <v/>
      </c>
      <c r="C747" s="6" t="str">
        <f t="shared" ref="C747:D747" si="869">C746</f>
        <v/>
      </c>
      <c r="D747" s="6" t="str">
        <f t="shared" si="869"/>
        <v/>
      </c>
      <c r="E747" s="10" t="str">
        <f>IF(ISBLANK(A746),"",E746+1)</f>
        <v/>
      </c>
      <c r="F747" s="11" t="str">
        <f t="shared" ref="F747:F751" si="872">F746</f>
        <v/>
      </c>
      <c r="G747" s="8"/>
    </row>
    <row r="748">
      <c r="A748" s="9" t="str">
        <f t="shared" si="870"/>
        <v/>
      </c>
      <c r="B748" s="9" t="str">
        <f>IF(ISBLANK(A746),"",LEFT(B747,27)&amp;VALUE(RIGHT(B747,1)+1))</f>
        <v/>
      </c>
      <c r="C748" s="6" t="str">
        <f t="shared" ref="C748:D748" si="871">C747</f>
        <v/>
      </c>
      <c r="D748" s="6" t="str">
        <f t="shared" si="871"/>
        <v/>
      </c>
      <c r="E748" s="10" t="str">
        <f>IF(ISBLANK(A746),"",E747+1)</f>
        <v/>
      </c>
      <c r="F748" s="11" t="str">
        <f t="shared" si="872"/>
        <v/>
      </c>
      <c r="G748" s="8"/>
    </row>
    <row r="749">
      <c r="A749" s="9" t="str">
        <f t="shared" si="870"/>
        <v/>
      </c>
      <c r="B749" s="9" t="str">
        <f>IF(ISBLANK(A746),"",LEFT(B748,27)&amp;VALUE(RIGHT(B748,1)+1))</f>
        <v/>
      </c>
      <c r="C749" s="6" t="str">
        <f t="shared" ref="C749:D749" si="873">C748</f>
        <v/>
      </c>
      <c r="D749" s="6" t="str">
        <f t="shared" si="873"/>
        <v/>
      </c>
      <c r="E749" s="10" t="str">
        <f>IF(ISBLANK(A746),"",E748+1)</f>
        <v/>
      </c>
      <c r="F749" s="11" t="str">
        <f t="shared" si="872"/>
        <v/>
      </c>
      <c r="G749" s="8"/>
    </row>
    <row r="750">
      <c r="A750" s="9" t="str">
        <f t="shared" si="870"/>
        <v/>
      </c>
      <c r="B750" s="9" t="str">
        <f>IF(ISBLANK(A746),"",LEFT(B749,27)&amp;VALUE(RIGHT(B749,1)+1))</f>
        <v/>
      </c>
      <c r="C750" s="6" t="str">
        <f t="shared" ref="C750:D750" si="874">C749</f>
        <v/>
      </c>
      <c r="D750" s="6" t="str">
        <f t="shared" si="874"/>
        <v/>
      </c>
      <c r="E750" s="10" t="str">
        <f>IF(ISBLANK(A746),"",E749+1)</f>
        <v/>
      </c>
      <c r="F750" s="11" t="str">
        <f t="shared" si="872"/>
        <v/>
      </c>
      <c r="G750" s="8"/>
    </row>
    <row r="751">
      <c r="A751" s="12" t="str">
        <f t="shared" si="870"/>
        <v/>
      </c>
      <c r="B751" s="12" t="str">
        <f>IF(ISBLANK(A746),"",LEFT(B750,27)&amp;VALUE(RIGHT(B750,1)+1))</f>
        <v/>
      </c>
      <c r="C751" s="13" t="str">
        <f t="shared" ref="C751:D751" si="875">C750</f>
        <v/>
      </c>
      <c r="D751" s="13" t="str">
        <f t="shared" si="875"/>
        <v/>
      </c>
      <c r="E751" s="14" t="str">
        <f>IF(ISBLANK(A746),"",E750+1)</f>
        <v/>
      </c>
      <c r="F751" s="15" t="str">
        <f t="shared" si="872"/>
        <v/>
      </c>
      <c r="G751" s="16"/>
    </row>
    <row r="752">
      <c r="A752" s="5"/>
      <c r="B752" s="6" t="str">
        <f t="array" ref="B752">IF(ISBLANK(A752),"",IF(A752="PROREP (L)",VLOOKUP(LEFT($A752,6),'Data Feed (35C)'!$A$1:$G$10,2,FALSE),IF(A752="PROREP (S)", INDEX('Data Feed (35C)'!B:B, MATCH(LEFT($A752,6), 'Data Feed (35C)'!$A$1:$A$10, 0) + 1), VLOOKUP($A752,'Data Feed (35C)'!$A$1:$G$10,2,FALSE))))</f>
        <v/>
      </c>
      <c r="C752" s="6" t="str">
        <f t="array" ref="C752">IF(ISBLANK(A752),"",IF(A752="PROREP (L)",VLOOKUP(LEFT($A752,6),'Data Feed (35C)'!$A$1:$G$10,3,FALSE),IF(A752="PROREP (S)", INDEX('Data Feed (35C)'!C:C, MATCH(LEFT($A752,6), 'Data Feed (35C)'!$A$1:$A$10, 0) + 1, +1), VLOOKUP($A752,'Data Feed (35C)'!$A$1:$G$10,3,FALSE))))</f>
        <v/>
      </c>
      <c r="D752" s="6" t="str">
        <f t="array" ref="D752">IF(ISBLANK(A752),"",IF(A752="PROREP (L)",VLOOKUP(LEFT($A752,6),'Data Feed (35C)'!$A$1:$G$10,4,FALSE),IF(A752="PROREP (S)", INDEX('Data Feed (35C)'!D:D, MATCH(LEFT($A752,6), 'Data Feed (35C)'!$A$1:$A$10, 0) + 1, +1), VLOOKUP($A752,'Data Feed (35C)'!$A$1:$G$10,4,FALSE))))</f>
        <v/>
      </c>
      <c r="E752" s="6" t="str">
        <f t="array" ref="E752">IF(ISBLANK(A752),"",IF(A752="PROREP (L)",VLOOKUP(LEFT($A752,6),'Data Feed (35C)'!$A$1:$G$10,7,FALSE),IF(A752="PROREP (S)", INDEX('Data Feed (35C)'!G:G, MATCH(LEFT($A752,6), 'Data Feed (35C)'!$A$1:$A$10, 0) + 1, +1), VLOOKUP($A752,'Data Feed (35C)'!$A$1:$G$10,7,FALSE))))</f>
        <v/>
      </c>
      <c r="F752" s="7"/>
      <c r="G752" s="8"/>
    </row>
    <row r="753">
      <c r="A753" s="9" t="str">
        <f t="shared" ref="A753:A757" si="877">A752</f>
        <v/>
      </c>
      <c r="B753" s="9" t="str">
        <f>IF(ISBLANK(A752),"",LEFT(B752,27)&amp;VALUE(RIGHT(B752,1)+1))</f>
        <v/>
      </c>
      <c r="C753" s="6" t="str">
        <f t="shared" ref="C753:D753" si="876">C752</f>
        <v/>
      </c>
      <c r="D753" s="6" t="str">
        <f t="shared" si="876"/>
        <v/>
      </c>
      <c r="E753" s="10" t="str">
        <f>IF(ISBLANK(A752),"",E752+1)</f>
        <v/>
      </c>
      <c r="F753" s="11" t="str">
        <f t="shared" ref="F753:F757" si="879">F752</f>
        <v/>
      </c>
      <c r="G753" s="8"/>
    </row>
    <row r="754">
      <c r="A754" s="9" t="str">
        <f t="shared" si="877"/>
        <v/>
      </c>
      <c r="B754" s="9" t="str">
        <f>IF(ISBLANK(A752),"",LEFT(B753,27)&amp;VALUE(RIGHT(B753,1)+1))</f>
        <v/>
      </c>
      <c r="C754" s="6" t="str">
        <f t="shared" ref="C754:D754" si="878">C753</f>
        <v/>
      </c>
      <c r="D754" s="6" t="str">
        <f t="shared" si="878"/>
        <v/>
      </c>
      <c r="E754" s="10" t="str">
        <f>IF(ISBLANK(A752),"",E753+1)</f>
        <v/>
      </c>
      <c r="F754" s="11" t="str">
        <f t="shared" si="879"/>
        <v/>
      </c>
      <c r="G754" s="8"/>
    </row>
    <row r="755">
      <c r="A755" s="9" t="str">
        <f t="shared" si="877"/>
        <v/>
      </c>
      <c r="B755" s="9" t="str">
        <f>IF(ISBLANK(A752),"",LEFT(B754,27)&amp;VALUE(RIGHT(B754,1)+1))</f>
        <v/>
      </c>
      <c r="C755" s="6" t="str">
        <f t="shared" ref="C755:D755" si="880">C754</f>
        <v/>
      </c>
      <c r="D755" s="6" t="str">
        <f t="shared" si="880"/>
        <v/>
      </c>
      <c r="E755" s="10" t="str">
        <f>IF(ISBLANK(A752),"",E754+1)</f>
        <v/>
      </c>
      <c r="F755" s="11" t="str">
        <f t="shared" si="879"/>
        <v/>
      </c>
      <c r="G755" s="8"/>
    </row>
    <row r="756">
      <c r="A756" s="9" t="str">
        <f t="shared" si="877"/>
        <v/>
      </c>
      <c r="B756" s="9" t="str">
        <f>IF(ISBLANK(A752),"",LEFT(B755,27)&amp;VALUE(RIGHT(B755,1)+1))</f>
        <v/>
      </c>
      <c r="C756" s="6" t="str">
        <f t="shared" ref="C756:D756" si="881">C755</f>
        <v/>
      </c>
      <c r="D756" s="6" t="str">
        <f t="shared" si="881"/>
        <v/>
      </c>
      <c r="E756" s="10" t="str">
        <f>IF(ISBLANK(A752),"",E755+1)</f>
        <v/>
      </c>
      <c r="F756" s="11" t="str">
        <f t="shared" si="879"/>
        <v/>
      </c>
      <c r="G756" s="8"/>
    </row>
    <row r="757">
      <c r="A757" s="12" t="str">
        <f t="shared" si="877"/>
        <v/>
      </c>
      <c r="B757" s="12" t="str">
        <f>IF(ISBLANK(A752),"",LEFT(B756,27)&amp;VALUE(RIGHT(B756,1)+1))</f>
        <v/>
      </c>
      <c r="C757" s="13" t="str">
        <f t="shared" ref="C757:D757" si="882">C756</f>
        <v/>
      </c>
      <c r="D757" s="13" t="str">
        <f t="shared" si="882"/>
        <v/>
      </c>
      <c r="E757" s="14" t="str">
        <f>IF(ISBLANK(A752),"",E756+1)</f>
        <v/>
      </c>
      <c r="F757" s="15" t="str">
        <f t="shared" si="879"/>
        <v/>
      </c>
      <c r="G757" s="16"/>
    </row>
    <row r="758">
      <c r="A758" s="5"/>
      <c r="B758" s="6" t="str">
        <f t="array" ref="B758">IF(ISBLANK(A758),"",IF(A758="PROREP (L)",VLOOKUP(LEFT($A758,6),'Data Feed (35C)'!$A$1:$G$10,2,FALSE),IF(A758="PROREP (S)", INDEX('Data Feed (35C)'!B:B, MATCH(LEFT($A758,6), 'Data Feed (35C)'!$A$1:$A$10, 0) + 1), VLOOKUP($A758,'Data Feed (35C)'!$A$1:$G$10,2,FALSE))))</f>
        <v/>
      </c>
      <c r="C758" s="6" t="str">
        <f t="array" ref="C758">IF(ISBLANK(A758),"",IF(A758="PROREP (L)",VLOOKUP(LEFT($A758,6),'Data Feed (35C)'!$A$1:$G$10,3,FALSE),IF(A758="PROREP (S)", INDEX('Data Feed (35C)'!C:C, MATCH(LEFT($A758,6), 'Data Feed (35C)'!$A$1:$A$10, 0) + 1, +1), VLOOKUP($A758,'Data Feed (35C)'!$A$1:$G$10,3,FALSE))))</f>
        <v/>
      </c>
      <c r="D758" s="6" t="str">
        <f t="array" ref="D758">IF(ISBLANK(A758),"",IF(A758="PROREP (L)",VLOOKUP(LEFT($A758,6),'Data Feed (35C)'!$A$1:$G$10,4,FALSE),IF(A758="PROREP (S)", INDEX('Data Feed (35C)'!D:D, MATCH(LEFT($A758,6), 'Data Feed (35C)'!$A$1:$A$10, 0) + 1, +1), VLOOKUP($A758,'Data Feed (35C)'!$A$1:$G$10,4,FALSE))))</f>
        <v/>
      </c>
      <c r="E758" s="6" t="str">
        <f t="array" ref="E758">IF(ISBLANK(A758),"",IF(A758="PROREP (L)",VLOOKUP(LEFT($A758,6),'Data Feed (35C)'!$A$1:$G$10,7,FALSE),IF(A758="PROREP (S)", INDEX('Data Feed (35C)'!G:G, MATCH(LEFT($A758,6), 'Data Feed (35C)'!$A$1:$A$10, 0) + 1, +1), VLOOKUP($A758,'Data Feed (35C)'!$A$1:$G$10,7,FALSE))))</f>
        <v/>
      </c>
      <c r="F758" s="7"/>
      <c r="G758" s="8"/>
    </row>
    <row r="759">
      <c r="A759" s="9" t="str">
        <f t="shared" ref="A759:A763" si="884">A758</f>
        <v/>
      </c>
      <c r="B759" s="9" t="str">
        <f>IF(ISBLANK(A758),"",LEFT(B758,27)&amp;VALUE(RIGHT(B758,1)+1))</f>
        <v/>
      </c>
      <c r="C759" s="6" t="str">
        <f t="shared" ref="C759:D759" si="883">C758</f>
        <v/>
      </c>
      <c r="D759" s="6" t="str">
        <f t="shared" si="883"/>
        <v/>
      </c>
      <c r="E759" s="10" t="str">
        <f>IF(ISBLANK(A758),"",E758+1)</f>
        <v/>
      </c>
      <c r="F759" s="11" t="str">
        <f t="shared" ref="F759:F763" si="886">F758</f>
        <v/>
      </c>
      <c r="G759" s="8"/>
    </row>
    <row r="760">
      <c r="A760" s="9" t="str">
        <f t="shared" si="884"/>
        <v/>
      </c>
      <c r="B760" s="9" t="str">
        <f>IF(ISBLANK(A758),"",LEFT(B759,27)&amp;VALUE(RIGHT(B759,1)+1))</f>
        <v/>
      </c>
      <c r="C760" s="6" t="str">
        <f t="shared" ref="C760:D760" si="885">C759</f>
        <v/>
      </c>
      <c r="D760" s="6" t="str">
        <f t="shared" si="885"/>
        <v/>
      </c>
      <c r="E760" s="10" t="str">
        <f>IF(ISBLANK(A758),"",E759+1)</f>
        <v/>
      </c>
      <c r="F760" s="11" t="str">
        <f t="shared" si="886"/>
        <v/>
      </c>
      <c r="G760" s="8"/>
    </row>
    <row r="761">
      <c r="A761" s="9" t="str">
        <f t="shared" si="884"/>
        <v/>
      </c>
      <c r="B761" s="9" t="str">
        <f>IF(ISBLANK(A758),"",LEFT(B760,27)&amp;VALUE(RIGHT(B760,1)+1))</f>
        <v/>
      </c>
      <c r="C761" s="6" t="str">
        <f t="shared" ref="C761:D761" si="887">C760</f>
        <v/>
      </c>
      <c r="D761" s="6" t="str">
        <f t="shared" si="887"/>
        <v/>
      </c>
      <c r="E761" s="10" t="str">
        <f>IF(ISBLANK(A758),"",E760+1)</f>
        <v/>
      </c>
      <c r="F761" s="11" t="str">
        <f t="shared" si="886"/>
        <v/>
      </c>
      <c r="G761" s="8"/>
    </row>
    <row r="762">
      <c r="A762" s="9" t="str">
        <f t="shared" si="884"/>
        <v/>
      </c>
      <c r="B762" s="9" t="str">
        <f>IF(ISBLANK(A758),"",LEFT(B761,27)&amp;VALUE(RIGHT(B761,1)+1))</f>
        <v/>
      </c>
      <c r="C762" s="6" t="str">
        <f t="shared" ref="C762:D762" si="888">C761</f>
        <v/>
      </c>
      <c r="D762" s="6" t="str">
        <f t="shared" si="888"/>
        <v/>
      </c>
      <c r="E762" s="10" t="str">
        <f>IF(ISBLANK(A758),"",E761+1)</f>
        <v/>
      </c>
      <c r="F762" s="11" t="str">
        <f t="shared" si="886"/>
        <v/>
      </c>
      <c r="G762" s="8"/>
    </row>
    <row r="763">
      <c r="A763" s="12" t="str">
        <f t="shared" si="884"/>
        <v/>
      </c>
      <c r="B763" s="12" t="str">
        <f>IF(ISBLANK(A758),"",LEFT(B762,27)&amp;VALUE(RIGHT(B762,1)+1))</f>
        <v/>
      </c>
      <c r="C763" s="13" t="str">
        <f t="shared" ref="C763:D763" si="889">C762</f>
        <v/>
      </c>
      <c r="D763" s="13" t="str">
        <f t="shared" si="889"/>
        <v/>
      </c>
      <c r="E763" s="14" t="str">
        <f>IF(ISBLANK(A758),"",E762+1)</f>
        <v/>
      </c>
      <c r="F763" s="15" t="str">
        <f t="shared" si="886"/>
        <v/>
      </c>
      <c r="G763" s="16"/>
    </row>
    <row r="764">
      <c r="A764" s="5"/>
      <c r="B764" s="6" t="str">
        <f t="array" ref="B764">IF(ISBLANK(A764),"",IF(A764="PROREP (L)",VLOOKUP(LEFT($A764,6),'Data Feed (35C)'!$A$1:$G$10,2,FALSE),IF(A764="PROREP (S)", INDEX('Data Feed (35C)'!B:B, MATCH(LEFT($A764,6), 'Data Feed (35C)'!$A$1:$A$10, 0) + 1), VLOOKUP($A764,'Data Feed (35C)'!$A$1:$G$10,2,FALSE))))</f>
        <v/>
      </c>
      <c r="C764" s="6" t="str">
        <f t="array" ref="C764">IF(ISBLANK(A764),"",IF(A764="PROREP (L)",VLOOKUP(LEFT($A764,6),'Data Feed (35C)'!$A$1:$G$10,3,FALSE),IF(A764="PROREP (S)", INDEX('Data Feed (35C)'!C:C, MATCH(LEFT($A764,6), 'Data Feed (35C)'!$A$1:$A$10, 0) + 1, +1), VLOOKUP($A764,'Data Feed (35C)'!$A$1:$G$10,3,FALSE))))</f>
        <v/>
      </c>
      <c r="D764" s="6" t="str">
        <f t="array" ref="D764">IF(ISBLANK(A764),"",IF(A764="PROREP (L)",VLOOKUP(LEFT($A764,6),'Data Feed (35C)'!$A$1:$G$10,4,FALSE),IF(A764="PROREP (S)", INDEX('Data Feed (35C)'!D:D, MATCH(LEFT($A764,6), 'Data Feed (35C)'!$A$1:$A$10, 0) + 1, +1), VLOOKUP($A764,'Data Feed (35C)'!$A$1:$G$10,4,FALSE))))</f>
        <v/>
      </c>
      <c r="E764" s="6" t="str">
        <f t="array" ref="E764">IF(ISBLANK(A764),"",IF(A764="PROREP (L)",VLOOKUP(LEFT($A764,6),'Data Feed (35C)'!$A$1:$G$10,7,FALSE),IF(A764="PROREP (S)", INDEX('Data Feed (35C)'!G:G, MATCH(LEFT($A764,6), 'Data Feed (35C)'!$A$1:$A$10, 0) + 1, +1), VLOOKUP($A764,'Data Feed (35C)'!$A$1:$G$10,7,FALSE))))</f>
        <v/>
      </c>
      <c r="F764" s="7"/>
      <c r="G764" s="8"/>
    </row>
    <row r="765">
      <c r="A765" s="9" t="str">
        <f t="shared" ref="A765:A769" si="891">A764</f>
        <v/>
      </c>
      <c r="B765" s="9" t="str">
        <f>IF(ISBLANK(A764),"",LEFT(B764,27)&amp;VALUE(RIGHT(B764,1)+1))</f>
        <v/>
      </c>
      <c r="C765" s="6" t="str">
        <f t="shared" ref="C765:D765" si="890">C764</f>
        <v/>
      </c>
      <c r="D765" s="6" t="str">
        <f t="shared" si="890"/>
        <v/>
      </c>
      <c r="E765" s="10" t="str">
        <f>IF(ISBLANK(A764),"",E764+1)</f>
        <v/>
      </c>
      <c r="F765" s="11" t="str">
        <f t="shared" ref="F765:F769" si="893">F764</f>
        <v/>
      </c>
      <c r="G765" s="8"/>
    </row>
    <row r="766">
      <c r="A766" s="9" t="str">
        <f t="shared" si="891"/>
        <v/>
      </c>
      <c r="B766" s="9" t="str">
        <f>IF(ISBLANK(A764),"",LEFT(B765,27)&amp;VALUE(RIGHT(B765,1)+1))</f>
        <v/>
      </c>
      <c r="C766" s="6" t="str">
        <f t="shared" ref="C766:D766" si="892">C765</f>
        <v/>
      </c>
      <c r="D766" s="6" t="str">
        <f t="shared" si="892"/>
        <v/>
      </c>
      <c r="E766" s="10" t="str">
        <f>IF(ISBLANK(A764),"",E765+1)</f>
        <v/>
      </c>
      <c r="F766" s="11" t="str">
        <f t="shared" si="893"/>
        <v/>
      </c>
      <c r="G766" s="8"/>
    </row>
    <row r="767">
      <c r="A767" s="9" t="str">
        <f t="shared" si="891"/>
        <v/>
      </c>
      <c r="B767" s="9" t="str">
        <f>IF(ISBLANK(A764),"",LEFT(B766,27)&amp;VALUE(RIGHT(B766,1)+1))</f>
        <v/>
      </c>
      <c r="C767" s="6" t="str">
        <f t="shared" ref="C767:D767" si="894">C766</f>
        <v/>
      </c>
      <c r="D767" s="6" t="str">
        <f t="shared" si="894"/>
        <v/>
      </c>
      <c r="E767" s="10" t="str">
        <f>IF(ISBLANK(A764),"",E766+1)</f>
        <v/>
      </c>
      <c r="F767" s="11" t="str">
        <f t="shared" si="893"/>
        <v/>
      </c>
      <c r="G767" s="8"/>
    </row>
    <row r="768">
      <c r="A768" s="9" t="str">
        <f t="shared" si="891"/>
        <v/>
      </c>
      <c r="B768" s="9" t="str">
        <f>IF(ISBLANK(A764),"",LEFT(B767,27)&amp;VALUE(RIGHT(B767,1)+1))</f>
        <v/>
      </c>
      <c r="C768" s="6" t="str">
        <f t="shared" ref="C768:D768" si="895">C767</f>
        <v/>
      </c>
      <c r="D768" s="6" t="str">
        <f t="shared" si="895"/>
        <v/>
      </c>
      <c r="E768" s="10" t="str">
        <f>IF(ISBLANK(A764),"",E767+1)</f>
        <v/>
      </c>
      <c r="F768" s="11" t="str">
        <f t="shared" si="893"/>
        <v/>
      </c>
      <c r="G768" s="8"/>
    </row>
    <row r="769">
      <c r="A769" s="12" t="str">
        <f t="shared" si="891"/>
        <v/>
      </c>
      <c r="B769" s="12" t="str">
        <f>IF(ISBLANK(A764),"",LEFT(B768,27)&amp;VALUE(RIGHT(B768,1)+1))</f>
        <v/>
      </c>
      <c r="C769" s="13" t="str">
        <f t="shared" ref="C769:D769" si="896">C768</f>
        <v/>
      </c>
      <c r="D769" s="13" t="str">
        <f t="shared" si="896"/>
        <v/>
      </c>
      <c r="E769" s="14" t="str">
        <f>IF(ISBLANK(A764),"",E768+1)</f>
        <v/>
      </c>
      <c r="F769" s="15" t="str">
        <f t="shared" si="893"/>
        <v/>
      </c>
      <c r="G769" s="16"/>
    </row>
    <row r="770">
      <c r="A770" s="5"/>
      <c r="B770" s="6" t="str">
        <f t="array" ref="B770">IF(ISBLANK(A770),"",IF(A770="PROREP (L)",VLOOKUP(LEFT($A770,6),'Data Feed (35C)'!$A$1:$G$10,2,FALSE),IF(A770="PROREP (S)", INDEX('Data Feed (35C)'!B:B, MATCH(LEFT($A770,6), 'Data Feed (35C)'!$A$1:$A$10, 0) + 1), VLOOKUP($A770,'Data Feed (35C)'!$A$1:$G$10,2,FALSE))))</f>
        <v/>
      </c>
      <c r="C770" s="6" t="str">
        <f t="array" ref="C770">IF(ISBLANK(A770),"",IF(A770="PROREP (L)",VLOOKUP(LEFT($A770,6),'Data Feed (35C)'!$A$1:$G$10,3,FALSE),IF(A770="PROREP (S)", INDEX('Data Feed (35C)'!C:C, MATCH(LEFT($A770,6), 'Data Feed (35C)'!$A$1:$A$10, 0) + 1, +1), VLOOKUP($A770,'Data Feed (35C)'!$A$1:$G$10,3,FALSE))))</f>
        <v/>
      </c>
      <c r="D770" s="6" t="str">
        <f t="array" ref="D770">IF(ISBLANK(A770),"",IF(A770="PROREP (L)",VLOOKUP(LEFT($A770,6),'Data Feed (35C)'!$A$1:$G$10,4,FALSE),IF(A770="PROREP (S)", INDEX('Data Feed (35C)'!D:D, MATCH(LEFT($A770,6), 'Data Feed (35C)'!$A$1:$A$10, 0) + 1, +1), VLOOKUP($A770,'Data Feed (35C)'!$A$1:$G$10,4,FALSE))))</f>
        <v/>
      </c>
      <c r="E770" s="6" t="str">
        <f t="array" ref="E770">IF(ISBLANK(A770),"",IF(A770="PROREP (L)",VLOOKUP(LEFT($A770,6),'Data Feed (35C)'!$A$1:$G$10,7,FALSE),IF(A770="PROREP (S)", INDEX('Data Feed (35C)'!G:G, MATCH(LEFT($A770,6), 'Data Feed (35C)'!$A$1:$A$10, 0) + 1, +1), VLOOKUP($A770,'Data Feed (35C)'!$A$1:$G$10,7,FALSE))))</f>
        <v/>
      </c>
      <c r="F770" s="7"/>
      <c r="G770" s="8"/>
    </row>
    <row r="771">
      <c r="A771" s="9" t="str">
        <f t="shared" ref="A771:A775" si="898">A770</f>
        <v/>
      </c>
      <c r="B771" s="9" t="str">
        <f>IF(ISBLANK(A770),"",LEFT(B770,27)&amp;VALUE(RIGHT(B770,1)+1))</f>
        <v/>
      </c>
      <c r="C771" s="6" t="str">
        <f t="shared" ref="C771:D771" si="897">C770</f>
        <v/>
      </c>
      <c r="D771" s="6" t="str">
        <f t="shared" si="897"/>
        <v/>
      </c>
      <c r="E771" s="10" t="str">
        <f>IF(ISBLANK(A770),"",E770+1)</f>
        <v/>
      </c>
      <c r="F771" s="11" t="str">
        <f t="shared" ref="F771:F775" si="900">F770</f>
        <v/>
      </c>
      <c r="G771" s="8"/>
    </row>
    <row r="772">
      <c r="A772" s="9" t="str">
        <f t="shared" si="898"/>
        <v/>
      </c>
      <c r="B772" s="9" t="str">
        <f>IF(ISBLANK(A770),"",LEFT(B771,27)&amp;VALUE(RIGHT(B771,1)+1))</f>
        <v/>
      </c>
      <c r="C772" s="6" t="str">
        <f t="shared" ref="C772:D772" si="899">C771</f>
        <v/>
      </c>
      <c r="D772" s="6" t="str">
        <f t="shared" si="899"/>
        <v/>
      </c>
      <c r="E772" s="10" t="str">
        <f>IF(ISBLANK(A770),"",E771+1)</f>
        <v/>
      </c>
      <c r="F772" s="11" t="str">
        <f t="shared" si="900"/>
        <v/>
      </c>
      <c r="G772" s="8"/>
    </row>
    <row r="773">
      <c r="A773" s="9" t="str">
        <f t="shared" si="898"/>
        <v/>
      </c>
      <c r="B773" s="9" t="str">
        <f>IF(ISBLANK(A770),"",LEFT(B772,27)&amp;VALUE(RIGHT(B772,1)+1))</f>
        <v/>
      </c>
      <c r="C773" s="6" t="str">
        <f t="shared" ref="C773:D773" si="901">C772</f>
        <v/>
      </c>
      <c r="D773" s="6" t="str">
        <f t="shared" si="901"/>
        <v/>
      </c>
      <c r="E773" s="10" t="str">
        <f>IF(ISBLANK(A770),"",E772+1)</f>
        <v/>
      </c>
      <c r="F773" s="11" t="str">
        <f t="shared" si="900"/>
        <v/>
      </c>
      <c r="G773" s="8"/>
    </row>
    <row r="774">
      <c r="A774" s="9" t="str">
        <f t="shared" si="898"/>
        <v/>
      </c>
      <c r="B774" s="9" t="str">
        <f>IF(ISBLANK(A770),"",LEFT(B773,27)&amp;VALUE(RIGHT(B773,1)+1))</f>
        <v/>
      </c>
      <c r="C774" s="6" t="str">
        <f t="shared" ref="C774:D774" si="902">C773</f>
        <v/>
      </c>
      <c r="D774" s="6" t="str">
        <f t="shared" si="902"/>
        <v/>
      </c>
      <c r="E774" s="10" t="str">
        <f>IF(ISBLANK(A770),"",E773+1)</f>
        <v/>
      </c>
      <c r="F774" s="11" t="str">
        <f t="shared" si="900"/>
        <v/>
      </c>
      <c r="G774" s="8"/>
    </row>
    <row r="775">
      <c r="A775" s="12" t="str">
        <f t="shared" si="898"/>
        <v/>
      </c>
      <c r="B775" s="12" t="str">
        <f>IF(ISBLANK(A770),"",LEFT(B774,27)&amp;VALUE(RIGHT(B774,1)+1))</f>
        <v/>
      </c>
      <c r="C775" s="13" t="str">
        <f t="shared" ref="C775:D775" si="903">C774</f>
        <v/>
      </c>
      <c r="D775" s="13" t="str">
        <f t="shared" si="903"/>
        <v/>
      </c>
      <c r="E775" s="14" t="str">
        <f>IF(ISBLANK(A770),"",E774+1)</f>
        <v/>
      </c>
      <c r="F775" s="15" t="str">
        <f t="shared" si="900"/>
        <v/>
      </c>
      <c r="G775" s="16"/>
    </row>
    <row r="776">
      <c r="A776" s="5"/>
      <c r="B776" s="6" t="str">
        <f t="array" ref="B776">IF(ISBLANK(A776),"",IF(A776="PROREP (L)",VLOOKUP(LEFT($A776,6),'Data Feed (35C)'!$A$1:$G$10,2,FALSE),IF(A776="PROREP (S)", INDEX('Data Feed (35C)'!B:B, MATCH(LEFT($A776,6), 'Data Feed (35C)'!$A$1:$A$10, 0) + 1), VLOOKUP($A776,'Data Feed (35C)'!$A$1:$G$10,2,FALSE))))</f>
        <v/>
      </c>
      <c r="C776" s="6" t="str">
        <f t="array" ref="C776">IF(ISBLANK(A776),"",IF(A776="PROREP (L)",VLOOKUP(LEFT($A776,6),'Data Feed (35C)'!$A$1:$G$10,3,FALSE),IF(A776="PROREP (S)", INDEX('Data Feed (35C)'!C:C, MATCH(LEFT($A776,6), 'Data Feed (35C)'!$A$1:$A$10, 0) + 1, +1), VLOOKUP($A776,'Data Feed (35C)'!$A$1:$G$10,3,FALSE))))</f>
        <v/>
      </c>
      <c r="D776" s="6" t="str">
        <f t="array" ref="D776">IF(ISBLANK(A776),"",IF(A776="PROREP (L)",VLOOKUP(LEFT($A776,6),'Data Feed (35C)'!$A$1:$G$10,4,FALSE),IF(A776="PROREP (S)", INDEX('Data Feed (35C)'!D:D, MATCH(LEFT($A776,6), 'Data Feed (35C)'!$A$1:$A$10, 0) + 1, +1), VLOOKUP($A776,'Data Feed (35C)'!$A$1:$G$10,4,FALSE))))</f>
        <v/>
      </c>
      <c r="E776" s="6" t="str">
        <f t="array" ref="E776">IF(ISBLANK(A776),"",IF(A776="PROREP (L)",VLOOKUP(LEFT($A776,6),'Data Feed (35C)'!$A$1:$G$10,7,FALSE),IF(A776="PROREP (S)", INDEX('Data Feed (35C)'!G:G, MATCH(LEFT($A776,6), 'Data Feed (35C)'!$A$1:$A$10, 0) + 1, +1), VLOOKUP($A776,'Data Feed (35C)'!$A$1:$G$10,7,FALSE))))</f>
        <v/>
      </c>
      <c r="F776" s="7"/>
      <c r="G776" s="8"/>
    </row>
    <row r="777">
      <c r="A777" s="9" t="str">
        <f t="shared" ref="A777:A781" si="905">A776</f>
        <v/>
      </c>
      <c r="B777" s="9" t="str">
        <f>IF(ISBLANK(A776),"",LEFT(B776,27)&amp;VALUE(RIGHT(B776,1)+1))</f>
        <v/>
      </c>
      <c r="C777" s="6" t="str">
        <f t="shared" ref="C777:D777" si="904">C776</f>
        <v/>
      </c>
      <c r="D777" s="6" t="str">
        <f t="shared" si="904"/>
        <v/>
      </c>
      <c r="E777" s="10" t="str">
        <f>IF(ISBLANK(A776),"",E776+1)</f>
        <v/>
      </c>
      <c r="F777" s="11" t="str">
        <f t="shared" ref="F777:F781" si="907">F776</f>
        <v/>
      </c>
      <c r="G777" s="8"/>
    </row>
    <row r="778">
      <c r="A778" s="9" t="str">
        <f t="shared" si="905"/>
        <v/>
      </c>
      <c r="B778" s="9" t="str">
        <f>IF(ISBLANK(A776),"",LEFT(B777,27)&amp;VALUE(RIGHT(B777,1)+1))</f>
        <v/>
      </c>
      <c r="C778" s="6" t="str">
        <f t="shared" ref="C778:D778" si="906">C777</f>
        <v/>
      </c>
      <c r="D778" s="6" t="str">
        <f t="shared" si="906"/>
        <v/>
      </c>
      <c r="E778" s="10" t="str">
        <f>IF(ISBLANK(A776),"",E777+1)</f>
        <v/>
      </c>
      <c r="F778" s="11" t="str">
        <f t="shared" si="907"/>
        <v/>
      </c>
      <c r="G778" s="8"/>
    </row>
    <row r="779">
      <c r="A779" s="9" t="str">
        <f t="shared" si="905"/>
        <v/>
      </c>
      <c r="B779" s="9" t="str">
        <f>IF(ISBLANK(A776),"",LEFT(B778,27)&amp;VALUE(RIGHT(B778,1)+1))</f>
        <v/>
      </c>
      <c r="C779" s="6" t="str">
        <f t="shared" ref="C779:D779" si="908">C778</f>
        <v/>
      </c>
      <c r="D779" s="6" t="str">
        <f t="shared" si="908"/>
        <v/>
      </c>
      <c r="E779" s="10" t="str">
        <f>IF(ISBLANK(A776),"",E778+1)</f>
        <v/>
      </c>
      <c r="F779" s="11" t="str">
        <f t="shared" si="907"/>
        <v/>
      </c>
      <c r="G779" s="8"/>
    </row>
    <row r="780">
      <c r="A780" s="9" t="str">
        <f t="shared" si="905"/>
        <v/>
      </c>
      <c r="B780" s="9" t="str">
        <f>IF(ISBLANK(A776),"",LEFT(B779,27)&amp;VALUE(RIGHT(B779,1)+1))</f>
        <v/>
      </c>
      <c r="C780" s="6" t="str">
        <f t="shared" ref="C780:D780" si="909">C779</f>
        <v/>
      </c>
      <c r="D780" s="6" t="str">
        <f t="shared" si="909"/>
        <v/>
      </c>
      <c r="E780" s="10" t="str">
        <f>IF(ISBLANK(A776),"",E779+1)</f>
        <v/>
      </c>
      <c r="F780" s="11" t="str">
        <f t="shared" si="907"/>
        <v/>
      </c>
      <c r="G780" s="8"/>
    </row>
    <row r="781">
      <c r="A781" s="12" t="str">
        <f t="shared" si="905"/>
        <v/>
      </c>
      <c r="B781" s="12" t="str">
        <f>IF(ISBLANK(A776),"",LEFT(B780,27)&amp;VALUE(RIGHT(B780,1)+1))</f>
        <v/>
      </c>
      <c r="C781" s="13" t="str">
        <f t="shared" ref="C781:D781" si="910">C780</f>
        <v/>
      </c>
      <c r="D781" s="13" t="str">
        <f t="shared" si="910"/>
        <v/>
      </c>
      <c r="E781" s="14" t="str">
        <f>IF(ISBLANK(A776),"",E780+1)</f>
        <v/>
      </c>
      <c r="F781" s="15" t="str">
        <f t="shared" si="907"/>
        <v/>
      </c>
      <c r="G781" s="16"/>
    </row>
    <row r="782">
      <c r="A782" s="5"/>
      <c r="B782" s="6" t="str">
        <f t="array" ref="B782">IF(ISBLANK(A782),"",IF(A782="PROREP (L)",VLOOKUP(LEFT($A782,6),'Data Feed (35C)'!$A$1:$G$10,2,FALSE),IF(A782="PROREP (S)", INDEX('Data Feed (35C)'!B:B, MATCH(LEFT($A782,6), 'Data Feed (35C)'!$A$1:$A$10, 0) + 1), VLOOKUP($A782,'Data Feed (35C)'!$A$1:$G$10,2,FALSE))))</f>
        <v/>
      </c>
      <c r="C782" s="6" t="str">
        <f t="array" ref="C782">IF(ISBLANK(A782),"",IF(A782="PROREP (L)",VLOOKUP(LEFT($A782,6),'Data Feed (35C)'!$A$1:$G$10,3,FALSE),IF(A782="PROREP (S)", INDEX('Data Feed (35C)'!C:C, MATCH(LEFT($A782,6), 'Data Feed (35C)'!$A$1:$A$10, 0) + 1, +1), VLOOKUP($A782,'Data Feed (35C)'!$A$1:$G$10,3,FALSE))))</f>
        <v/>
      </c>
      <c r="D782" s="6" t="str">
        <f t="array" ref="D782">IF(ISBLANK(A782),"",IF(A782="PROREP (L)",VLOOKUP(LEFT($A782,6),'Data Feed (35C)'!$A$1:$G$10,4,FALSE),IF(A782="PROREP (S)", INDEX('Data Feed (35C)'!D:D, MATCH(LEFT($A782,6), 'Data Feed (35C)'!$A$1:$A$10, 0) + 1, +1), VLOOKUP($A782,'Data Feed (35C)'!$A$1:$G$10,4,FALSE))))</f>
        <v/>
      </c>
      <c r="E782" s="6" t="str">
        <f t="array" ref="E782">IF(ISBLANK(A782),"",IF(A782="PROREP (L)",VLOOKUP(LEFT($A782,6),'Data Feed (35C)'!$A$1:$G$10,7,FALSE),IF(A782="PROREP (S)", INDEX('Data Feed (35C)'!G:G, MATCH(LEFT($A782,6), 'Data Feed (35C)'!$A$1:$A$10, 0) + 1, +1), VLOOKUP($A782,'Data Feed (35C)'!$A$1:$G$10,7,FALSE))))</f>
        <v/>
      </c>
      <c r="F782" s="7"/>
      <c r="G782" s="8"/>
    </row>
    <row r="783">
      <c r="A783" s="9" t="str">
        <f t="shared" ref="A783:A787" si="912">A782</f>
        <v/>
      </c>
      <c r="B783" s="9" t="str">
        <f>IF(ISBLANK(A782),"",LEFT(B782,27)&amp;VALUE(RIGHT(B782,1)+1))</f>
        <v/>
      </c>
      <c r="C783" s="6" t="str">
        <f t="shared" ref="C783:D783" si="911">C782</f>
        <v/>
      </c>
      <c r="D783" s="6" t="str">
        <f t="shared" si="911"/>
        <v/>
      </c>
      <c r="E783" s="10" t="str">
        <f>IF(ISBLANK(A782),"",E782+1)</f>
        <v/>
      </c>
      <c r="F783" s="11" t="str">
        <f t="shared" ref="F783:F787" si="914">F782</f>
        <v/>
      </c>
      <c r="G783" s="8"/>
    </row>
    <row r="784">
      <c r="A784" s="9" t="str">
        <f t="shared" si="912"/>
        <v/>
      </c>
      <c r="B784" s="9" t="str">
        <f>IF(ISBLANK(A782),"",LEFT(B783,27)&amp;VALUE(RIGHT(B783,1)+1))</f>
        <v/>
      </c>
      <c r="C784" s="6" t="str">
        <f t="shared" ref="C784:D784" si="913">C783</f>
        <v/>
      </c>
      <c r="D784" s="6" t="str">
        <f t="shared" si="913"/>
        <v/>
      </c>
      <c r="E784" s="10" t="str">
        <f>IF(ISBLANK(A782),"",E783+1)</f>
        <v/>
      </c>
      <c r="F784" s="11" t="str">
        <f t="shared" si="914"/>
        <v/>
      </c>
      <c r="G784" s="8"/>
    </row>
    <row r="785">
      <c r="A785" s="9" t="str">
        <f t="shared" si="912"/>
        <v/>
      </c>
      <c r="B785" s="9" t="str">
        <f>IF(ISBLANK(A782),"",LEFT(B784,27)&amp;VALUE(RIGHT(B784,1)+1))</f>
        <v/>
      </c>
      <c r="C785" s="6" t="str">
        <f t="shared" ref="C785:D785" si="915">C784</f>
        <v/>
      </c>
      <c r="D785" s="6" t="str">
        <f t="shared" si="915"/>
        <v/>
      </c>
      <c r="E785" s="10" t="str">
        <f>IF(ISBLANK(A782),"",E784+1)</f>
        <v/>
      </c>
      <c r="F785" s="11" t="str">
        <f t="shared" si="914"/>
        <v/>
      </c>
      <c r="G785" s="8"/>
    </row>
    <row r="786">
      <c r="A786" s="9" t="str">
        <f t="shared" si="912"/>
        <v/>
      </c>
      <c r="B786" s="9" t="str">
        <f>IF(ISBLANK(A782),"",LEFT(B785,27)&amp;VALUE(RIGHT(B785,1)+1))</f>
        <v/>
      </c>
      <c r="C786" s="6" t="str">
        <f t="shared" ref="C786:D786" si="916">C785</f>
        <v/>
      </c>
      <c r="D786" s="6" t="str">
        <f t="shared" si="916"/>
        <v/>
      </c>
      <c r="E786" s="10" t="str">
        <f>IF(ISBLANK(A782),"",E785+1)</f>
        <v/>
      </c>
      <c r="F786" s="11" t="str">
        <f t="shared" si="914"/>
        <v/>
      </c>
      <c r="G786" s="8"/>
    </row>
    <row r="787">
      <c r="A787" s="12" t="str">
        <f t="shared" si="912"/>
        <v/>
      </c>
      <c r="B787" s="12" t="str">
        <f>IF(ISBLANK(A782),"",LEFT(B786,27)&amp;VALUE(RIGHT(B786,1)+1))</f>
        <v/>
      </c>
      <c r="C787" s="13" t="str">
        <f t="shared" ref="C787:D787" si="917">C786</f>
        <v/>
      </c>
      <c r="D787" s="13" t="str">
        <f t="shared" si="917"/>
        <v/>
      </c>
      <c r="E787" s="14" t="str">
        <f>IF(ISBLANK(A782),"",E786+1)</f>
        <v/>
      </c>
      <c r="F787" s="15" t="str">
        <f t="shared" si="914"/>
        <v/>
      </c>
      <c r="G787" s="16"/>
    </row>
    <row r="788">
      <c r="A788" s="5"/>
      <c r="B788" s="6" t="str">
        <f t="array" ref="B788">IF(ISBLANK(A788),"",IF(A788="PROREP (L)",VLOOKUP(LEFT($A788,6),'Data Feed (35C)'!$A$1:$G$10,2,FALSE),IF(A788="PROREP (S)", INDEX('Data Feed (35C)'!B:B, MATCH(LEFT($A788,6), 'Data Feed (35C)'!$A$1:$A$10, 0) + 1), VLOOKUP($A788,'Data Feed (35C)'!$A$1:$G$10,2,FALSE))))</f>
        <v/>
      </c>
      <c r="C788" s="6" t="str">
        <f t="array" ref="C788">IF(ISBLANK(A788),"",IF(A788="PROREP (L)",VLOOKUP(LEFT($A788,6),'Data Feed (35C)'!$A$1:$G$10,3,FALSE),IF(A788="PROREP (S)", INDEX('Data Feed (35C)'!C:C, MATCH(LEFT($A788,6), 'Data Feed (35C)'!$A$1:$A$10, 0) + 1, +1), VLOOKUP($A788,'Data Feed (35C)'!$A$1:$G$10,3,FALSE))))</f>
        <v/>
      </c>
      <c r="D788" s="6" t="str">
        <f t="array" ref="D788">IF(ISBLANK(A788),"",IF(A788="PROREP (L)",VLOOKUP(LEFT($A788,6),'Data Feed (35C)'!$A$1:$G$10,4,FALSE),IF(A788="PROREP (S)", INDEX('Data Feed (35C)'!D:D, MATCH(LEFT($A788,6), 'Data Feed (35C)'!$A$1:$A$10, 0) + 1, +1), VLOOKUP($A788,'Data Feed (35C)'!$A$1:$G$10,4,FALSE))))</f>
        <v/>
      </c>
      <c r="E788" s="6" t="str">
        <f t="array" ref="E788">IF(ISBLANK(A788),"",IF(A788="PROREP (L)",VLOOKUP(LEFT($A788,6),'Data Feed (35C)'!$A$1:$G$10,7,FALSE),IF(A788="PROREP (S)", INDEX('Data Feed (35C)'!G:G, MATCH(LEFT($A788,6), 'Data Feed (35C)'!$A$1:$A$10, 0) + 1, +1), VLOOKUP($A788,'Data Feed (35C)'!$A$1:$G$10,7,FALSE))))</f>
        <v/>
      </c>
      <c r="F788" s="7"/>
      <c r="G788" s="8"/>
    </row>
    <row r="789">
      <c r="A789" s="9" t="str">
        <f t="shared" ref="A789:A793" si="919">A788</f>
        <v/>
      </c>
      <c r="B789" s="9" t="str">
        <f>IF(ISBLANK(A788),"",LEFT(B788,27)&amp;VALUE(RIGHT(B788,1)+1))</f>
        <v/>
      </c>
      <c r="C789" s="6" t="str">
        <f t="shared" ref="C789:D789" si="918">C788</f>
        <v/>
      </c>
      <c r="D789" s="6" t="str">
        <f t="shared" si="918"/>
        <v/>
      </c>
      <c r="E789" s="10" t="str">
        <f>IF(ISBLANK(A788),"",E788+1)</f>
        <v/>
      </c>
      <c r="F789" s="11" t="str">
        <f t="shared" ref="F789:F793" si="921">F788</f>
        <v/>
      </c>
      <c r="G789" s="8"/>
    </row>
    <row r="790">
      <c r="A790" s="9" t="str">
        <f t="shared" si="919"/>
        <v/>
      </c>
      <c r="B790" s="9" t="str">
        <f>IF(ISBLANK(A788),"",LEFT(B789,27)&amp;VALUE(RIGHT(B789,1)+1))</f>
        <v/>
      </c>
      <c r="C790" s="6" t="str">
        <f t="shared" ref="C790:D790" si="920">C789</f>
        <v/>
      </c>
      <c r="D790" s="6" t="str">
        <f t="shared" si="920"/>
        <v/>
      </c>
      <c r="E790" s="10" t="str">
        <f>IF(ISBLANK(A788),"",E789+1)</f>
        <v/>
      </c>
      <c r="F790" s="11" t="str">
        <f t="shared" si="921"/>
        <v/>
      </c>
      <c r="G790" s="8"/>
    </row>
    <row r="791">
      <c r="A791" s="9" t="str">
        <f t="shared" si="919"/>
        <v/>
      </c>
      <c r="B791" s="9" t="str">
        <f>IF(ISBLANK(A788),"",LEFT(B790,27)&amp;VALUE(RIGHT(B790,1)+1))</f>
        <v/>
      </c>
      <c r="C791" s="6" t="str">
        <f t="shared" ref="C791:D791" si="922">C790</f>
        <v/>
      </c>
      <c r="D791" s="6" t="str">
        <f t="shared" si="922"/>
        <v/>
      </c>
      <c r="E791" s="10" t="str">
        <f>IF(ISBLANK(A788),"",E790+1)</f>
        <v/>
      </c>
      <c r="F791" s="11" t="str">
        <f t="shared" si="921"/>
        <v/>
      </c>
      <c r="G791" s="8"/>
    </row>
    <row r="792">
      <c r="A792" s="9" t="str">
        <f t="shared" si="919"/>
        <v/>
      </c>
      <c r="B792" s="9" t="str">
        <f>IF(ISBLANK(A788),"",LEFT(B791,27)&amp;VALUE(RIGHT(B791,1)+1))</f>
        <v/>
      </c>
      <c r="C792" s="6" t="str">
        <f t="shared" ref="C792:D792" si="923">C791</f>
        <v/>
      </c>
      <c r="D792" s="6" t="str">
        <f t="shared" si="923"/>
        <v/>
      </c>
      <c r="E792" s="10" t="str">
        <f>IF(ISBLANK(A788),"",E791+1)</f>
        <v/>
      </c>
      <c r="F792" s="11" t="str">
        <f t="shared" si="921"/>
        <v/>
      </c>
      <c r="G792" s="8"/>
    </row>
    <row r="793">
      <c r="A793" s="12" t="str">
        <f t="shared" si="919"/>
        <v/>
      </c>
      <c r="B793" s="12" t="str">
        <f>IF(ISBLANK(A788),"",LEFT(B792,27)&amp;VALUE(RIGHT(B792,1)+1))</f>
        <v/>
      </c>
      <c r="C793" s="13" t="str">
        <f t="shared" ref="C793:D793" si="924">C792</f>
        <v/>
      </c>
      <c r="D793" s="13" t="str">
        <f t="shared" si="924"/>
        <v/>
      </c>
      <c r="E793" s="14" t="str">
        <f>IF(ISBLANK(A788),"",E792+1)</f>
        <v/>
      </c>
      <c r="F793" s="15" t="str">
        <f t="shared" si="921"/>
        <v/>
      </c>
      <c r="G793" s="16"/>
    </row>
    <row r="794">
      <c r="A794" s="5"/>
      <c r="B794" s="6" t="str">
        <f t="array" ref="B794">IF(ISBLANK(A794),"",IF(A794="PROREP (L)",VLOOKUP(LEFT($A794,6),'Data Feed (35C)'!$A$1:$G$10,2,FALSE),IF(A794="PROREP (S)", INDEX('Data Feed (35C)'!B:B, MATCH(LEFT($A794,6), 'Data Feed (35C)'!$A$1:$A$10, 0) + 1), VLOOKUP($A794,'Data Feed (35C)'!$A$1:$G$10,2,FALSE))))</f>
        <v/>
      </c>
      <c r="C794" s="6" t="str">
        <f t="array" ref="C794">IF(ISBLANK(A794),"",IF(A794="PROREP (L)",VLOOKUP(LEFT($A794,6),'Data Feed (35C)'!$A$1:$G$10,3,FALSE),IF(A794="PROREP (S)", INDEX('Data Feed (35C)'!C:C, MATCH(LEFT($A794,6), 'Data Feed (35C)'!$A$1:$A$10, 0) + 1, +1), VLOOKUP($A794,'Data Feed (35C)'!$A$1:$G$10,3,FALSE))))</f>
        <v/>
      </c>
      <c r="D794" s="6" t="str">
        <f t="array" ref="D794">IF(ISBLANK(A794),"",IF(A794="PROREP (L)",VLOOKUP(LEFT($A794,6),'Data Feed (35C)'!$A$1:$G$10,4,FALSE),IF(A794="PROREP (S)", INDEX('Data Feed (35C)'!D:D, MATCH(LEFT($A794,6), 'Data Feed (35C)'!$A$1:$A$10, 0) + 1, +1), VLOOKUP($A794,'Data Feed (35C)'!$A$1:$G$10,4,FALSE))))</f>
        <v/>
      </c>
      <c r="E794" s="6" t="str">
        <f t="array" ref="E794">IF(ISBLANK(A794),"",IF(A794="PROREP (L)",VLOOKUP(LEFT($A794,6),'Data Feed (35C)'!$A$1:$G$10,7,FALSE),IF(A794="PROREP (S)", INDEX('Data Feed (35C)'!G:G, MATCH(LEFT($A794,6), 'Data Feed (35C)'!$A$1:$A$10, 0) + 1, +1), VLOOKUP($A794,'Data Feed (35C)'!$A$1:$G$10,7,FALSE))))</f>
        <v/>
      </c>
      <c r="F794" s="7"/>
      <c r="G794" s="8"/>
    </row>
    <row r="795">
      <c r="A795" s="9" t="str">
        <f t="shared" ref="A795:A799" si="926">A794</f>
        <v/>
      </c>
      <c r="B795" s="9" t="str">
        <f>IF(ISBLANK(A794),"",LEFT(B794,27)&amp;VALUE(RIGHT(B794,1)+1))</f>
        <v/>
      </c>
      <c r="C795" s="6" t="str">
        <f t="shared" ref="C795:D795" si="925">C794</f>
        <v/>
      </c>
      <c r="D795" s="6" t="str">
        <f t="shared" si="925"/>
        <v/>
      </c>
      <c r="E795" s="10" t="str">
        <f>IF(ISBLANK(A794),"",E794+1)</f>
        <v/>
      </c>
      <c r="F795" s="11" t="str">
        <f t="shared" ref="F795:F799" si="928">F794</f>
        <v/>
      </c>
      <c r="G795" s="8"/>
    </row>
    <row r="796">
      <c r="A796" s="9" t="str">
        <f t="shared" si="926"/>
        <v/>
      </c>
      <c r="B796" s="9" t="str">
        <f>IF(ISBLANK(A794),"",LEFT(B795,27)&amp;VALUE(RIGHT(B795,1)+1))</f>
        <v/>
      </c>
      <c r="C796" s="6" t="str">
        <f t="shared" ref="C796:D796" si="927">C795</f>
        <v/>
      </c>
      <c r="D796" s="6" t="str">
        <f t="shared" si="927"/>
        <v/>
      </c>
      <c r="E796" s="10" t="str">
        <f>IF(ISBLANK(A794),"",E795+1)</f>
        <v/>
      </c>
      <c r="F796" s="11" t="str">
        <f t="shared" si="928"/>
        <v/>
      </c>
      <c r="G796" s="8"/>
    </row>
    <row r="797">
      <c r="A797" s="9" t="str">
        <f t="shared" si="926"/>
        <v/>
      </c>
      <c r="B797" s="9" t="str">
        <f>IF(ISBLANK(A794),"",LEFT(B796,27)&amp;VALUE(RIGHT(B796,1)+1))</f>
        <v/>
      </c>
      <c r="C797" s="6" t="str">
        <f t="shared" ref="C797:D797" si="929">C796</f>
        <v/>
      </c>
      <c r="D797" s="6" t="str">
        <f t="shared" si="929"/>
        <v/>
      </c>
      <c r="E797" s="10" t="str">
        <f>IF(ISBLANK(A794),"",E796+1)</f>
        <v/>
      </c>
      <c r="F797" s="11" t="str">
        <f t="shared" si="928"/>
        <v/>
      </c>
      <c r="G797" s="8"/>
    </row>
    <row r="798">
      <c r="A798" s="9" t="str">
        <f t="shared" si="926"/>
        <v/>
      </c>
      <c r="B798" s="9" t="str">
        <f>IF(ISBLANK(A794),"",LEFT(B797,27)&amp;VALUE(RIGHT(B797,1)+1))</f>
        <v/>
      </c>
      <c r="C798" s="6" t="str">
        <f t="shared" ref="C798:D798" si="930">C797</f>
        <v/>
      </c>
      <c r="D798" s="6" t="str">
        <f t="shared" si="930"/>
        <v/>
      </c>
      <c r="E798" s="10" t="str">
        <f>IF(ISBLANK(A794),"",E797+1)</f>
        <v/>
      </c>
      <c r="F798" s="11" t="str">
        <f t="shared" si="928"/>
        <v/>
      </c>
      <c r="G798" s="8"/>
    </row>
    <row r="799">
      <c r="A799" s="12" t="str">
        <f t="shared" si="926"/>
        <v/>
      </c>
      <c r="B799" s="12" t="str">
        <f>IF(ISBLANK(A794),"",LEFT(B798,27)&amp;VALUE(RIGHT(B798,1)+1))</f>
        <v/>
      </c>
      <c r="C799" s="13" t="str">
        <f t="shared" ref="C799:D799" si="931">C798</f>
        <v/>
      </c>
      <c r="D799" s="13" t="str">
        <f t="shared" si="931"/>
        <v/>
      </c>
      <c r="E799" s="14" t="str">
        <f>IF(ISBLANK(A794),"",E798+1)</f>
        <v/>
      </c>
      <c r="F799" s="15" t="str">
        <f t="shared" si="928"/>
        <v/>
      </c>
      <c r="G799" s="16"/>
    </row>
    <row r="800">
      <c r="A800" s="5"/>
      <c r="B800" s="6" t="str">
        <f t="array" ref="B800">IF(ISBLANK(A800),"",IF(A800="PROREP (L)",VLOOKUP(LEFT($A800,6),'Data Feed (35C)'!$A$1:$G$10,2,FALSE),IF(A800="PROREP (S)", INDEX('Data Feed (35C)'!B:B, MATCH(LEFT($A800,6), 'Data Feed (35C)'!$A$1:$A$10, 0) + 1), VLOOKUP($A800,'Data Feed (35C)'!$A$1:$G$10,2,FALSE))))</f>
        <v/>
      </c>
      <c r="C800" s="6" t="str">
        <f t="array" ref="C800">IF(ISBLANK(A800),"",IF(A800="PROREP (L)",VLOOKUP(LEFT($A800,6),'Data Feed (35C)'!$A$1:$G$10,3,FALSE),IF(A800="PROREP (S)", INDEX('Data Feed (35C)'!C:C, MATCH(LEFT($A800,6), 'Data Feed (35C)'!$A$1:$A$10, 0) + 1, +1), VLOOKUP($A800,'Data Feed (35C)'!$A$1:$G$10,3,FALSE))))</f>
        <v/>
      </c>
      <c r="D800" s="6" t="str">
        <f t="array" ref="D800">IF(ISBLANK(A800),"",IF(A800="PROREP (L)",VLOOKUP(LEFT($A800,6),'Data Feed (35C)'!$A$1:$G$10,4,FALSE),IF(A800="PROREP (S)", INDEX('Data Feed (35C)'!D:D, MATCH(LEFT($A800,6), 'Data Feed (35C)'!$A$1:$A$10, 0) + 1, +1), VLOOKUP($A800,'Data Feed (35C)'!$A$1:$G$10,4,FALSE))))</f>
        <v/>
      </c>
      <c r="E800" s="6" t="str">
        <f t="array" ref="E800">IF(ISBLANK(A800),"",IF(A800="PROREP (L)",VLOOKUP(LEFT($A800,6),'Data Feed (35C)'!$A$1:$G$10,7,FALSE),IF(A800="PROREP (S)", INDEX('Data Feed (35C)'!G:G, MATCH(LEFT($A800,6), 'Data Feed (35C)'!$A$1:$A$10, 0) + 1, +1), VLOOKUP($A800,'Data Feed (35C)'!$A$1:$G$10,7,FALSE))))</f>
        <v/>
      </c>
      <c r="F800" s="7"/>
      <c r="G800" s="8"/>
    </row>
    <row r="801">
      <c r="A801" s="9" t="str">
        <f t="shared" ref="A801:A805" si="933">A800</f>
        <v/>
      </c>
      <c r="B801" s="9" t="str">
        <f>IF(ISBLANK(A800),"",LEFT(B800,27)&amp;VALUE(RIGHT(B800,1)+1))</f>
        <v/>
      </c>
      <c r="C801" s="6" t="str">
        <f t="shared" ref="C801:D801" si="932">C800</f>
        <v/>
      </c>
      <c r="D801" s="6" t="str">
        <f t="shared" si="932"/>
        <v/>
      </c>
      <c r="E801" s="10" t="str">
        <f>IF(ISBLANK(A800),"",E800+1)</f>
        <v/>
      </c>
      <c r="F801" s="11" t="str">
        <f t="shared" ref="F801:F805" si="935">F800</f>
        <v/>
      </c>
      <c r="G801" s="8"/>
    </row>
    <row r="802">
      <c r="A802" s="9" t="str">
        <f t="shared" si="933"/>
        <v/>
      </c>
      <c r="B802" s="9" t="str">
        <f>IF(ISBLANK(A800),"",LEFT(B801,27)&amp;VALUE(RIGHT(B801,1)+1))</f>
        <v/>
      </c>
      <c r="C802" s="6" t="str">
        <f t="shared" ref="C802:D802" si="934">C801</f>
        <v/>
      </c>
      <c r="D802" s="6" t="str">
        <f t="shared" si="934"/>
        <v/>
      </c>
      <c r="E802" s="10" t="str">
        <f>IF(ISBLANK(A800),"",E801+1)</f>
        <v/>
      </c>
      <c r="F802" s="11" t="str">
        <f t="shared" si="935"/>
        <v/>
      </c>
      <c r="G802" s="8"/>
    </row>
    <row r="803">
      <c r="A803" s="9" t="str">
        <f t="shared" si="933"/>
        <v/>
      </c>
      <c r="B803" s="9" t="str">
        <f>IF(ISBLANK(A800),"",LEFT(B802,27)&amp;VALUE(RIGHT(B802,1)+1))</f>
        <v/>
      </c>
      <c r="C803" s="6" t="str">
        <f t="shared" ref="C803:D803" si="936">C802</f>
        <v/>
      </c>
      <c r="D803" s="6" t="str">
        <f t="shared" si="936"/>
        <v/>
      </c>
      <c r="E803" s="10" t="str">
        <f>IF(ISBLANK(A800),"",E802+1)</f>
        <v/>
      </c>
      <c r="F803" s="11" t="str">
        <f t="shared" si="935"/>
        <v/>
      </c>
      <c r="G803" s="8"/>
    </row>
    <row r="804">
      <c r="A804" s="9" t="str">
        <f t="shared" si="933"/>
        <v/>
      </c>
      <c r="B804" s="9" t="str">
        <f>IF(ISBLANK(A800),"",LEFT(B803,27)&amp;VALUE(RIGHT(B803,1)+1))</f>
        <v/>
      </c>
      <c r="C804" s="6" t="str">
        <f t="shared" ref="C804:D804" si="937">C803</f>
        <v/>
      </c>
      <c r="D804" s="6" t="str">
        <f t="shared" si="937"/>
        <v/>
      </c>
      <c r="E804" s="10" t="str">
        <f>IF(ISBLANK(A800),"",E803+1)</f>
        <v/>
      </c>
      <c r="F804" s="11" t="str">
        <f t="shared" si="935"/>
        <v/>
      </c>
      <c r="G804" s="8"/>
    </row>
    <row r="805">
      <c r="A805" s="12" t="str">
        <f t="shared" si="933"/>
        <v/>
      </c>
      <c r="B805" s="12" t="str">
        <f>IF(ISBLANK(A800),"",LEFT(B804,27)&amp;VALUE(RIGHT(B804,1)+1))</f>
        <v/>
      </c>
      <c r="C805" s="13" t="str">
        <f t="shared" ref="C805:D805" si="938">C804</f>
        <v/>
      </c>
      <c r="D805" s="13" t="str">
        <f t="shared" si="938"/>
        <v/>
      </c>
      <c r="E805" s="14" t="str">
        <f>IF(ISBLANK(A800),"",E804+1)</f>
        <v/>
      </c>
      <c r="F805" s="15" t="str">
        <f t="shared" si="935"/>
        <v/>
      </c>
      <c r="G805" s="16"/>
    </row>
    <row r="806">
      <c r="A806" s="5"/>
      <c r="B806" s="6" t="str">
        <f t="array" ref="B806">IF(ISBLANK(A806),"",IF(A806="PROREP (L)",VLOOKUP(LEFT($A806,6),'Data Feed (35C)'!$A$1:$G$10,2,FALSE),IF(A806="PROREP (S)", INDEX('Data Feed (35C)'!B:B, MATCH(LEFT($A806,6), 'Data Feed (35C)'!$A$1:$A$10, 0) + 1), VLOOKUP($A806,'Data Feed (35C)'!$A$1:$G$10,2,FALSE))))</f>
        <v/>
      </c>
      <c r="C806" s="6" t="str">
        <f t="array" ref="C806">IF(ISBLANK(A806),"",IF(A806="PROREP (L)",VLOOKUP(LEFT($A806,6),'Data Feed (35C)'!$A$1:$G$10,3,FALSE),IF(A806="PROREP (S)", INDEX('Data Feed (35C)'!C:C, MATCH(LEFT($A806,6), 'Data Feed (35C)'!$A$1:$A$10, 0) + 1, +1), VLOOKUP($A806,'Data Feed (35C)'!$A$1:$G$10,3,FALSE))))</f>
        <v/>
      </c>
      <c r="D806" s="6" t="str">
        <f t="array" ref="D806">IF(ISBLANK(A806),"",IF(A806="PROREP (L)",VLOOKUP(LEFT($A806,6),'Data Feed (35C)'!$A$1:$G$10,4,FALSE),IF(A806="PROREP (S)", INDEX('Data Feed (35C)'!D:D, MATCH(LEFT($A806,6), 'Data Feed (35C)'!$A$1:$A$10, 0) + 1, +1), VLOOKUP($A806,'Data Feed (35C)'!$A$1:$G$10,4,FALSE))))</f>
        <v/>
      </c>
      <c r="E806" s="6" t="str">
        <f t="array" ref="E806">IF(ISBLANK(A806),"",IF(A806="PROREP (L)",VLOOKUP(LEFT($A806,6),'Data Feed (35C)'!$A$1:$G$10,7,FALSE),IF(A806="PROREP (S)", INDEX('Data Feed (35C)'!G:G, MATCH(LEFT($A806,6), 'Data Feed (35C)'!$A$1:$A$10, 0) + 1, +1), VLOOKUP($A806,'Data Feed (35C)'!$A$1:$G$10,7,FALSE))))</f>
        <v/>
      </c>
      <c r="F806" s="7"/>
      <c r="G806" s="8"/>
    </row>
    <row r="807">
      <c r="A807" s="9" t="str">
        <f t="shared" ref="A807:A811" si="940">A806</f>
        <v/>
      </c>
      <c r="B807" s="9" t="str">
        <f>IF(ISBLANK(A806),"",LEFT(B806,27)&amp;VALUE(RIGHT(B806,1)+1))</f>
        <v/>
      </c>
      <c r="C807" s="6" t="str">
        <f t="shared" ref="C807:D807" si="939">C806</f>
        <v/>
      </c>
      <c r="D807" s="6" t="str">
        <f t="shared" si="939"/>
        <v/>
      </c>
      <c r="E807" s="10" t="str">
        <f>IF(ISBLANK(A806),"",E806+1)</f>
        <v/>
      </c>
      <c r="F807" s="11" t="str">
        <f t="shared" ref="F807:F811" si="942">F806</f>
        <v/>
      </c>
      <c r="G807" s="8"/>
    </row>
    <row r="808">
      <c r="A808" s="9" t="str">
        <f t="shared" si="940"/>
        <v/>
      </c>
      <c r="B808" s="9" t="str">
        <f>IF(ISBLANK(A806),"",LEFT(B807,27)&amp;VALUE(RIGHT(B807,1)+1))</f>
        <v/>
      </c>
      <c r="C808" s="6" t="str">
        <f t="shared" ref="C808:D808" si="941">C807</f>
        <v/>
      </c>
      <c r="D808" s="6" t="str">
        <f t="shared" si="941"/>
        <v/>
      </c>
      <c r="E808" s="10" t="str">
        <f>IF(ISBLANK(A806),"",E807+1)</f>
        <v/>
      </c>
      <c r="F808" s="11" t="str">
        <f t="shared" si="942"/>
        <v/>
      </c>
      <c r="G808" s="8"/>
    </row>
    <row r="809">
      <c r="A809" s="9" t="str">
        <f t="shared" si="940"/>
        <v/>
      </c>
      <c r="B809" s="9" t="str">
        <f>IF(ISBLANK(A806),"",LEFT(B808,27)&amp;VALUE(RIGHT(B808,1)+1))</f>
        <v/>
      </c>
      <c r="C809" s="6" t="str">
        <f t="shared" ref="C809:D809" si="943">C808</f>
        <v/>
      </c>
      <c r="D809" s="6" t="str">
        <f t="shared" si="943"/>
        <v/>
      </c>
      <c r="E809" s="10" t="str">
        <f>IF(ISBLANK(A806),"",E808+1)</f>
        <v/>
      </c>
      <c r="F809" s="11" t="str">
        <f t="shared" si="942"/>
        <v/>
      </c>
      <c r="G809" s="8"/>
    </row>
    <row r="810">
      <c r="A810" s="9" t="str">
        <f t="shared" si="940"/>
        <v/>
      </c>
      <c r="B810" s="9" t="str">
        <f>IF(ISBLANK(A806),"",LEFT(B809,27)&amp;VALUE(RIGHT(B809,1)+1))</f>
        <v/>
      </c>
      <c r="C810" s="6" t="str">
        <f t="shared" ref="C810:D810" si="944">C809</f>
        <v/>
      </c>
      <c r="D810" s="6" t="str">
        <f t="shared" si="944"/>
        <v/>
      </c>
      <c r="E810" s="10" t="str">
        <f>IF(ISBLANK(A806),"",E809+1)</f>
        <v/>
      </c>
      <c r="F810" s="11" t="str">
        <f t="shared" si="942"/>
        <v/>
      </c>
      <c r="G810" s="8"/>
    </row>
    <row r="811">
      <c r="A811" s="12" t="str">
        <f t="shared" si="940"/>
        <v/>
      </c>
      <c r="B811" s="12" t="str">
        <f>IF(ISBLANK(A806),"",LEFT(B810,27)&amp;VALUE(RIGHT(B810,1)+1))</f>
        <v/>
      </c>
      <c r="C811" s="13" t="str">
        <f t="shared" ref="C811:D811" si="945">C810</f>
        <v/>
      </c>
      <c r="D811" s="13" t="str">
        <f t="shared" si="945"/>
        <v/>
      </c>
      <c r="E811" s="14" t="str">
        <f>IF(ISBLANK(A806),"",E810+1)</f>
        <v/>
      </c>
      <c r="F811" s="15" t="str">
        <f t="shared" si="942"/>
        <v/>
      </c>
      <c r="G811" s="16"/>
    </row>
    <row r="812">
      <c r="A812" s="5"/>
      <c r="B812" s="6" t="str">
        <f t="array" ref="B812">IF(ISBLANK(A812),"",IF(A812="PROREP (L)",VLOOKUP(LEFT($A812,6),'Data Feed (35C)'!$A$1:$G$10,2,FALSE),IF(A812="PROREP (S)", INDEX('Data Feed (35C)'!B:B, MATCH(LEFT($A812,6), 'Data Feed (35C)'!$A$1:$A$10, 0) + 1), VLOOKUP($A812,'Data Feed (35C)'!$A$1:$G$10,2,FALSE))))</f>
        <v/>
      </c>
      <c r="C812" s="6" t="str">
        <f t="array" ref="C812">IF(ISBLANK(A812),"",IF(A812="PROREP (L)",VLOOKUP(LEFT($A812,6),'Data Feed (35C)'!$A$1:$G$10,3,FALSE),IF(A812="PROREP (S)", INDEX('Data Feed (35C)'!C:C, MATCH(LEFT($A812,6), 'Data Feed (35C)'!$A$1:$A$10, 0) + 1, +1), VLOOKUP($A812,'Data Feed (35C)'!$A$1:$G$10,3,FALSE))))</f>
        <v/>
      </c>
      <c r="D812" s="6" t="str">
        <f t="array" ref="D812">IF(ISBLANK(A812),"",IF(A812="PROREP (L)",VLOOKUP(LEFT($A812,6),'Data Feed (35C)'!$A$1:$G$10,4,FALSE),IF(A812="PROREP (S)", INDEX('Data Feed (35C)'!D:D, MATCH(LEFT($A812,6), 'Data Feed (35C)'!$A$1:$A$10, 0) + 1, +1), VLOOKUP($A812,'Data Feed (35C)'!$A$1:$G$10,4,FALSE))))</f>
        <v/>
      </c>
      <c r="E812" s="6" t="str">
        <f t="array" ref="E812">IF(ISBLANK(A812),"",IF(A812="PROREP (L)",VLOOKUP(LEFT($A812,6),'Data Feed (35C)'!$A$1:$G$10,7,FALSE),IF(A812="PROREP (S)", INDEX('Data Feed (35C)'!G:G, MATCH(LEFT($A812,6), 'Data Feed (35C)'!$A$1:$A$10, 0) + 1, +1), VLOOKUP($A812,'Data Feed (35C)'!$A$1:$G$10,7,FALSE))))</f>
        <v/>
      </c>
      <c r="F812" s="7"/>
      <c r="G812" s="8"/>
    </row>
    <row r="813">
      <c r="A813" s="9" t="str">
        <f t="shared" ref="A813:A817" si="947">A812</f>
        <v/>
      </c>
      <c r="B813" s="9" t="str">
        <f>IF(ISBLANK(A812),"",LEFT(B812,27)&amp;VALUE(RIGHT(B812,1)+1))</f>
        <v/>
      </c>
      <c r="C813" s="6" t="str">
        <f t="shared" ref="C813:D813" si="946">C812</f>
        <v/>
      </c>
      <c r="D813" s="6" t="str">
        <f t="shared" si="946"/>
        <v/>
      </c>
      <c r="E813" s="10" t="str">
        <f>IF(ISBLANK(A812),"",E812+1)</f>
        <v/>
      </c>
      <c r="F813" s="11" t="str">
        <f t="shared" ref="F813:F817" si="949">F812</f>
        <v/>
      </c>
      <c r="G813" s="8"/>
    </row>
    <row r="814">
      <c r="A814" s="9" t="str">
        <f t="shared" si="947"/>
        <v/>
      </c>
      <c r="B814" s="9" t="str">
        <f>IF(ISBLANK(A812),"",LEFT(B813,27)&amp;VALUE(RIGHT(B813,1)+1))</f>
        <v/>
      </c>
      <c r="C814" s="6" t="str">
        <f t="shared" ref="C814:D814" si="948">C813</f>
        <v/>
      </c>
      <c r="D814" s="6" t="str">
        <f t="shared" si="948"/>
        <v/>
      </c>
      <c r="E814" s="10" t="str">
        <f>IF(ISBLANK(A812),"",E813+1)</f>
        <v/>
      </c>
      <c r="F814" s="11" t="str">
        <f t="shared" si="949"/>
        <v/>
      </c>
      <c r="G814" s="8"/>
    </row>
    <row r="815">
      <c r="A815" s="9" t="str">
        <f t="shared" si="947"/>
        <v/>
      </c>
      <c r="B815" s="9" t="str">
        <f>IF(ISBLANK(A812),"",LEFT(B814,27)&amp;VALUE(RIGHT(B814,1)+1))</f>
        <v/>
      </c>
      <c r="C815" s="6" t="str">
        <f t="shared" ref="C815:D815" si="950">C814</f>
        <v/>
      </c>
      <c r="D815" s="6" t="str">
        <f t="shared" si="950"/>
        <v/>
      </c>
      <c r="E815" s="10" t="str">
        <f>IF(ISBLANK(A812),"",E814+1)</f>
        <v/>
      </c>
      <c r="F815" s="11" t="str">
        <f t="shared" si="949"/>
        <v/>
      </c>
      <c r="G815" s="8"/>
    </row>
    <row r="816">
      <c r="A816" s="9" t="str">
        <f t="shared" si="947"/>
        <v/>
      </c>
      <c r="B816" s="9" t="str">
        <f>IF(ISBLANK(A812),"",LEFT(B815,27)&amp;VALUE(RIGHT(B815,1)+1))</f>
        <v/>
      </c>
      <c r="C816" s="6" t="str">
        <f t="shared" ref="C816:D816" si="951">C815</f>
        <v/>
      </c>
      <c r="D816" s="6" t="str">
        <f t="shared" si="951"/>
        <v/>
      </c>
      <c r="E816" s="10" t="str">
        <f>IF(ISBLANK(A812),"",E815+1)</f>
        <v/>
      </c>
      <c r="F816" s="11" t="str">
        <f t="shared" si="949"/>
        <v/>
      </c>
      <c r="G816" s="8"/>
    </row>
    <row r="817">
      <c r="A817" s="12" t="str">
        <f t="shared" si="947"/>
        <v/>
      </c>
      <c r="B817" s="12" t="str">
        <f>IF(ISBLANK(A812),"",LEFT(B816,27)&amp;VALUE(RIGHT(B816,1)+1))</f>
        <v/>
      </c>
      <c r="C817" s="13" t="str">
        <f t="shared" ref="C817:D817" si="952">C816</f>
        <v/>
      </c>
      <c r="D817" s="13" t="str">
        <f t="shared" si="952"/>
        <v/>
      </c>
      <c r="E817" s="14" t="str">
        <f>IF(ISBLANK(A812),"",E816+1)</f>
        <v/>
      </c>
      <c r="F817" s="15" t="str">
        <f t="shared" si="949"/>
        <v/>
      </c>
      <c r="G817" s="16"/>
    </row>
    <row r="818">
      <c r="A818" s="5"/>
      <c r="B818" s="6" t="str">
        <f t="array" ref="B818">IF(ISBLANK(A818),"",IF(A818="PROREP (L)",VLOOKUP(LEFT($A818,6),'Data Feed (35C)'!$A$1:$G$10,2,FALSE),IF(A818="PROREP (S)", INDEX('Data Feed (35C)'!B:B, MATCH(LEFT($A818,6), 'Data Feed (35C)'!$A$1:$A$10, 0) + 1), VLOOKUP($A818,'Data Feed (35C)'!$A$1:$G$10,2,FALSE))))</f>
        <v/>
      </c>
      <c r="C818" s="6" t="str">
        <f t="array" ref="C818">IF(ISBLANK(A818),"",IF(A818="PROREP (L)",VLOOKUP(LEFT($A818,6),'Data Feed (35C)'!$A$1:$G$10,3,FALSE),IF(A818="PROREP (S)", INDEX('Data Feed (35C)'!C:C, MATCH(LEFT($A818,6), 'Data Feed (35C)'!$A$1:$A$10, 0) + 1, +1), VLOOKUP($A818,'Data Feed (35C)'!$A$1:$G$10,3,FALSE))))</f>
        <v/>
      </c>
      <c r="D818" s="6" t="str">
        <f t="array" ref="D818">IF(ISBLANK(A818),"",IF(A818="PROREP (L)",VLOOKUP(LEFT($A818,6),'Data Feed (35C)'!$A$1:$G$10,4,FALSE),IF(A818="PROREP (S)", INDEX('Data Feed (35C)'!D:D, MATCH(LEFT($A818,6), 'Data Feed (35C)'!$A$1:$A$10, 0) + 1, +1), VLOOKUP($A818,'Data Feed (35C)'!$A$1:$G$10,4,FALSE))))</f>
        <v/>
      </c>
      <c r="E818" s="6" t="str">
        <f t="array" ref="E818">IF(ISBLANK(A818),"",IF(A818="PROREP (L)",VLOOKUP(LEFT($A818,6),'Data Feed (35C)'!$A$1:$G$10,7,FALSE),IF(A818="PROREP (S)", INDEX('Data Feed (35C)'!G:G, MATCH(LEFT($A818,6), 'Data Feed (35C)'!$A$1:$A$10, 0) + 1, +1), VLOOKUP($A818,'Data Feed (35C)'!$A$1:$G$10,7,FALSE))))</f>
        <v/>
      </c>
      <c r="F818" s="7"/>
      <c r="G818" s="8"/>
    </row>
    <row r="819">
      <c r="A819" s="9" t="str">
        <f t="shared" ref="A819:A823" si="954">A818</f>
        <v/>
      </c>
      <c r="B819" s="9" t="str">
        <f>IF(ISBLANK(A818),"",LEFT(B818,27)&amp;VALUE(RIGHT(B818,1)+1))</f>
        <v/>
      </c>
      <c r="C819" s="6" t="str">
        <f t="shared" ref="C819:D819" si="953">C818</f>
        <v/>
      </c>
      <c r="D819" s="6" t="str">
        <f t="shared" si="953"/>
        <v/>
      </c>
      <c r="E819" s="10" t="str">
        <f>IF(ISBLANK(A818),"",E818+1)</f>
        <v/>
      </c>
      <c r="F819" s="11" t="str">
        <f t="shared" ref="F819:F823" si="956">F818</f>
        <v/>
      </c>
      <c r="G819" s="8"/>
    </row>
    <row r="820">
      <c r="A820" s="9" t="str">
        <f t="shared" si="954"/>
        <v/>
      </c>
      <c r="B820" s="9" t="str">
        <f>IF(ISBLANK(A818),"",LEFT(B819,27)&amp;VALUE(RIGHT(B819,1)+1))</f>
        <v/>
      </c>
      <c r="C820" s="6" t="str">
        <f t="shared" ref="C820:D820" si="955">C819</f>
        <v/>
      </c>
      <c r="D820" s="6" t="str">
        <f t="shared" si="955"/>
        <v/>
      </c>
      <c r="E820" s="10" t="str">
        <f>IF(ISBLANK(A818),"",E819+1)</f>
        <v/>
      </c>
      <c r="F820" s="11" t="str">
        <f t="shared" si="956"/>
        <v/>
      </c>
      <c r="G820" s="8"/>
    </row>
    <row r="821">
      <c r="A821" s="9" t="str">
        <f t="shared" si="954"/>
        <v/>
      </c>
      <c r="B821" s="9" t="str">
        <f>IF(ISBLANK(A818),"",LEFT(B820,27)&amp;VALUE(RIGHT(B820,1)+1))</f>
        <v/>
      </c>
      <c r="C821" s="6" t="str">
        <f t="shared" ref="C821:D821" si="957">C820</f>
        <v/>
      </c>
      <c r="D821" s="6" t="str">
        <f t="shared" si="957"/>
        <v/>
      </c>
      <c r="E821" s="10" t="str">
        <f>IF(ISBLANK(A818),"",E820+1)</f>
        <v/>
      </c>
      <c r="F821" s="11" t="str">
        <f t="shared" si="956"/>
        <v/>
      </c>
      <c r="G821" s="8"/>
    </row>
    <row r="822">
      <c r="A822" s="9" t="str">
        <f t="shared" si="954"/>
        <v/>
      </c>
      <c r="B822" s="9" t="str">
        <f>IF(ISBLANK(A818),"",LEFT(B821,27)&amp;VALUE(RIGHT(B821,1)+1))</f>
        <v/>
      </c>
      <c r="C822" s="6" t="str">
        <f t="shared" ref="C822:D822" si="958">C821</f>
        <v/>
      </c>
      <c r="D822" s="6" t="str">
        <f t="shared" si="958"/>
        <v/>
      </c>
      <c r="E822" s="10" t="str">
        <f>IF(ISBLANK(A818),"",E821+1)</f>
        <v/>
      </c>
      <c r="F822" s="11" t="str">
        <f t="shared" si="956"/>
        <v/>
      </c>
      <c r="G822" s="8"/>
    </row>
    <row r="823">
      <c r="A823" s="12" t="str">
        <f t="shared" si="954"/>
        <v/>
      </c>
      <c r="B823" s="12" t="str">
        <f>IF(ISBLANK(A818),"",LEFT(B822,27)&amp;VALUE(RIGHT(B822,1)+1))</f>
        <v/>
      </c>
      <c r="C823" s="13" t="str">
        <f t="shared" ref="C823:D823" si="959">C822</f>
        <v/>
      </c>
      <c r="D823" s="13" t="str">
        <f t="shared" si="959"/>
        <v/>
      </c>
      <c r="E823" s="14" t="str">
        <f>IF(ISBLANK(A818),"",E822+1)</f>
        <v/>
      </c>
      <c r="F823" s="15" t="str">
        <f t="shared" si="956"/>
        <v/>
      </c>
      <c r="G823" s="16"/>
    </row>
    <row r="824">
      <c r="A824" s="5"/>
      <c r="B824" s="6" t="str">
        <f t="array" ref="B824">IF(ISBLANK(A824),"",IF(A824="PROREP (L)",VLOOKUP(LEFT($A824,6),'Data Feed (35C)'!$A$1:$G$10,2,FALSE),IF(A824="PROREP (S)", INDEX('Data Feed (35C)'!B:B, MATCH(LEFT($A824,6), 'Data Feed (35C)'!$A$1:$A$10, 0) + 1), VLOOKUP($A824,'Data Feed (35C)'!$A$1:$G$10,2,FALSE))))</f>
        <v/>
      </c>
      <c r="C824" s="6" t="str">
        <f t="array" ref="C824">IF(ISBLANK(A824),"",IF(A824="PROREP (L)",VLOOKUP(LEFT($A824,6),'Data Feed (35C)'!$A$1:$G$10,3,FALSE),IF(A824="PROREP (S)", INDEX('Data Feed (35C)'!C:C, MATCH(LEFT($A824,6), 'Data Feed (35C)'!$A$1:$A$10, 0) + 1, +1), VLOOKUP($A824,'Data Feed (35C)'!$A$1:$G$10,3,FALSE))))</f>
        <v/>
      </c>
      <c r="D824" s="6" t="str">
        <f t="array" ref="D824">IF(ISBLANK(A824),"",IF(A824="PROREP (L)",VLOOKUP(LEFT($A824,6),'Data Feed (35C)'!$A$1:$G$10,4,FALSE),IF(A824="PROREP (S)", INDEX('Data Feed (35C)'!D:D, MATCH(LEFT($A824,6), 'Data Feed (35C)'!$A$1:$A$10, 0) + 1, +1), VLOOKUP($A824,'Data Feed (35C)'!$A$1:$G$10,4,FALSE))))</f>
        <v/>
      </c>
      <c r="E824" s="6" t="str">
        <f t="array" ref="E824">IF(ISBLANK(A824),"",IF(A824="PROREP (L)",VLOOKUP(LEFT($A824,6),'Data Feed (35C)'!$A$1:$G$10,7,FALSE),IF(A824="PROREP (S)", INDEX('Data Feed (35C)'!G:G, MATCH(LEFT($A824,6), 'Data Feed (35C)'!$A$1:$A$10, 0) + 1, +1), VLOOKUP($A824,'Data Feed (35C)'!$A$1:$G$10,7,FALSE))))</f>
        <v/>
      </c>
      <c r="F824" s="7"/>
      <c r="G824" s="8"/>
    </row>
    <row r="825">
      <c r="A825" s="9" t="str">
        <f t="shared" ref="A825:A829" si="961">A824</f>
        <v/>
      </c>
      <c r="B825" s="9" t="str">
        <f>IF(ISBLANK(A824),"",LEFT(B824,27)&amp;VALUE(RIGHT(B824,1)+1))</f>
        <v/>
      </c>
      <c r="C825" s="6" t="str">
        <f t="shared" ref="C825:D825" si="960">C824</f>
        <v/>
      </c>
      <c r="D825" s="6" t="str">
        <f t="shared" si="960"/>
        <v/>
      </c>
      <c r="E825" s="10" t="str">
        <f>IF(ISBLANK(A824),"",E824+1)</f>
        <v/>
      </c>
      <c r="F825" s="11" t="str">
        <f t="shared" ref="F825:F829" si="963">F824</f>
        <v/>
      </c>
      <c r="G825" s="8"/>
    </row>
    <row r="826">
      <c r="A826" s="9" t="str">
        <f t="shared" si="961"/>
        <v/>
      </c>
      <c r="B826" s="9" t="str">
        <f>IF(ISBLANK(A824),"",LEFT(B825,27)&amp;VALUE(RIGHT(B825,1)+1))</f>
        <v/>
      </c>
      <c r="C826" s="6" t="str">
        <f t="shared" ref="C826:D826" si="962">C825</f>
        <v/>
      </c>
      <c r="D826" s="6" t="str">
        <f t="shared" si="962"/>
        <v/>
      </c>
      <c r="E826" s="10" t="str">
        <f>IF(ISBLANK(A824),"",E825+1)</f>
        <v/>
      </c>
      <c r="F826" s="11" t="str">
        <f t="shared" si="963"/>
        <v/>
      </c>
      <c r="G826" s="8"/>
    </row>
    <row r="827">
      <c r="A827" s="9" t="str">
        <f t="shared" si="961"/>
        <v/>
      </c>
      <c r="B827" s="9" t="str">
        <f>IF(ISBLANK(A824),"",LEFT(B826,27)&amp;VALUE(RIGHT(B826,1)+1))</f>
        <v/>
      </c>
      <c r="C827" s="6" t="str">
        <f t="shared" ref="C827:D827" si="964">C826</f>
        <v/>
      </c>
      <c r="D827" s="6" t="str">
        <f t="shared" si="964"/>
        <v/>
      </c>
      <c r="E827" s="10" t="str">
        <f>IF(ISBLANK(A824),"",E826+1)</f>
        <v/>
      </c>
      <c r="F827" s="11" t="str">
        <f t="shared" si="963"/>
        <v/>
      </c>
      <c r="G827" s="8"/>
    </row>
    <row r="828">
      <c r="A828" s="9" t="str">
        <f t="shared" si="961"/>
        <v/>
      </c>
      <c r="B828" s="9" t="str">
        <f>IF(ISBLANK(A824),"",LEFT(B827,27)&amp;VALUE(RIGHT(B827,1)+1))</f>
        <v/>
      </c>
      <c r="C828" s="6" t="str">
        <f t="shared" ref="C828:D828" si="965">C827</f>
        <v/>
      </c>
      <c r="D828" s="6" t="str">
        <f t="shared" si="965"/>
        <v/>
      </c>
      <c r="E828" s="10" t="str">
        <f>IF(ISBLANK(A824),"",E827+1)</f>
        <v/>
      </c>
      <c r="F828" s="11" t="str">
        <f t="shared" si="963"/>
        <v/>
      </c>
      <c r="G828" s="8"/>
    </row>
    <row r="829">
      <c r="A829" s="12" t="str">
        <f t="shared" si="961"/>
        <v/>
      </c>
      <c r="B829" s="12" t="str">
        <f>IF(ISBLANK(A824),"",LEFT(B828,27)&amp;VALUE(RIGHT(B828,1)+1))</f>
        <v/>
      </c>
      <c r="C829" s="13" t="str">
        <f t="shared" ref="C829:D829" si="966">C828</f>
        <v/>
      </c>
      <c r="D829" s="13" t="str">
        <f t="shared" si="966"/>
        <v/>
      </c>
      <c r="E829" s="14" t="str">
        <f>IF(ISBLANK(A824),"",E828+1)</f>
        <v/>
      </c>
      <c r="F829" s="15" t="str">
        <f t="shared" si="963"/>
        <v/>
      </c>
      <c r="G829" s="16"/>
    </row>
    <row r="830">
      <c r="A830" s="5"/>
      <c r="B830" s="6" t="str">
        <f t="array" ref="B830">IF(ISBLANK(A830),"",IF(A830="PROREP (L)",VLOOKUP(LEFT($A830,6),'Data Feed (35C)'!$A$1:$G$10,2,FALSE),IF(A830="PROREP (S)", INDEX('Data Feed (35C)'!B:B, MATCH(LEFT($A830,6), 'Data Feed (35C)'!$A$1:$A$10, 0) + 1), VLOOKUP($A830,'Data Feed (35C)'!$A$1:$G$10,2,FALSE))))</f>
        <v/>
      </c>
      <c r="C830" s="6" t="str">
        <f t="array" ref="C830">IF(ISBLANK(A830),"",IF(A830="PROREP (L)",VLOOKUP(LEFT($A830,6),'Data Feed (35C)'!$A$1:$G$10,3,FALSE),IF(A830="PROREP (S)", INDEX('Data Feed (35C)'!C:C, MATCH(LEFT($A830,6), 'Data Feed (35C)'!$A$1:$A$10, 0) + 1, +1), VLOOKUP($A830,'Data Feed (35C)'!$A$1:$G$10,3,FALSE))))</f>
        <v/>
      </c>
      <c r="D830" s="6" t="str">
        <f t="array" ref="D830">IF(ISBLANK(A830),"",IF(A830="PROREP (L)",VLOOKUP(LEFT($A830,6),'Data Feed (35C)'!$A$1:$G$10,4,FALSE),IF(A830="PROREP (S)", INDEX('Data Feed (35C)'!D:D, MATCH(LEFT($A830,6), 'Data Feed (35C)'!$A$1:$A$10, 0) + 1, +1), VLOOKUP($A830,'Data Feed (35C)'!$A$1:$G$10,4,FALSE))))</f>
        <v/>
      </c>
      <c r="E830" s="6" t="str">
        <f t="array" ref="E830">IF(ISBLANK(A830),"",IF(A830="PROREP (L)",VLOOKUP(LEFT($A830,6),'Data Feed (35C)'!$A$1:$G$10,7,FALSE),IF(A830="PROREP (S)", INDEX('Data Feed (35C)'!G:G, MATCH(LEFT($A830,6), 'Data Feed (35C)'!$A$1:$A$10, 0) + 1, +1), VLOOKUP($A830,'Data Feed (35C)'!$A$1:$G$10,7,FALSE))))</f>
        <v/>
      </c>
      <c r="F830" s="7"/>
      <c r="G830" s="8"/>
    </row>
    <row r="831">
      <c r="A831" s="9" t="str">
        <f t="shared" ref="A831:A835" si="968">A830</f>
        <v/>
      </c>
      <c r="B831" s="9" t="str">
        <f>IF(ISBLANK(A830),"",LEFT(B830,27)&amp;VALUE(RIGHT(B830,1)+1))</f>
        <v/>
      </c>
      <c r="C831" s="6" t="str">
        <f t="shared" ref="C831:D831" si="967">C830</f>
        <v/>
      </c>
      <c r="D831" s="6" t="str">
        <f t="shared" si="967"/>
        <v/>
      </c>
      <c r="E831" s="10" t="str">
        <f>IF(ISBLANK(A830),"",E830+1)</f>
        <v/>
      </c>
      <c r="F831" s="11" t="str">
        <f t="shared" ref="F831:F835" si="970">F830</f>
        <v/>
      </c>
      <c r="G831" s="8"/>
    </row>
    <row r="832">
      <c r="A832" s="9" t="str">
        <f t="shared" si="968"/>
        <v/>
      </c>
      <c r="B832" s="9" t="str">
        <f>IF(ISBLANK(A830),"",LEFT(B831,27)&amp;VALUE(RIGHT(B831,1)+1))</f>
        <v/>
      </c>
      <c r="C832" s="6" t="str">
        <f t="shared" ref="C832:D832" si="969">C831</f>
        <v/>
      </c>
      <c r="D832" s="6" t="str">
        <f t="shared" si="969"/>
        <v/>
      </c>
      <c r="E832" s="10" t="str">
        <f>IF(ISBLANK(A830),"",E831+1)</f>
        <v/>
      </c>
      <c r="F832" s="11" t="str">
        <f t="shared" si="970"/>
        <v/>
      </c>
      <c r="G832" s="8"/>
    </row>
    <row r="833">
      <c r="A833" s="9" t="str">
        <f t="shared" si="968"/>
        <v/>
      </c>
      <c r="B833" s="9" t="str">
        <f>IF(ISBLANK(A830),"",LEFT(B832,27)&amp;VALUE(RIGHT(B832,1)+1))</f>
        <v/>
      </c>
      <c r="C833" s="6" t="str">
        <f t="shared" ref="C833:D833" si="971">C832</f>
        <v/>
      </c>
      <c r="D833" s="6" t="str">
        <f t="shared" si="971"/>
        <v/>
      </c>
      <c r="E833" s="10" t="str">
        <f>IF(ISBLANK(A830),"",E832+1)</f>
        <v/>
      </c>
      <c r="F833" s="11" t="str">
        <f t="shared" si="970"/>
        <v/>
      </c>
      <c r="G833" s="8"/>
    </row>
    <row r="834">
      <c r="A834" s="9" t="str">
        <f t="shared" si="968"/>
        <v/>
      </c>
      <c r="B834" s="9" t="str">
        <f>IF(ISBLANK(A830),"",LEFT(B833,27)&amp;VALUE(RIGHT(B833,1)+1))</f>
        <v/>
      </c>
      <c r="C834" s="6" t="str">
        <f t="shared" ref="C834:D834" si="972">C833</f>
        <v/>
      </c>
      <c r="D834" s="6" t="str">
        <f t="shared" si="972"/>
        <v/>
      </c>
      <c r="E834" s="10" t="str">
        <f>IF(ISBLANK(A830),"",E833+1)</f>
        <v/>
      </c>
      <c r="F834" s="11" t="str">
        <f t="shared" si="970"/>
        <v/>
      </c>
      <c r="G834" s="8"/>
    </row>
    <row r="835">
      <c r="A835" s="12" t="str">
        <f t="shared" si="968"/>
        <v/>
      </c>
      <c r="B835" s="12" t="str">
        <f>IF(ISBLANK(A830),"",LEFT(B834,27)&amp;VALUE(RIGHT(B834,1)+1))</f>
        <v/>
      </c>
      <c r="C835" s="13" t="str">
        <f t="shared" ref="C835:D835" si="973">C834</f>
        <v/>
      </c>
      <c r="D835" s="13" t="str">
        <f t="shared" si="973"/>
        <v/>
      </c>
      <c r="E835" s="14" t="str">
        <f>IF(ISBLANK(A830),"",E834+1)</f>
        <v/>
      </c>
      <c r="F835" s="15" t="str">
        <f t="shared" si="970"/>
        <v/>
      </c>
      <c r="G835" s="16"/>
    </row>
    <row r="836">
      <c r="A836" s="5"/>
      <c r="B836" s="6" t="str">
        <f t="array" ref="B836">IF(ISBLANK(A836),"",IF(A836="PROREP (L)",VLOOKUP(LEFT($A836,6),'Data Feed (35C)'!$A$1:$G$10,2,FALSE),IF(A836="PROREP (S)", INDEX('Data Feed (35C)'!B:B, MATCH(LEFT($A836,6), 'Data Feed (35C)'!$A$1:$A$10, 0) + 1), VLOOKUP($A836,'Data Feed (35C)'!$A$1:$G$10,2,FALSE))))</f>
        <v/>
      </c>
      <c r="C836" s="6" t="str">
        <f t="array" ref="C836">IF(ISBLANK(A836),"",IF(A836="PROREP (L)",VLOOKUP(LEFT($A836,6),'Data Feed (35C)'!$A$1:$G$10,3,FALSE),IF(A836="PROREP (S)", INDEX('Data Feed (35C)'!C:C, MATCH(LEFT($A836,6), 'Data Feed (35C)'!$A$1:$A$10, 0) + 1, +1), VLOOKUP($A836,'Data Feed (35C)'!$A$1:$G$10,3,FALSE))))</f>
        <v/>
      </c>
      <c r="D836" s="6" t="str">
        <f t="array" ref="D836">IF(ISBLANK(A836),"",IF(A836="PROREP (L)",VLOOKUP(LEFT($A836,6),'Data Feed (35C)'!$A$1:$G$10,4,FALSE),IF(A836="PROREP (S)", INDEX('Data Feed (35C)'!D:D, MATCH(LEFT($A836,6), 'Data Feed (35C)'!$A$1:$A$10, 0) + 1, +1), VLOOKUP($A836,'Data Feed (35C)'!$A$1:$G$10,4,FALSE))))</f>
        <v/>
      </c>
      <c r="E836" s="6" t="str">
        <f t="array" ref="E836">IF(ISBLANK(A836),"",IF(A836="PROREP (L)",VLOOKUP(LEFT($A836,6),'Data Feed (35C)'!$A$1:$G$10,7,FALSE),IF(A836="PROREP (S)", INDEX('Data Feed (35C)'!G:G, MATCH(LEFT($A836,6), 'Data Feed (35C)'!$A$1:$A$10, 0) + 1, +1), VLOOKUP($A836,'Data Feed (35C)'!$A$1:$G$10,7,FALSE))))</f>
        <v/>
      </c>
      <c r="F836" s="7"/>
      <c r="G836" s="8"/>
    </row>
    <row r="837">
      <c r="A837" s="9" t="str">
        <f t="shared" ref="A837:A841" si="975">A836</f>
        <v/>
      </c>
      <c r="B837" s="9" t="str">
        <f>IF(ISBLANK(A836),"",LEFT(B836,27)&amp;VALUE(RIGHT(B836,1)+1))</f>
        <v/>
      </c>
      <c r="C837" s="6" t="str">
        <f t="shared" ref="C837:D837" si="974">C836</f>
        <v/>
      </c>
      <c r="D837" s="6" t="str">
        <f t="shared" si="974"/>
        <v/>
      </c>
      <c r="E837" s="10" t="str">
        <f>IF(ISBLANK(A836),"",E836+1)</f>
        <v/>
      </c>
      <c r="F837" s="11" t="str">
        <f t="shared" ref="F837:F841" si="977">F836</f>
        <v/>
      </c>
      <c r="G837" s="8"/>
    </row>
    <row r="838">
      <c r="A838" s="9" t="str">
        <f t="shared" si="975"/>
        <v/>
      </c>
      <c r="B838" s="9" t="str">
        <f>IF(ISBLANK(A836),"",LEFT(B837,27)&amp;VALUE(RIGHT(B837,1)+1))</f>
        <v/>
      </c>
      <c r="C838" s="6" t="str">
        <f t="shared" ref="C838:D838" si="976">C837</f>
        <v/>
      </c>
      <c r="D838" s="6" t="str">
        <f t="shared" si="976"/>
        <v/>
      </c>
      <c r="E838" s="10" t="str">
        <f>IF(ISBLANK(A836),"",E837+1)</f>
        <v/>
      </c>
      <c r="F838" s="11" t="str">
        <f t="shared" si="977"/>
        <v/>
      </c>
      <c r="G838" s="8"/>
    </row>
    <row r="839">
      <c r="A839" s="9" t="str">
        <f t="shared" si="975"/>
        <v/>
      </c>
      <c r="B839" s="9" t="str">
        <f>IF(ISBLANK(A836),"",LEFT(B838,27)&amp;VALUE(RIGHT(B838,1)+1))</f>
        <v/>
      </c>
      <c r="C839" s="6" t="str">
        <f t="shared" ref="C839:D839" si="978">C838</f>
        <v/>
      </c>
      <c r="D839" s="6" t="str">
        <f t="shared" si="978"/>
        <v/>
      </c>
      <c r="E839" s="10" t="str">
        <f>IF(ISBLANK(A836),"",E838+1)</f>
        <v/>
      </c>
      <c r="F839" s="11" t="str">
        <f t="shared" si="977"/>
        <v/>
      </c>
      <c r="G839" s="8"/>
    </row>
    <row r="840">
      <c r="A840" s="9" t="str">
        <f t="shared" si="975"/>
        <v/>
      </c>
      <c r="B840" s="9" t="str">
        <f>IF(ISBLANK(A836),"",LEFT(B839,27)&amp;VALUE(RIGHT(B839,1)+1))</f>
        <v/>
      </c>
      <c r="C840" s="6" t="str">
        <f t="shared" ref="C840:D840" si="979">C839</f>
        <v/>
      </c>
      <c r="D840" s="6" t="str">
        <f t="shared" si="979"/>
        <v/>
      </c>
      <c r="E840" s="10" t="str">
        <f>IF(ISBLANK(A836),"",E839+1)</f>
        <v/>
      </c>
      <c r="F840" s="11" t="str">
        <f t="shared" si="977"/>
        <v/>
      </c>
      <c r="G840" s="8"/>
    </row>
    <row r="841">
      <c r="A841" s="12" t="str">
        <f t="shared" si="975"/>
        <v/>
      </c>
      <c r="B841" s="12" t="str">
        <f>IF(ISBLANK(A836),"",LEFT(B840,27)&amp;VALUE(RIGHT(B840,1)+1))</f>
        <v/>
      </c>
      <c r="C841" s="13" t="str">
        <f t="shared" ref="C841:D841" si="980">C840</f>
        <v/>
      </c>
      <c r="D841" s="13" t="str">
        <f t="shared" si="980"/>
        <v/>
      </c>
      <c r="E841" s="14" t="str">
        <f>IF(ISBLANK(A836),"",E840+1)</f>
        <v/>
      </c>
      <c r="F841" s="15" t="str">
        <f t="shared" si="977"/>
        <v/>
      </c>
      <c r="G841" s="16"/>
    </row>
    <row r="842">
      <c r="A842" s="5"/>
      <c r="B842" s="6" t="str">
        <f t="array" ref="B842">IF(ISBLANK(A842),"",IF(A842="PROREP (L)",VLOOKUP(LEFT($A842,6),'Data Feed (35C)'!$A$1:$G$10,2,FALSE),IF(A842="PROREP (S)", INDEX('Data Feed (35C)'!B:B, MATCH(LEFT($A842,6), 'Data Feed (35C)'!$A$1:$A$10, 0) + 1), VLOOKUP($A842,'Data Feed (35C)'!$A$1:$G$10,2,FALSE))))</f>
        <v/>
      </c>
      <c r="C842" s="6" t="str">
        <f t="array" ref="C842">IF(ISBLANK(A842),"",IF(A842="PROREP (L)",VLOOKUP(LEFT($A842,6),'Data Feed (35C)'!$A$1:$G$10,3,FALSE),IF(A842="PROREP (S)", INDEX('Data Feed (35C)'!C:C, MATCH(LEFT($A842,6), 'Data Feed (35C)'!$A$1:$A$10, 0) + 1, +1), VLOOKUP($A842,'Data Feed (35C)'!$A$1:$G$10,3,FALSE))))</f>
        <v/>
      </c>
      <c r="D842" s="6" t="str">
        <f t="array" ref="D842">IF(ISBLANK(A842),"",IF(A842="PROREP (L)",VLOOKUP(LEFT($A842,6),'Data Feed (35C)'!$A$1:$G$10,4,FALSE),IF(A842="PROREP (S)", INDEX('Data Feed (35C)'!D:D, MATCH(LEFT($A842,6), 'Data Feed (35C)'!$A$1:$A$10, 0) + 1, +1), VLOOKUP($A842,'Data Feed (35C)'!$A$1:$G$10,4,FALSE))))</f>
        <v/>
      </c>
      <c r="E842" s="6" t="str">
        <f t="array" ref="E842">IF(ISBLANK(A842),"",IF(A842="PROREP (L)",VLOOKUP(LEFT($A842,6),'Data Feed (35C)'!$A$1:$G$10,7,FALSE),IF(A842="PROREP (S)", INDEX('Data Feed (35C)'!G:G, MATCH(LEFT($A842,6), 'Data Feed (35C)'!$A$1:$A$10, 0) + 1, +1), VLOOKUP($A842,'Data Feed (35C)'!$A$1:$G$10,7,FALSE))))</f>
        <v/>
      </c>
      <c r="F842" s="7"/>
      <c r="G842" s="8"/>
    </row>
    <row r="843">
      <c r="A843" s="9" t="str">
        <f t="shared" ref="A843:A847" si="982">A842</f>
        <v/>
      </c>
      <c r="B843" s="9" t="str">
        <f>IF(ISBLANK(A842),"",LEFT(B842,27)&amp;VALUE(RIGHT(B842,1)+1))</f>
        <v/>
      </c>
      <c r="C843" s="6" t="str">
        <f t="shared" ref="C843:D843" si="981">C842</f>
        <v/>
      </c>
      <c r="D843" s="6" t="str">
        <f t="shared" si="981"/>
        <v/>
      </c>
      <c r="E843" s="10" t="str">
        <f>IF(ISBLANK(A842),"",E842+1)</f>
        <v/>
      </c>
      <c r="F843" s="11" t="str">
        <f t="shared" ref="F843:F847" si="984">F842</f>
        <v/>
      </c>
      <c r="G843" s="8"/>
    </row>
    <row r="844">
      <c r="A844" s="9" t="str">
        <f t="shared" si="982"/>
        <v/>
      </c>
      <c r="B844" s="9" t="str">
        <f>IF(ISBLANK(A842),"",LEFT(B843,27)&amp;VALUE(RIGHT(B843,1)+1))</f>
        <v/>
      </c>
      <c r="C844" s="6" t="str">
        <f t="shared" ref="C844:D844" si="983">C843</f>
        <v/>
      </c>
      <c r="D844" s="6" t="str">
        <f t="shared" si="983"/>
        <v/>
      </c>
      <c r="E844" s="10" t="str">
        <f>IF(ISBLANK(A842),"",E843+1)</f>
        <v/>
      </c>
      <c r="F844" s="11" t="str">
        <f t="shared" si="984"/>
        <v/>
      </c>
      <c r="G844" s="8"/>
    </row>
    <row r="845">
      <c r="A845" s="9" t="str">
        <f t="shared" si="982"/>
        <v/>
      </c>
      <c r="B845" s="9" t="str">
        <f>IF(ISBLANK(A842),"",LEFT(B844,27)&amp;VALUE(RIGHT(B844,1)+1))</f>
        <v/>
      </c>
      <c r="C845" s="6" t="str">
        <f t="shared" ref="C845:D845" si="985">C844</f>
        <v/>
      </c>
      <c r="D845" s="6" t="str">
        <f t="shared" si="985"/>
        <v/>
      </c>
      <c r="E845" s="10" t="str">
        <f>IF(ISBLANK(A842),"",E844+1)</f>
        <v/>
      </c>
      <c r="F845" s="11" t="str">
        <f t="shared" si="984"/>
        <v/>
      </c>
      <c r="G845" s="8"/>
    </row>
    <row r="846">
      <c r="A846" s="9" t="str">
        <f t="shared" si="982"/>
        <v/>
      </c>
      <c r="B846" s="9" t="str">
        <f>IF(ISBLANK(A842),"",LEFT(B845,27)&amp;VALUE(RIGHT(B845,1)+1))</f>
        <v/>
      </c>
      <c r="C846" s="6" t="str">
        <f t="shared" ref="C846:D846" si="986">C845</f>
        <v/>
      </c>
      <c r="D846" s="6" t="str">
        <f t="shared" si="986"/>
        <v/>
      </c>
      <c r="E846" s="10" t="str">
        <f>IF(ISBLANK(A842),"",E845+1)</f>
        <v/>
      </c>
      <c r="F846" s="11" t="str">
        <f t="shared" si="984"/>
        <v/>
      </c>
      <c r="G846" s="8"/>
    </row>
    <row r="847">
      <c r="A847" s="12" t="str">
        <f t="shared" si="982"/>
        <v/>
      </c>
      <c r="B847" s="12" t="str">
        <f>IF(ISBLANK(A842),"",LEFT(B846,27)&amp;VALUE(RIGHT(B846,1)+1))</f>
        <v/>
      </c>
      <c r="C847" s="13" t="str">
        <f t="shared" ref="C847:D847" si="987">C846</f>
        <v/>
      </c>
      <c r="D847" s="13" t="str">
        <f t="shared" si="987"/>
        <v/>
      </c>
      <c r="E847" s="14" t="str">
        <f>IF(ISBLANK(A842),"",E846+1)</f>
        <v/>
      </c>
      <c r="F847" s="15" t="str">
        <f t="shared" si="984"/>
        <v/>
      </c>
      <c r="G847" s="16"/>
    </row>
    <row r="848">
      <c r="A848" s="5"/>
      <c r="B848" s="6" t="str">
        <f t="array" ref="B848">IF(ISBLANK(A848),"",IF(A848="PROREP (L)",VLOOKUP(LEFT($A848,6),'Data Feed (35C)'!$A$1:$G$10,2,FALSE),IF(A848="PROREP (S)", INDEX('Data Feed (35C)'!B:B, MATCH(LEFT($A848,6), 'Data Feed (35C)'!$A$1:$A$10, 0) + 1), VLOOKUP($A848,'Data Feed (35C)'!$A$1:$G$10,2,FALSE))))</f>
        <v/>
      </c>
      <c r="C848" s="6" t="str">
        <f t="array" ref="C848">IF(ISBLANK(A848),"",IF(A848="PROREP (L)",VLOOKUP(LEFT($A848,6),'Data Feed (35C)'!$A$1:$G$10,3,FALSE),IF(A848="PROREP (S)", INDEX('Data Feed (35C)'!C:C, MATCH(LEFT($A848,6), 'Data Feed (35C)'!$A$1:$A$10, 0) + 1, +1), VLOOKUP($A848,'Data Feed (35C)'!$A$1:$G$10,3,FALSE))))</f>
        <v/>
      </c>
      <c r="D848" s="6" t="str">
        <f t="array" ref="D848">IF(ISBLANK(A848),"",IF(A848="PROREP (L)",VLOOKUP(LEFT($A848,6),'Data Feed (35C)'!$A$1:$G$10,4,FALSE),IF(A848="PROREP (S)", INDEX('Data Feed (35C)'!D:D, MATCH(LEFT($A848,6), 'Data Feed (35C)'!$A$1:$A$10, 0) + 1, +1), VLOOKUP($A848,'Data Feed (35C)'!$A$1:$G$10,4,FALSE))))</f>
        <v/>
      </c>
      <c r="E848" s="6" t="str">
        <f t="array" ref="E848">IF(ISBLANK(A848),"",IF(A848="PROREP (L)",VLOOKUP(LEFT($A848,6),'Data Feed (35C)'!$A$1:$G$10,7,FALSE),IF(A848="PROREP (S)", INDEX('Data Feed (35C)'!G:G, MATCH(LEFT($A848,6), 'Data Feed (35C)'!$A$1:$A$10, 0) + 1, +1), VLOOKUP($A848,'Data Feed (35C)'!$A$1:$G$10,7,FALSE))))</f>
        <v/>
      </c>
      <c r="F848" s="7"/>
      <c r="G848" s="8"/>
    </row>
    <row r="849">
      <c r="A849" s="9" t="str">
        <f t="shared" ref="A849:A853" si="989">A848</f>
        <v/>
      </c>
      <c r="B849" s="9" t="str">
        <f>IF(ISBLANK(A848),"",LEFT(B848,27)&amp;VALUE(RIGHT(B848,1)+1))</f>
        <v/>
      </c>
      <c r="C849" s="6" t="str">
        <f t="shared" ref="C849:D849" si="988">C848</f>
        <v/>
      </c>
      <c r="D849" s="6" t="str">
        <f t="shared" si="988"/>
        <v/>
      </c>
      <c r="E849" s="10" t="str">
        <f>IF(ISBLANK(A848),"",E848+1)</f>
        <v/>
      </c>
      <c r="F849" s="11" t="str">
        <f t="shared" ref="F849:F853" si="991">F848</f>
        <v/>
      </c>
      <c r="G849" s="8"/>
    </row>
    <row r="850">
      <c r="A850" s="9" t="str">
        <f t="shared" si="989"/>
        <v/>
      </c>
      <c r="B850" s="9" t="str">
        <f>IF(ISBLANK(A848),"",LEFT(B849,27)&amp;VALUE(RIGHT(B849,1)+1))</f>
        <v/>
      </c>
      <c r="C850" s="6" t="str">
        <f t="shared" ref="C850:D850" si="990">C849</f>
        <v/>
      </c>
      <c r="D850" s="6" t="str">
        <f t="shared" si="990"/>
        <v/>
      </c>
      <c r="E850" s="10" t="str">
        <f>IF(ISBLANK(A848),"",E849+1)</f>
        <v/>
      </c>
      <c r="F850" s="11" t="str">
        <f t="shared" si="991"/>
        <v/>
      </c>
      <c r="G850" s="8"/>
    </row>
    <row r="851">
      <c r="A851" s="9" t="str">
        <f t="shared" si="989"/>
        <v/>
      </c>
      <c r="B851" s="9" t="str">
        <f>IF(ISBLANK(A848),"",LEFT(B850,27)&amp;VALUE(RIGHT(B850,1)+1))</f>
        <v/>
      </c>
      <c r="C851" s="6" t="str">
        <f t="shared" ref="C851:D851" si="992">C850</f>
        <v/>
      </c>
      <c r="D851" s="6" t="str">
        <f t="shared" si="992"/>
        <v/>
      </c>
      <c r="E851" s="10" t="str">
        <f>IF(ISBLANK(A848),"",E850+1)</f>
        <v/>
      </c>
      <c r="F851" s="11" t="str">
        <f t="shared" si="991"/>
        <v/>
      </c>
      <c r="G851" s="8"/>
    </row>
    <row r="852">
      <c r="A852" s="9" t="str">
        <f t="shared" si="989"/>
        <v/>
      </c>
      <c r="B852" s="9" t="str">
        <f>IF(ISBLANK(A848),"",LEFT(B851,27)&amp;VALUE(RIGHT(B851,1)+1))</f>
        <v/>
      </c>
      <c r="C852" s="6" t="str">
        <f t="shared" ref="C852:D852" si="993">C851</f>
        <v/>
      </c>
      <c r="D852" s="6" t="str">
        <f t="shared" si="993"/>
        <v/>
      </c>
      <c r="E852" s="10" t="str">
        <f>IF(ISBLANK(A848),"",E851+1)</f>
        <v/>
      </c>
      <c r="F852" s="11" t="str">
        <f t="shared" si="991"/>
        <v/>
      </c>
      <c r="G852" s="8"/>
    </row>
    <row r="853">
      <c r="A853" s="12" t="str">
        <f t="shared" si="989"/>
        <v/>
      </c>
      <c r="B853" s="12" t="str">
        <f>IF(ISBLANK(A848),"",LEFT(B852,27)&amp;VALUE(RIGHT(B852,1)+1))</f>
        <v/>
      </c>
      <c r="C853" s="13" t="str">
        <f t="shared" ref="C853:D853" si="994">C852</f>
        <v/>
      </c>
      <c r="D853" s="13" t="str">
        <f t="shared" si="994"/>
        <v/>
      </c>
      <c r="E853" s="14" t="str">
        <f>IF(ISBLANK(A848),"",E852+1)</f>
        <v/>
      </c>
      <c r="F853" s="15" t="str">
        <f t="shared" si="991"/>
        <v/>
      </c>
      <c r="G853" s="16"/>
    </row>
    <row r="854">
      <c r="A854" s="5"/>
      <c r="B854" s="6" t="str">
        <f t="array" ref="B854">IF(ISBLANK(A854),"",IF(A854="PROREP (L)",VLOOKUP(LEFT($A854,6),'Data Feed (35C)'!$A$1:$G$10,2,FALSE),IF(A854="PROREP (S)", INDEX('Data Feed (35C)'!B:B, MATCH(LEFT($A854,6), 'Data Feed (35C)'!$A$1:$A$10, 0) + 1), VLOOKUP($A854,'Data Feed (35C)'!$A$1:$G$10,2,FALSE))))</f>
        <v/>
      </c>
      <c r="C854" s="6" t="str">
        <f t="array" ref="C854">IF(ISBLANK(A854),"",IF(A854="PROREP (L)",VLOOKUP(LEFT($A854,6),'Data Feed (35C)'!$A$1:$G$10,3,FALSE),IF(A854="PROREP (S)", INDEX('Data Feed (35C)'!C:C, MATCH(LEFT($A854,6), 'Data Feed (35C)'!$A$1:$A$10, 0) + 1, +1), VLOOKUP($A854,'Data Feed (35C)'!$A$1:$G$10,3,FALSE))))</f>
        <v/>
      </c>
      <c r="D854" s="6" t="str">
        <f t="array" ref="D854">IF(ISBLANK(A854),"",IF(A854="PROREP (L)",VLOOKUP(LEFT($A854,6),'Data Feed (35C)'!$A$1:$G$10,4,FALSE),IF(A854="PROREP (S)", INDEX('Data Feed (35C)'!D:D, MATCH(LEFT($A854,6), 'Data Feed (35C)'!$A$1:$A$10, 0) + 1, +1), VLOOKUP($A854,'Data Feed (35C)'!$A$1:$G$10,4,FALSE))))</f>
        <v/>
      </c>
      <c r="E854" s="6" t="str">
        <f t="array" ref="E854">IF(ISBLANK(A854),"",IF(A854="PROREP (L)",VLOOKUP(LEFT($A854,6),'Data Feed (35C)'!$A$1:$G$10,7,FALSE),IF(A854="PROREP (S)", INDEX('Data Feed (35C)'!G:G, MATCH(LEFT($A854,6), 'Data Feed (35C)'!$A$1:$A$10, 0) + 1, +1), VLOOKUP($A854,'Data Feed (35C)'!$A$1:$G$10,7,FALSE))))</f>
        <v/>
      </c>
      <c r="F854" s="7"/>
      <c r="G854" s="8"/>
    </row>
    <row r="855">
      <c r="A855" s="9" t="str">
        <f t="shared" ref="A855:A859" si="996">A854</f>
        <v/>
      </c>
      <c r="B855" s="9" t="str">
        <f>IF(ISBLANK(A854),"",LEFT(B854,27)&amp;VALUE(RIGHT(B854,1)+1))</f>
        <v/>
      </c>
      <c r="C855" s="6" t="str">
        <f t="shared" ref="C855:D855" si="995">C854</f>
        <v/>
      </c>
      <c r="D855" s="6" t="str">
        <f t="shared" si="995"/>
        <v/>
      </c>
      <c r="E855" s="10" t="str">
        <f>IF(ISBLANK(A854),"",E854+1)</f>
        <v/>
      </c>
      <c r="F855" s="11" t="str">
        <f t="shared" ref="F855:F859" si="998">F854</f>
        <v/>
      </c>
      <c r="G855" s="8"/>
    </row>
    <row r="856">
      <c r="A856" s="9" t="str">
        <f t="shared" si="996"/>
        <v/>
      </c>
      <c r="B856" s="9" t="str">
        <f>IF(ISBLANK(A854),"",LEFT(B855,27)&amp;VALUE(RIGHT(B855,1)+1))</f>
        <v/>
      </c>
      <c r="C856" s="6" t="str">
        <f t="shared" ref="C856:D856" si="997">C855</f>
        <v/>
      </c>
      <c r="D856" s="6" t="str">
        <f t="shared" si="997"/>
        <v/>
      </c>
      <c r="E856" s="10" t="str">
        <f>IF(ISBLANK(A854),"",E855+1)</f>
        <v/>
      </c>
      <c r="F856" s="11" t="str">
        <f t="shared" si="998"/>
        <v/>
      </c>
      <c r="G856" s="8"/>
    </row>
    <row r="857">
      <c r="A857" s="9" t="str">
        <f t="shared" si="996"/>
        <v/>
      </c>
      <c r="B857" s="9" t="str">
        <f>IF(ISBLANK(A854),"",LEFT(B856,27)&amp;VALUE(RIGHT(B856,1)+1))</f>
        <v/>
      </c>
      <c r="C857" s="6" t="str">
        <f t="shared" ref="C857:D857" si="999">C856</f>
        <v/>
      </c>
      <c r="D857" s="6" t="str">
        <f t="shared" si="999"/>
        <v/>
      </c>
      <c r="E857" s="10" t="str">
        <f>IF(ISBLANK(A854),"",E856+1)</f>
        <v/>
      </c>
      <c r="F857" s="11" t="str">
        <f t="shared" si="998"/>
        <v/>
      </c>
      <c r="G857" s="8"/>
    </row>
    <row r="858">
      <c r="A858" s="9" t="str">
        <f t="shared" si="996"/>
        <v/>
      </c>
      <c r="B858" s="9" t="str">
        <f>IF(ISBLANK(A854),"",LEFT(B857,27)&amp;VALUE(RIGHT(B857,1)+1))</f>
        <v/>
      </c>
      <c r="C858" s="6" t="str">
        <f t="shared" ref="C858:D858" si="1000">C857</f>
        <v/>
      </c>
      <c r="D858" s="6" t="str">
        <f t="shared" si="1000"/>
        <v/>
      </c>
      <c r="E858" s="10" t="str">
        <f>IF(ISBLANK(A854),"",E857+1)</f>
        <v/>
      </c>
      <c r="F858" s="11" t="str">
        <f t="shared" si="998"/>
        <v/>
      </c>
      <c r="G858" s="8"/>
    </row>
    <row r="859">
      <c r="A859" s="12" t="str">
        <f t="shared" si="996"/>
        <v/>
      </c>
      <c r="B859" s="12" t="str">
        <f>IF(ISBLANK(A854),"",LEFT(B858,27)&amp;VALUE(RIGHT(B858,1)+1))</f>
        <v/>
      </c>
      <c r="C859" s="13" t="str">
        <f t="shared" ref="C859:D859" si="1001">C858</f>
        <v/>
      </c>
      <c r="D859" s="13" t="str">
        <f t="shared" si="1001"/>
        <v/>
      </c>
      <c r="E859" s="14" t="str">
        <f>IF(ISBLANK(A854),"",E858+1)</f>
        <v/>
      </c>
      <c r="F859" s="15" t="str">
        <f t="shared" si="998"/>
        <v/>
      </c>
      <c r="G859" s="16"/>
    </row>
    <row r="860">
      <c r="A860" s="5"/>
      <c r="B860" s="6" t="str">
        <f t="array" ref="B860">IF(ISBLANK(A860),"",IF(A860="PROREP (L)",VLOOKUP(LEFT($A860,6),'Data Feed (35C)'!$A$1:$G$10,2,FALSE),IF(A860="PROREP (S)", INDEX('Data Feed (35C)'!B:B, MATCH(LEFT($A860,6), 'Data Feed (35C)'!$A$1:$A$10, 0) + 1), VLOOKUP($A860,'Data Feed (35C)'!$A$1:$G$10,2,FALSE))))</f>
        <v/>
      </c>
      <c r="C860" s="6" t="str">
        <f t="array" ref="C860">IF(ISBLANK(A860),"",IF(A860="PROREP (L)",VLOOKUP(LEFT($A860,6),'Data Feed (35C)'!$A$1:$G$10,3,FALSE),IF(A860="PROREP (S)", INDEX('Data Feed (35C)'!C:C, MATCH(LEFT($A860,6), 'Data Feed (35C)'!$A$1:$A$10, 0) + 1, +1), VLOOKUP($A860,'Data Feed (35C)'!$A$1:$G$10,3,FALSE))))</f>
        <v/>
      </c>
      <c r="D860" s="6" t="str">
        <f t="array" ref="D860">IF(ISBLANK(A860),"",IF(A860="PROREP (L)",VLOOKUP(LEFT($A860,6),'Data Feed (35C)'!$A$1:$G$10,4,FALSE),IF(A860="PROREP (S)", INDEX('Data Feed (35C)'!D:D, MATCH(LEFT($A860,6), 'Data Feed (35C)'!$A$1:$A$10, 0) + 1, +1), VLOOKUP($A860,'Data Feed (35C)'!$A$1:$G$10,4,FALSE))))</f>
        <v/>
      </c>
      <c r="E860" s="6" t="str">
        <f t="array" ref="E860">IF(ISBLANK(A860),"",IF(A860="PROREP (L)",VLOOKUP(LEFT($A860,6),'Data Feed (35C)'!$A$1:$G$10,7,FALSE),IF(A860="PROREP (S)", INDEX('Data Feed (35C)'!G:G, MATCH(LEFT($A860,6), 'Data Feed (35C)'!$A$1:$A$10, 0) + 1, +1), VLOOKUP($A860,'Data Feed (35C)'!$A$1:$G$10,7,FALSE))))</f>
        <v/>
      </c>
      <c r="F860" s="7"/>
      <c r="G860" s="8"/>
    </row>
    <row r="861">
      <c r="A861" s="9" t="str">
        <f t="shared" ref="A861:A865" si="1003">A860</f>
        <v/>
      </c>
      <c r="B861" s="9" t="str">
        <f>IF(ISBLANK(A860),"",LEFT(B860,27)&amp;VALUE(RIGHT(B860,1)+1))</f>
        <v/>
      </c>
      <c r="C861" s="6" t="str">
        <f t="shared" ref="C861:D861" si="1002">C860</f>
        <v/>
      </c>
      <c r="D861" s="6" t="str">
        <f t="shared" si="1002"/>
        <v/>
      </c>
      <c r="E861" s="10" t="str">
        <f>IF(ISBLANK(A860),"",E860+1)</f>
        <v/>
      </c>
      <c r="F861" s="11" t="str">
        <f t="shared" ref="F861:F865" si="1005">F860</f>
        <v/>
      </c>
      <c r="G861" s="8"/>
    </row>
    <row r="862">
      <c r="A862" s="9" t="str">
        <f t="shared" si="1003"/>
        <v/>
      </c>
      <c r="B862" s="9" t="str">
        <f>IF(ISBLANK(A860),"",LEFT(B861,27)&amp;VALUE(RIGHT(B861,1)+1))</f>
        <v/>
      </c>
      <c r="C862" s="6" t="str">
        <f t="shared" ref="C862:D862" si="1004">C861</f>
        <v/>
      </c>
      <c r="D862" s="6" t="str">
        <f t="shared" si="1004"/>
        <v/>
      </c>
      <c r="E862" s="10" t="str">
        <f>IF(ISBLANK(A860),"",E861+1)</f>
        <v/>
      </c>
      <c r="F862" s="11" t="str">
        <f t="shared" si="1005"/>
        <v/>
      </c>
      <c r="G862" s="8"/>
    </row>
    <row r="863">
      <c r="A863" s="9" t="str">
        <f t="shared" si="1003"/>
        <v/>
      </c>
      <c r="B863" s="9" t="str">
        <f>IF(ISBLANK(A860),"",LEFT(B862,27)&amp;VALUE(RIGHT(B862,1)+1))</f>
        <v/>
      </c>
      <c r="C863" s="6" t="str">
        <f t="shared" ref="C863:D863" si="1006">C862</f>
        <v/>
      </c>
      <c r="D863" s="6" t="str">
        <f t="shared" si="1006"/>
        <v/>
      </c>
      <c r="E863" s="10" t="str">
        <f>IF(ISBLANK(A860),"",E862+1)</f>
        <v/>
      </c>
      <c r="F863" s="11" t="str">
        <f t="shared" si="1005"/>
        <v/>
      </c>
      <c r="G863" s="8"/>
    </row>
    <row r="864">
      <c r="A864" s="9" t="str">
        <f t="shared" si="1003"/>
        <v/>
      </c>
      <c r="B864" s="9" t="str">
        <f>IF(ISBLANK(A860),"",LEFT(B863,27)&amp;VALUE(RIGHT(B863,1)+1))</f>
        <v/>
      </c>
      <c r="C864" s="6" t="str">
        <f t="shared" ref="C864:D864" si="1007">C863</f>
        <v/>
      </c>
      <c r="D864" s="6" t="str">
        <f t="shared" si="1007"/>
        <v/>
      </c>
      <c r="E864" s="10" t="str">
        <f>IF(ISBLANK(A860),"",E863+1)</f>
        <v/>
      </c>
      <c r="F864" s="11" t="str">
        <f t="shared" si="1005"/>
        <v/>
      </c>
      <c r="G864" s="8"/>
    </row>
    <row r="865">
      <c r="A865" s="12" t="str">
        <f t="shared" si="1003"/>
        <v/>
      </c>
      <c r="B865" s="12" t="str">
        <f>IF(ISBLANK(A860),"",LEFT(B864,27)&amp;VALUE(RIGHT(B864,1)+1))</f>
        <v/>
      </c>
      <c r="C865" s="13" t="str">
        <f t="shared" ref="C865:D865" si="1008">C864</f>
        <v/>
      </c>
      <c r="D865" s="13" t="str">
        <f t="shared" si="1008"/>
        <v/>
      </c>
      <c r="E865" s="14" t="str">
        <f>IF(ISBLANK(A860),"",E864+1)</f>
        <v/>
      </c>
      <c r="F865" s="15" t="str">
        <f t="shared" si="1005"/>
        <v/>
      </c>
      <c r="G865" s="16"/>
    </row>
    <row r="866">
      <c r="A866" s="5"/>
      <c r="B866" s="6" t="str">
        <f t="array" ref="B866">IF(ISBLANK(A866),"",IF(A866="PROREP (L)",VLOOKUP(LEFT($A866,6),'Data Feed (35C)'!$A$1:$G$10,2,FALSE),IF(A866="PROREP (S)", INDEX('Data Feed (35C)'!B:B, MATCH(LEFT($A866,6), 'Data Feed (35C)'!$A$1:$A$10, 0) + 1), VLOOKUP($A866,'Data Feed (35C)'!$A$1:$G$10,2,FALSE))))</f>
        <v/>
      </c>
      <c r="C866" s="6" t="str">
        <f t="array" ref="C866">IF(ISBLANK(A866),"",IF(A866="PROREP (L)",VLOOKUP(LEFT($A866,6),'Data Feed (35C)'!$A$1:$G$10,3,FALSE),IF(A866="PROREP (S)", INDEX('Data Feed (35C)'!C:C, MATCH(LEFT($A866,6), 'Data Feed (35C)'!$A$1:$A$10, 0) + 1, +1), VLOOKUP($A866,'Data Feed (35C)'!$A$1:$G$10,3,FALSE))))</f>
        <v/>
      </c>
      <c r="D866" s="6" t="str">
        <f t="array" ref="D866">IF(ISBLANK(A866),"",IF(A866="PROREP (L)",VLOOKUP(LEFT($A866,6),'Data Feed (35C)'!$A$1:$G$10,4,FALSE),IF(A866="PROREP (S)", INDEX('Data Feed (35C)'!D:D, MATCH(LEFT($A866,6), 'Data Feed (35C)'!$A$1:$A$10, 0) + 1, +1), VLOOKUP($A866,'Data Feed (35C)'!$A$1:$G$10,4,FALSE))))</f>
        <v/>
      </c>
      <c r="E866" s="6" t="str">
        <f t="array" ref="E866">IF(ISBLANK(A866),"",IF(A866="PROREP (L)",VLOOKUP(LEFT($A866,6),'Data Feed (35C)'!$A$1:$G$10,7,FALSE),IF(A866="PROREP (S)", INDEX('Data Feed (35C)'!G:G, MATCH(LEFT($A866,6), 'Data Feed (35C)'!$A$1:$A$10, 0) + 1, +1), VLOOKUP($A866,'Data Feed (35C)'!$A$1:$G$10,7,FALSE))))</f>
        <v/>
      </c>
      <c r="F866" s="7"/>
      <c r="G866" s="8"/>
    </row>
    <row r="867">
      <c r="A867" s="9" t="str">
        <f t="shared" ref="A867:A871" si="1010">A866</f>
        <v/>
      </c>
      <c r="B867" s="9" t="str">
        <f>IF(ISBLANK(A866),"",LEFT(B866,27)&amp;VALUE(RIGHT(B866,1)+1))</f>
        <v/>
      </c>
      <c r="C867" s="6" t="str">
        <f t="shared" ref="C867:D867" si="1009">C866</f>
        <v/>
      </c>
      <c r="D867" s="6" t="str">
        <f t="shared" si="1009"/>
        <v/>
      </c>
      <c r="E867" s="10" t="str">
        <f>IF(ISBLANK(A866),"",E866+1)</f>
        <v/>
      </c>
      <c r="F867" s="11" t="str">
        <f t="shared" ref="F867:F871" si="1012">F866</f>
        <v/>
      </c>
      <c r="G867" s="8"/>
    </row>
    <row r="868">
      <c r="A868" s="9" t="str">
        <f t="shared" si="1010"/>
        <v/>
      </c>
      <c r="B868" s="9" t="str">
        <f>IF(ISBLANK(A866),"",LEFT(B867,27)&amp;VALUE(RIGHT(B867,1)+1))</f>
        <v/>
      </c>
      <c r="C868" s="6" t="str">
        <f t="shared" ref="C868:D868" si="1011">C867</f>
        <v/>
      </c>
      <c r="D868" s="6" t="str">
        <f t="shared" si="1011"/>
        <v/>
      </c>
      <c r="E868" s="10" t="str">
        <f>IF(ISBLANK(A866),"",E867+1)</f>
        <v/>
      </c>
      <c r="F868" s="11" t="str">
        <f t="shared" si="1012"/>
        <v/>
      </c>
      <c r="G868" s="8"/>
    </row>
    <row r="869">
      <c r="A869" s="9" t="str">
        <f t="shared" si="1010"/>
        <v/>
      </c>
      <c r="B869" s="9" t="str">
        <f>IF(ISBLANK(A866),"",LEFT(B868,27)&amp;VALUE(RIGHT(B868,1)+1))</f>
        <v/>
      </c>
      <c r="C869" s="6" t="str">
        <f t="shared" ref="C869:D869" si="1013">C868</f>
        <v/>
      </c>
      <c r="D869" s="6" t="str">
        <f t="shared" si="1013"/>
        <v/>
      </c>
      <c r="E869" s="10" t="str">
        <f>IF(ISBLANK(A866),"",E868+1)</f>
        <v/>
      </c>
      <c r="F869" s="11" t="str">
        <f t="shared" si="1012"/>
        <v/>
      </c>
      <c r="G869" s="8"/>
    </row>
    <row r="870">
      <c r="A870" s="9" t="str">
        <f t="shared" si="1010"/>
        <v/>
      </c>
      <c r="B870" s="9" t="str">
        <f>IF(ISBLANK(A866),"",LEFT(B869,27)&amp;VALUE(RIGHT(B869,1)+1))</f>
        <v/>
      </c>
      <c r="C870" s="6" t="str">
        <f t="shared" ref="C870:D870" si="1014">C869</f>
        <v/>
      </c>
      <c r="D870" s="6" t="str">
        <f t="shared" si="1014"/>
        <v/>
      </c>
      <c r="E870" s="10" t="str">
        <f>IF(ISBLANK(A866),"",E869+1)</f>
        <v/>
      </c>
      <c r="F870" s="11" t="str">
        <f t="shared" si="1012"/>
        <v/>
      </c>
      <c r="G870" s="8"/>
    </row>
    <row r="871">
      <c r="A871" s="12" t="str">
        <f t="shared" si="1010"/>
        <v/>
      </c>
      <c r="B871" s="12" t="str">
        <f>IF(ISBLANK(A866),"",LEFT(B870,27)&amp;VALUE(RIGHT(B870,1)+1))</f>
        <v/>
      </c>
      <c r="C871" s="13" t="str">
        <f t="shared" ref="C871:D871" si="1015">C870</f>
        <v/>
      </c>
      <c r="D871" s="13" t="str">
        <f t="shared" si="1015"/>
        <v/>
      </c>
      <c r="E871" s="14" t="str">
        <f>IF(ISBLANK(A866),"",E870+1)</f>
        <v/>
      </c>
      <c r="F871" s="15" t="str">
        <f t="shared" si="1012"/>
        <v/>
      </c>
      <c r="G871" s="16"/>
    </row>
  </sheetData>
  <dataValidations>
    <dataValidation type="list" allowBlank="1" showErrorMessage="1" sqref="A2 A8 A14 A20 A26 A32 A38 A44 A50 A56 A62 A68 A74 A80 A86 A92 A98 A104 A110 A116 A122 A128 A134 A140 A146 A152 A158 A164 A170 A176 A182 A188 A194 A200 A206 A212 A218 A224 A230 A236 A242 A248 A254 A260 A266 A272 A278 A284 A290 A296 A302 A308 A314 A320 A326 A332 A338 A344 A350 A356 A362 A368 A374 A380 A386 A392 A398 A404 A410 A416 A422 A428 A434 A440 A446 A452 A458 A464 A470 A476 A482 A488 A494 A500 A506 A512 A518 A524 A530 A536 A542 A548 A554 A560 A566 A572 A578 A584 A590 A596 A602 A608 A614 A620 A626 A632 A638 A644 A650 A656 A662 A668 A674 A680 A686 A692 A698 A704 A710 A716 A722 A728 A734 A740 A746 A752 A758 A764 A770 A776 A782 A788 A794 A800 A806 A812 A818 A824 A830 A836 A842 A848 A854 A860 A866">
      <formula1>"PROREP (L),PROREP (S),ERIMON,CANCON"</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2" width="31.88"/>
    <col customWidth="1" min="3" max="3" width="19.75"/>
    <col customWidth="1" min="6" max="6" width="11.25"/>
    <col customWidth="1" min="7" max="7" width="6.13"/>
  </cols>
  <sheetData>
    <row r="1">
      <c r="A1" s="1" t="s">
        <v>0</v>
      </c>
      <c r="B1" s="1" t="s">
        <v>1</v>
      </c>
      <c r="C1" s="2" t="s">
        <v>2</v>
      </c>
      <c r="D1" s="2" t="s">
        <v>3</v>
      </c>
      <c r="E1" s="2" t="s">
        <v>4</v>
      </c>
      <c r="F1" s="3" t="s">
        <v>5</v>
      </c>
      <c r="G1" s="4" t="s">
        <v>6</v>
      </c>
    </row>
    <row r="2">
      <c r="A2" s="5" t="s">
        <v>7</v>
      </c>
      <c r="B2" s="6" t="str">
        <f t="array" ref="B2">IF(ISBLANK(A2),"",IF(A2="PROREP (L)",VLOOKUP(LEFT($A2,6),'Data Feed (20C)'!$A$1:$G$10,2,FALSE),IF(A2="PROREP (S)", INDEX('Data Feed (20C)'!B:B, MATCH(LEFT($A2,6), 'Data Feed (20C)'!$A$1:$A$10, 0) + 1), VLOOKUP($A2,'Data Feed (20C)'!$A$1:$G$10,2,FALSE))))</f>
        <v>JKS240702ERIMON_20C_sample_1</v>
      </c>
      <c r="C2" s="6" t="str">
        <f t="array" ref="C2">IF(ISBLANK(A2),"",IF(A2="PROREP (L)",VLOOKUP(LEFT($A2,6),'Data Feed (20C)'!$A$1:$G$10,3,FALSE),IF(A2="PROREP (S)", INDEX('Data Feed (20C)'!C:C, MATCH(LEFT($A2,6), 'Data Feed (20C)'!$A$1:$A$10, 0) + 1, +1), VLOOKUP($A2,'Data Feed (20C)'!$A$1:$G$10,3,FALSE))))</f>
        <v>Erica monsoniana</v>
      </c>
      <c r="D2" s="6" t="str">
        <f t="array" ref="D2">IF(ISBLANK(A2),"",IF(A2="PROREP (L)",VLOOKUP(LEFT($A2,6),'Data Feed (20C)'!$A$1:$G$10,4,FALSE),IF(A2="PROREP (S)", INDEX('Data Feed (20C)'!D:D, MATCH(LEFT($A2,6), 'Data Feed (20C)'!$A$1:$A$10, 0) + 1, +1), VLOOKUP($A2,'Data Feed (20C)'!$A$1:$G$10,4,FALSE))))</f>
        <v>20C</v>
      </c>
      <c r="E2" s="6">
        <f t="array" ref="E2">IF(ISBLANK(A2),"",IF(A2="PROREP (L)",VLOOKUP(LEFT($A2,6),'Data Feed (20C)'!$A$1:$G$10,7,FALSE),IF(A2="PROREP (S)", INDEX('Data Feed (20C)'!G:G, MATCH(LEFT($A2,6), 'Data Feed (20C)'!$A$1:$A$10, 0) + 1, +1), VLOOKUP($A2,'Data Feed (20C)'!$A$1:$G$10,7,FALSE))))</f>
        <v>1</v>
      </c>
      <c r="F2" s="7">
        <v>45477.52777777778</v>
      </c>
      <c r="G2" s="8">
        <v>3.392</v>
      </c>
    </row>
    <row r="3">
      <c r="A3" s="9" t="str">
        <f t="shared" ref="A3:A7" si="2">A2</f>
        <v>ERIMON</v>
      </c>
      <c r="B3" s="9" t="str">
        <f>IF(ISBLANK(A2),"",LEFT(B2,27)&amp;VALUE(RIGHT(B2,1)+1))</f>
        <v>JKS240702ERIMON_20C_sample_2</v>
      </c>
      <c r="C3" s="6" t="str">
        <f t="shared" ref="C3:D3" si="1">C2</f>
        <v>Erica monsoniana</v>
      </c>
      <c r="D3" s="6" t="str">
        <f t="shared" si="1"/>
        <v>20C</v>
      </c>
      <c r="E3" s="10">
        <f>IF(ISBLANK(A2),"",E2+1)</f>
        <v>2</v>
      </c>
      <c r="F3" s="11">
        <f t="shared" ref="F3:F7" si="4">F2</f>
        <v>45477.52778</v>
      </c>
      <c r="G3" s="8">
        <v>2.701</v>
      </c>
    </row>
    <row r="4">
      <c r="A4" s="9" t="str">
        <f t="shared" si="2"/>
        <v>ERIMON</v>
      </c>
      <c r="B4" s="9" t="str">
        <f>IF(ISBLANK(A2),"",LEFT(B3,27)&amp;VALUE(RIGHT(B3,1)+1))</f>
        <v>JKS240702ERIMON_20C_sample_3</v>
      </c>
      <c r="C4" s="6" t="str">
        <f t="shared" ref="C4:D4" si="3">C3</f>
        <v>Erica monsoniana</v>
      </c>
      <c r="D4" s="6" t="str">
        <f t="shared" si="3"/>
        <v>20C</v>
      </c>
      <c r="E4" s="10">
        <f>IF(ISBLANK(A2),"",E3+1)</f>
        <v>3</v>
      </c>
      <c r="F4" s="11">
        <f t="shared" si="4"/>
        <v>45477.52778</v>
      </c>
      <c r="G4" s="8">
        <v>2.777</v>
      </c>
    </row>
    <row r="5">
      <c r="A5" s="9" t="str">
        <f t="shared" si="2"/>
        <v>ERIMON</v>
      </c>
      <c r="B5" s="9" t="str">
        <f>IF(ISBLANK(A2),"",LEFT(B4,27)&amp;VALUE(RIGHT(B4,1)+1))</f>
        <v>JKS240702ERIMON_20C_sample_4</v>
      </c>
      <c r="C5" s="6" t="str">
        <f t="shared" ref="C5:D5" si="5">C4</f>
        <v>Erica monsoniana</v>
      </c>
      <c r="D5" s="6" t="str">
        <f t="shared" si="5"/>
        <v>20C</v>
      </c>
      <c r="E5" s="10">
        <f>IF(ISBLANK(A2),"",E4+1)</f>
        <v>4</v>
      </c>
      <c r="F5" s="11">
        <f t="shared" si="4"/>
        <v>45477.52778</v>
      </c>
      <c r="G5" s="8">
        <v>1.729</v>
      </c>
    </row>
    <row r="6">
      <c r="A6" s="9" t="str">
        <f t="shared" si="2"/>
        <v>ERIMON</v>
      </c>
      <c r="B6" s="9" t="str">
        <f>IF(ISBLANK(A2),"",LEFT(B5,27)&amp;VALUE(RIGHT(B5,1)+1))</f>
        <v>JKS240702ERIMON_20C_sample_5</v>
      </c>
      <c r="C6" s="6" t="str">
        <f t="shared" ref="C6:D6" si="6">C5</f>
        <v>Erica monsoniana</v>
      </c>
      <c r="D6" s="6" t="str">
        <f t="shared" si="6"/>
        <v>20C</v>
      </c>
      <c r="E6" s="10">
        <f>IF(ISBLANK(A2),"",E5+1)</f>
        <v>5</v>
      </c>
      <c r="F6" s="11">
        <f t="shared" si="4"/>
        <v>45477.52778</v>
      </c>
      <c r="G6" s="8">
        <v>2.339</v>
      </c>
    </row>
    <row r="7">
      <c r="A7" s="12" t="str">
        <f t="shared" si="2"/>
        <v>ERIMON</v>
      </c>
      <c r="B7" s="12" t="str">
        <f>IF(ISBLANK(A2),"",LEFT(B6,27)&amp;VALUE(RIGHT(B6,1)+1))</f>
        <v>JKS240702ERIMON_20C_sample_6</v>
      </c>
      <c r="C7" s="13" t="str">
        <f t="shared" ref="C7:D7" si="7">C6</f>
        <v>Erica monsoniana</v>
      </c>
      <c r="D7" s="13" t="str">
        <f t="shared" si="7"/>
        <v>20C</v>
      </c>
      <c r="E7" s="14">
        <f>IF(ISBLANK(A2),"",E6+1)</f>
        <v>6</v>
      </c>
      <c r="F7" s="15">
        <f t="shared" si="4"/>
        <v>45477.52778</v>
      </c>
      <c r="G7" s="16">
        <v>1.124</v>
      </c>
    </row>
    <row r="8">
      <c r="A8" s="5" t="s">
        <v>8</v>
      </c>
      <c r="B8" s="6" t="str">
        <f t="array" ref="B8">IF(ISBLANK(A8),"",IF(A8="PROREP (L)",VLOOKUP(LEFT($A8,6),'Data Feed (20C)'!$A$1:$G$10,2,FALSE),IF(A8="PROREP (S)", INDEX('Data Feed (20C)'!B:B, MATCH(LEFT($A8,6), 'Data Feed (20C)'!$A$1:$A$10, 0) + 1), VLOOKUP($A8,'Data Feed (20C)'!$A$1:$G$10,2,FALSE))))</f>
        <v>JKL240702PROREP_20C_sample_1</v>
      </c>
      <c r="C8" s="6" t="str">
        <f t="array" ref="C8">IF(ISBLANK(A8),"",IF(A8="PROREP (L)",VLOOKUP(LEFT($A8,6),'Data Feed (20C)'!$A$1:$G$10,3,FALSE),IF(A8="PROREP (S)", INDEX('Data Feed (20C)'!C:C, MATCH(LEFT($A8,6), 'Data Feed (20C)'!$A$1:$A$10, 0) + 1, +1), VLOOKUP($A8,'Data Feed (20C)'!$A$1:$G$10,3,FALSE))))</f>
        <v>Protea repens</v>
      </c>
      <c r="D8" s="6" t="str">
        <f t="array" ref="D8">IF(ISBLANK(A8),"",IF(A8="PROREP (L)",VLOOKUP(LEFT($A8,6),'Data Feed (20C)'!$A$1:$G$10,4,FALSE),IF(A8="PROREP (S)", INDEX('Data Feed (20C)'!D:D, MATCH(LEFT($A8,6), 'Data Feed (20C)'!$A$1:$A$10, 0) + 1, +1), VLOOKUP($A8,'Data Feed (20C)'!$A$1:$G$10,4,FALSE))))</f>
        <v>20C</v>
      </c>
      <c r="E8" s="6">
        <f t="array" ref="E8">IF(ISBLANK(A8),"",IF(A8="PROREP (L)",VLOOKUP(LEFT($A8,6),'Data Feed (20C)'!$A$1:$G$10,7,FALSE),IF(A8="PROREP (S)", INDEX('Data Feed (20C)'!G:G, MATCH(LEFT($A8,6), 'Data Feed (20C)'!$A$1:$A$10, 0) + 1, +1), VLOOKUP($A8,'Data Feed (20C)'!$A$1:$G$10,7,FALSE))))</f>
        <v>1</v>
      </c>
      <c r="F8" s="7">
        <v>45477.57361111111</v>
      </c>
      <c r="G8" s="8">
        <v>0.592</v>
      </c>
    </row>
    <row r="9">
      <c r="A9" s="9" t="str">
        <f t="shared" ref="A9:A13" si="9">A8</f>
        <v>PROREP (L)</v>
      </c>
      <c r="B9" s="9" t="str">
        <f>IF(ISBLANK(A8),"",LEFT(B8,27)&amp;VALUE(RIGHT(B8,1)+1))</f>
        <v>JKL240702PROREP_20C_sample_2</v>
      </c>
      <c r="C9" s="6" t="str">
        <f t="shared" ref="C9:D9" si="8">C8</f>
        <v>Protea repens</v>
      </c>
      <c r="D9" s="6" t="str">
        <f t="shared" si="8"/>
        <v>20C</v>
      </c>
      <c r="E9" s="10">
        <f>IF(ISBLANK(A8),"",E8+1)</f>
        <v>2</v>
      </c>
      <c r="F9" s="11">
        <f t="shared" ref="F9:F13" si="11">F8</f>
        <v>45477.57361</v>
      </c>
      <c r="G9" s="8">
        <v>0.451</v>
      </c>
    </row>
    <row r="10">
      <c r="A10" s="9" t="str">
        <f t="shared" si="9"/>
        <v>PROREP (L)</v>
      </c>
      <c r="B10" s="9" t="str">
        <f>IF(ISBLANK(A8),"",LEFT(B9,27)&amp;VALUE(RIGHT(B9,1)+1))</f>
        <v>JKL240702PROREP_20C_sample_3</v>
      </c>
      <c r="C10" s="6" t="str">
        <f t="shared" ref="C10:D10" si="10">C9</f>
        <v>Protea repens</v>
      </c>
      <c r="D10" s="6" t="str">
        <f t="shared" si="10"/>
        <v>20C</v>
      </c>
      <c r="E10" s="10">
        <f>IF(ISBLANK(A8),"",E9+1)</f>
        <v>3</v>
      </c>
      <c r="F10" s="11">
        <f t="shared" si="11"/>
        <v>45477.57361</v>
      </c>
      <c r="G10" s="8">
        <v>0.683</v>
      </c>
    </row>
    <row r="11">
      <c r="A11" s="9" t="str">
        <f t="shared" si="9"/>
        <v>PROREP (L)</v>
      </c>
      <c r="B11" s="9" t="str">
        <f>IF(ISBLANK(A8),"",LEFT(B10,27)&amp;VALUE(RIGHT(B10,1)+1))</f>
        <v>JKL240702PROREP_20C_sample_4</v>
      </c>
      <c r="C11" s="6" t="str">
        <f t="shared" ref="C11:D11" si="12">C10</f>
        <v>Protea repens</v>
      </c>
      <c r="D11" s="6" t="str">
        <f t="shared" si="12"/>
        <v>20C</v>
      </c>
      <c r="E11" s="10">
        <f>IF(ISBLANK(A8),"",E10+1)</f>
        <v>4</v>
      </c>
      <c r="F11" s="11">
        <f t="shared" si="11"/>
        <v>45477.57361</v>
      </c>
      <c r="G11" s="8">
        <v>0.366</v>
      </c>
    </row>
    <row r="12">
      <c r="A12" s="9" t="str">
        <f t="shared" si="9"/>
        <v>PROREP (L)</v>
      </c>
      <c r="B12" s="9" t="str">
        <f>IF(ISBLANK(A8),"",LEFT(B11,27)&amp;VALUE(RIGHT(B11,1)+1))</f>
        <v>JKL240702PROREP_20C_sample_5</v>
      </c>
      <c r="C12" s="6" t="str">
        <f t="shared" ref="C12:D12" si="13">C11</f>
        <v>Protea repens</v>
      </c>
      <c r="D12" s="6" t="str">
        <f t="shared" si="13"/>
        <v>20C</v>
      </c>
      <c r="E12" s="10">
        <f>IF(ISBLANK(A8),"",E11+1)</f>
        <v>5</v>
      </c>
      <c r="F12" s="11">
        <f t="shared" si="11"/>
        <v>45477.57361</v>
      </c>
      <c r="G12" s="8">
        <v>0.526</v>
      </c>
    </row>
    <row r="13">
      <c r="A13" s="12" t="str">
        <f t="shared" si="9"/>
        <v>PROREP (L)</v>
      </c>
      <c r="B13" s="12" t="str">
        <f>IF(ISBLANK(A8),"",LEFT(B12,27)&amp;VALUE(RIGHT(B12,1)+1))</f>
        <v>JKL240702PROREP_20C_sample_6</v>
      </c>
      <c r="C13" s="13" t="str">
        <f t="shared" ref="C13:D13" si="14">C12</f>
        <v>Protea repens</v>
      </c>
      <c r="D13" s="13" t="str">
        <f t="shared" si="14"/>
        <v>20C</v>
      </c>
      <c r="E13" s="14">
        <f>IF(ISBLANK(A8),"",E12+1)</f>
        <v>6</v>
      </c>
      <c r="F13" s="15">
        <f t="shared" si="11"/>
        <v>45477.57361</v>
      </c>
      <c r="G13" s="16">
        <v>0.442</v>
      </c>
    </row>
    <row r="14">
      <c r="A14" s="5" t="s">
        <v>7</v>
      </c>
      <c r="B14" s="6" t="str">
        <f t="array" ref="B14">IF(ISBLANK(A14),"",IF(A14="PROREP (L)",VLOOKUP(LEFT($A14,6),'Data Feed (20C)'!$A$1:$G$10,2,FALSE),IF(A14="PROREP (S)", INDEX('Data Feed (20C)'!B:B, MATCH(LEFT($A14,6), 'Data Feed (20C)'!$A$1:$A$10, 0) + 1), VLOOKUP($A14,'Data Feed (20C)'!$A$1:$G$10,2,FALSE))))</f>
        <v>JKS240702ERIMON_20C_sample_1</v>
      </c>
      <c r="C14" s="6" t="str">
        <f t="array" ref="C14">IF(ISBLANK(A14),"",IF(A14="PROREP (L)",VLOOKUP(LEFT($A14,6),'Data Feed (20C)'!$A$1:$G$10,3,FALSE),IF(A14="PROREP (S)", INDEX('Data Feed (20C)'!C:C, MATCH(LEFT($A14,6), 'Data Feed (20C)'!$A$1:$A$10, 0) + 1, +1), VLOOKUP($A14,'Data Feed (20C)'!$A$1:$G$10,3,FALSE))))</f>
        <v>Erica monsoniana</v>
      </c>
      <c r="D14" s="6" t="str">
        <f t="array" ref="D14">IF(ISBLANK(A14),"",IF(A14="PROREP (L)",VLOOKUP(LEFT($A14,6),'Data Feed (20C)'!$A$1:$G$10,4,FALSE),IF(A14="PROREP (S)", INDEX('Data Feed (20C)'!D:D, MATCH(LEFT($A14,6), 'Data Feed (20C)'!$A$1:$A$10, 0) + 1, +1), VLOOKUP($A14,'Data Feed (20C)'!$A$1:$G$10,4,FALSE))))</f>
        <v>20C</v>
      </c>
      <c r="E14" s="6">
        <f t="array" ref="E14">IF(ISBLANK(A14),"",IF(A14="PROREP (L)",VLOOKUP(LEFT($A14,6),'Data Feed (20C)'!$A$1:$G$10,7,FALSE),IF(A14="PROREP (S)", INDEX('Data Feed (20C)'!G:G, MATCH(LEFT($A14,6), 'Data Feed (20C)'!$A$1:$A$10, 0) + 1, +1), VLOOKUP($A14,'Data Feed (20C)'!$A$1:$G$10,7,FALSE))))</f>
        <v>1</v>
      </c>
      <c r="F14" s="7">
        <v>45477.57916666667</v>
      </c>
      <c r="G14" s="8">
        <v>3.275</v>
      </c>
    </row>
    <row r="15">
      <c r="A15" s="9" t="str">
        <f t="shared" ref="A15:A19" si="16">A14</f>
        <v>ERIMON</v>
      </c>
      <c r="B15" s="9" t="str">
        <f>IF(ISBLANK(A14),"",LEFT(B14,27)&amp;VALUE(RIGHT(B14,1)+1))</f>
        <v>JKS240702ERIMON_20C_sample_2</v>
      </c>
      <c r="C15" s="6" t="str">
        <f t="shared" ref="C15:D15" si="15">C14</f>
        <v>Erica monsoniana</v>
      </c>
      <c r="D15" s="6" t="str">
        <f t="shared" si="15"/>
        <v>20C</v>
      </c>
      <c r="E15" s="10">
        <f>IF(ISBLANK(A14),"",E14+1)</f>
        <v>2</v>
      </c>
      <c r="F15" s="11">
        <f t="shared" ref="F15:F19" si="18">F14</f>
        <v>45477.57917</v>
      </c>
      <c r="G15" s="8">
        <v>2.617</v>
      </c>
    </row>
    <row r="16">
      <c r="A16" s="9" t="str">
        <f t="shared" si="16"/>
        <v>ERIMON</v>
      </c>
      <c r="B16" s="9" t="str">
        <f>IF(ISBLANK(A14),"",LEFT(B15,27)&amp;VALUE(RIGHT(B15,1)+1))</f>
        <v>JKS240702ERIMON_20C_sample_3</v>
      </c>
      <c r="C16" s="6" t="str">
        <f t="shared" ref="C16:D16" si="17">C15</f>
        <v>Erica monsoniana</v>
      </c>
      <c r="D16" s="6" t="str">
        <f t="shared" si="17"/>
        <v>20C</v>
      </c>
      <c r="E16" s="10">
        <f>IF(ISBLANK(A14),"",E15+1)</f>
        <v>3</v>
      </c>
      <c r="F16" s="11">
        <f t="shared" si="18"/>
        <v>45477.57917</v>
      </c>
      <c r="G16" s="8">
        <v>2.631</v>
      </c>
    </row>
    <row r="17">
      <c r="A17" s="9" t="str">
        <f t="shared" si="16"/>
        <v>ERIMON</v>
      </c>
      <c r="B17" s="9" t="str">
        <f>IF(ISBLANK(A14),"",LEFT(B16,27)&amp;VALUE(RIGHT(B16,1)+1))</f>
        <v>JKS240702ERIMON_20C_sample_4</v>
      </c>
      <c r="C17" s="6" t="str">
        <f t="shared" ref="C17:D17" si="19">C16</f>
        <v>Erica monsoniana</v>
      </c>
      <c r="D17" s="6" t="str">
        <f t="shared" si="19"/>
        <v>20C</v>
      </c>
      <c r="E17" s="10">
        <f>IF(ISBLANK(A14),"",E16+1)</f>
        <v>4</v>
      </c>
      <c r="F17" s="11">
        <f t="shared" si="18"/>
        <v>45477.57917</v>
      </c>
      <c r="G17" s="8">
        <v>1.687</v>
      </c>
    </row>
    <row r="18">
      <c r="A18" s="9" t="str">
        <f t="shared" si="16"/>
        <v>ERIMON</v>
      </c>
      <c r="B18" s="9" t="str">
        <f>IF(ISBLANK(A14),"",LEFT(B17,27)&amp;VALUE(RIGHT(B17,1)+1))</f>
        <v>JKS240702ERIMON_20C_sample_5</v>
      </c>
      <c r="C18" s="6" t="str">
        <f t="shared" ref="C18:D18" si="20">C17</f>
        <v>Erica monsoniana</v>
      </c>
      <c r="D18" s="6" t="str">
        <f t="shared" si="20"/>
        <v>20C</v>
      </c>
      <c r="E18" s="10">
        <f>IF(ISBLANK(A14),"",E17+1)</f>
        <v>5</v>
      </c>
      <c r="F18" s="11">
        <f t="shared" si="18"/>
        <v>45477.57917</v>
      </c>
      <c r="G18" s="8">
        <v>2.246</v>
      </c>
    </row>
    <row r="19">
      <c r="A19" s="12" t="str">
        <f t="shared" si="16"/>
        <v>ERIMON</v>
      </c>
      <c r="B19" s="12" t="str">
        <f>IF(ISBLANK(A14),"",LEFT(B18,27)&amp;VALUE(RIGHT(B18,1)+1))</f>
        <v>JKS240702ERIMON_20C_sample_6</v>
      </c>
      <c r="C19" s="13" t="str">
        <f t="shared" ref="C19:D19" si="21">C18</f>
        <v>Erica monsoniana</v>
      </c>
      <c r="D19" s="13" t="str">
        <f t="shared" si="21"/>
        <v>20C</v>
      </c>
      <c r="E19" s="14">
        <f>IF(ISBLANK(A14),"",E18+1)</f>
        <v>6</v>
      </c>
      <c r="F19" s="15">
        <f t="shared" si="18"/>
        <v>45477.57917</v>
      </c>
      <c r="G19" s="16">
        <v>1.07</v>
      </c>
    </row>
    <row r="20">
      <c r="A20" s="5" t="s">
        <v>9</v>
      </c>
      <c r="B20" s="6" t="str">
        <f t="array" ref="B20">IF(ISBLANK(A20),"",IF(A20="PROREP (L)",VLOOKUP(LEFT($A20,6),'Data Feed (20C)'!$A$1:$G$10,2,FALSE),IF(A20="PROREP (S)", INDEX('Data Feed (20C)'!B:B, MATCH(LEFT($A20,6), 'Data Feed (20C)'!$A$1:$A$10, 0) + 1), VLOOKUP($A20,'Data Feed (20C)'!$A$1:$G$10,2,FALSE))))</f>
        <v>JKS240702PROREP_20C_sample_1</v>
      </c>
      <c r="C20" s="6" t="str">
        <f t="array" ref="C20">IF(ISBLANK(A20),"",IF(A20="PROREP (L)",VLOOKUP(LEFT($A20,6),'Data Feed (20C)'!$A$1:$G$10,3,FALSE),IF(A20="PROREP (S)", INDEX('Data Feed (20C)'!C:C, MATCH(LEFT($A20,6), 'Data Feed (20C)'!$A$1:$A$10, 0) + 1, +1), VLOOKUP($A20,'Data Feed (20C)'!$A$1:$G$10,3,FALSE))))</f>
        <v>Protea repens</v>
      </c>
      <c r="D20" s="6" t="str">
        <f t="array" ref="D20">IF(ISBLANK(A20),"",IF(A20="PROREP (L)",VLOOKUP(LEFT($A20,6),'Data Feed (20C)'!$A$1:$G$10,4,FALSE),IF(A20="PROREP (S)", INDEX('Data Feed (20C)'!D:D, MATCH(LEFT($A20,6), 'Data Feed (20C)'!$A$1:$A$10, 0) + 1, +1), VLOOKUP($A20,'Data Feed (20C)'!$A$1:$G$10,4,FALSE))))</f>
        <v>20C</v>
      </c>
      <c r="E20" s="6">
        <f t="array" ref="E20">IF(ISBLANK(A20),"",IF(A20="PROREP (L)",VLOOKUP(LEFT($A20,6),'Data Feed (20C)'!$A$1:$G$10,7,FALSE),IF(A20="PROREP (S)", INDEX('Data Feed (20C)'!G:G, MATCH(LEFT($A20,6), 'Data Feed (20C)'!$A$1:$A$10, 0) + 1, +1), VLOOKUP($A20,'Data Feed (20C)'!$A$1:$G$10,7,FALSE))))</f>
        <v>1</v>
      </c>
      <c r="F20" s="7">
        <v>45477.61666666667</v>
      </c>
      <c r="G20" s="8">
        <v>3.509</v>
      </c>
    </row>
    <row r="21">
      <c r="A21" s="9" t="str">
        <f t="shared" ref="A21:A25" si="23">A20</f>
        <v>PROREP (S)</v>
      </c>
      <c r="B21" s="9" t="str">
        <f>IF(ISBLANK(A20),"",LEFT(B20,27)&amp;VALUE(RIGHT(B20,1)+1))</f>
        <v>JKS240702PROREP_20C_sample_2</v>
      </c>
      <c r="C21" s="6" t="str">
        <f t="shared" ref="C21:D21" si="22">C20</f>
        <v>Protea repens</v>
      </c>
      <c r="D21" s="6" t="str">
        <f t="shared" si="22"/>
        <v>20C</v>
      </c>
      <c r="E21" s="10">
        <f>IF(ISBLANK(A20),"",E20+1)</f>
        <v>2</v>
      </c>
      <c r="F21" s="11">
        <f t="shared" ref="F21:F25" si="25">F20</f>
        <v>45477.61667</v>
      </c>
      <c r="G21" s="8">
        <v>12.993</v>
      </c>
    </row>
    <row r="22">
      <c r="A22" s="9" t="str">
        <f t="shared" si="23"/>
        <v>PROREP (S)</v>
      </c>
      <c r="B22" s="9" t="str">
        <f>IF(ISBLANK(A20),"",LEFT(B21,27)&amp;VALUE(RIGHT(B21,1)+1))</f>
        <v>JKS240702PROREP_20C_sample_3</v>
      </c>
      <c r="C22" s="6" t="str">
        <f t="shared" ref="C22:D22" si="24">C21</f>
        <v>Protea repens</v>
      </c>
      <c r="D22" s="6" t="str">
        <f t="shared" si="24"/>
        <v>20C</v>
      </c>
      <c r="E22" s="10">
        <f>IF(ISBLANK(A20),"",E21+1)</f>
        <v>3</v>
      </c>
      <c r="F22" s="11">
        <f t="shared" si="25"/>
        <v>45477.61667</v>
      </c>
      <c r="G22" s="8">
        <v>16.564</v>
      </c>
    </row>
    <row r="23">
      <c r="A23" s="9" t="str">
        <f t="shared" si="23"/>
        <v>PROREP (S)</v>
      </c>
      <c r="B23" s="9" t="str">
        <f>IF(ISBLANK(A20),"",LEFT(B22,27)&amp;VALUE(RIGHT(B22,1)+1))</f>
        <v>JKS240702PROREP_20C_sample_4</v>
      </c>
      <c r="C23" s="6" t="str">
        <f t="shared" ref="C23:D23" si="26">C22</f>
        <v>Protea repens</v>
      </c>
      <c r="D23" s="6" t="str">
        <f t="shared" si="26"/>
        <v>20C</v>
      </c>
      <c r="E23" s="10">
        <f>IF(ISBLANK(A20),"",E22+1)</f>
        <v>4</v>
      </c>
      <c r="F23" s="11">
        <f t="shared" si="25"/>
        <v>45477.61667</v>
      </c>
      <c r="G23" s="8">
        <v>7.602</v>
      </c>
    </row>
    <row r="24">
      <c r="A24" s="9" t="str">
        <f t="shared" si="23"/>
        <v>PROREP (S)</v>
      </c>
      <c r="B24" s="9" t="str">
        <f>IF(ISBLANK(A20),"",LEFT(B23,27)&amp;VALUE(RIGHT(B23,1)+1))</f>
        <v>JKS240702PROREP_20C_sample_5</v>
      </c>
      <c r="C24" s="6" t="str">
        <f t="shared" ref="C24:D24" si="27">C23</f>
        <v>Protea repens</v>
      </c>
      <c r="D24" s="6" t="str">
        <f t="shared" si="27"/>
        <v>20C</v>
      </c>
      <c r="E24" s="10">
        <f>IF(ISBLANK(A20),"",E23+1)</f>
        <v>5</v>
      </c>
      <c r="F24" s="11">
        <f t="shared" si="25"/>
        <v>45477.61667</v>
      </c>
      <c r="G24" s="8">
        <v>7.244</v>
      </c>
    </row>
    <row r="25">
      <c r="A25" s="12" t="str">
        <f t="shared" si="23"/>
        <v>PROREP (S)</v>
      </c>
      <c r="B25" s="12" t="str">
        <f>IF(ISBLANK(A20),"",LEFT(B24,27)&amp;VALUE(RIGHT(B24,1)+1))</f>
        <v>JKS240702PROREP_20C_sample_6</v>
      </c>
      <c r="C25" s="13" t="str">
        <f t="shared" ref="C25:D25" si="28">C24</f>
        <v>Protea repens</v>
      </c>
      <c r="D25" s="13" t="str">
        <f t="shared" si="28"/>
        <v>20C</v>
      </c>
      <c r="E25" s="14">
        <f>IF(ISBLANK(A20),"",E24+1)</f>
        <v>6</v>
      </c>
      <c r="F25" s="15">
        <f t="shared" si="25"/>
        <v>45477.61667</v>
      </c>
      <c r="G25" s="16">
        <v>26.938</v>
      </c>
    </row>
    <row r="26">
      <c r="A26" s="5" t="s">
        <v>7</v>
      </c>
      <c r="B26" s="6" t="str">
        <f t="array" ref="B26">IF(ISBLANK(A26),"",IF(A26="PROREP (L)",VLOOKUP(LEFT($A26,6),'Data Feed (20C)'!$A$1:$G$10,2,FALSE),IF(A26="PROREP (S)", INDEX('Data Feed (20C)'!B:B, MATCH(LEFT($A26,6), 'Data Feed (20C)'!$A$1:$A$10, 0) + 1), VLOOKUP($A26,'Data Feed (20C)'!$A$1:$G$10,2,FALSE))))</f>
        <v>JKS240702ERIMON_20C_sample_1</v>
      </c>
      <c r="C26" s="6" t="str">
        <f t="array" ref="C26">IF(ISBLANK(A26),"",IF(A26="PROREP (L)",VLOOKUP(LEFT($A26,6),'Data Feed (20C)'!$A$1:$G$10,3,FALSE),IF(A26="PROREP (S)", INDEX('Data Feed (20C)'!C:C, MATCH(LEFT($A26,6), 'Data Feed (20C)'!$A$1:$A$10, 0) + 1, +1), VLOOKUP($A26,'Data Feed (20C)'!$A$1:$G$10,3,FALSE))))</f>
        <v>Erica monsoniana</v>
      </c>
      <c r="D26" s="6" t="str">
        <f t="array" ref="D26">IF(ISBLANK(A26),"",IF(A26="PROREP (L)",VLOOKUP(LEFT($A26,6),'Data Feed (20C)'!$A$1:$G$10,4,FALSE),IF(A26="PROREP (S)", INDEX('Data Feed (20C)'!D:D, MATCH(LEFT($A26,6), 'Data Feed (20C)'!$A$1:$A$10, 0) + 1, +1), VLOOKUP($A26,'Data Feed (20C)'!$A$1:$G$10,4,FALSE))))</f>
        <v>20C</v>
      </c>
      <c r="E26" s="6">
        <f t="array" ref="E26">IF(ISBLANK(A26),"",IF(A26="PROREP (L)",VLOOKUP(LEFT($A26,6),'Data Feed (20C)'!$A$1:$G$10,7,FALSE),IF(A26="PROREP (S)", INDEX('Data Feed (20C)'!G:G, MATCH(LEFT($A26,6), 'Data Feed (20C)'!$A$1:$A$10, 0) + 1, +1), VLOOKUP($A26,'Data Feed (20C)'!$A$1:$G$10,7,FALSE))))</f>
        <v>1</v>
      </c>
      <c r="F26" s="7">
        <v>45477.61944444444</v>
      </c>
      <c r="G26" s="8">
        <v>3.2</v>
      </c>
    </row>
    <row r="27">
      <c r="A27" s="9" t="str">
        <f t="shared" ref="A27:A31" si="30">A26</f>
        <v>ERIMON</v>
      </c>
      <c r="B27" s="9" t="str">
        <f>IF(ISBLANK(A26),"",LEFT(B26,27)&amp;VALUE(RIGHT(B26,1)+1))</f>
        <v>JKS240702ERIMON_20C_sample_2</v>
      </c>
      <c r="C27" s="6" t="str">
        <f t="shared" ref="C27:D27" si="29">C26</f>
        <v>Erica monsoniana</v>
      </c>
      <c r="D27" s="6" t="str">
        <f t="shared" si="29"/>
        <v>20C</v>
      </c>
      <c r="E27" s="10">
        <f>IF(ISBLANK(A26),"",E26+1)</f>
        <v>2</v>
      </c>
      <c r="F27" s="11">
        <f t="shared" ref="F27:F31" si="32">F26</f>
        <v>45477.61944</v>
      </c>
      <c r="G27" s="8">
        <v>2.578</v>
      </c>
    </row>
    <row r="28">
      <c r="A28" s="9" t="str">
        <f t="shared" si="30"/>
        <v>ERIMON</v>
      </c>
      <c r="B28" s="9" t="str">
        <f>IF(ISBLANK(A26),"",LEFT(B27,27)&amp;VALUE(RIGHT(B27,1)+1))</f>
        <v>JKS240702ERIMON_20C_sample_3</v>
      </c>
      <c r="C28" s="6" t="str">
        <f t="shared" ref="C28:D28" si="31">C27</f>
        <v>Erica monsoniana</v>
      </c>
      <c r="D28" s="6" t="str">
        <f t="shared" si="31"/>
        <v>20C</v>
      </c>
      <c r="E28" s="10">
        <f>IF(ISBLANK(A26),"",E27+1)</f>
        <v>3</v>
      </c>
      <c r="F28" s="11">
        <f t="shared" si="32"/>
        <v>45477.61944</v>
      </c>
      <c r="G28" s="8">
        <v>2.555</v>
      </c>
    </row>
    <row r="29">
      <c r="A29" s="9" t="str">
        <f t="shared" si="30"/>
        <v>ERIMON</v>
      </c>
      <c r="B29" s="9" t="str">
        <f>IF(ISBLANK(A26),"",LEFT(B28,27)&amp;VALUE(RIGHT(B28,1)+1))</f>
        <v>JKS240702ERIMON_20C_sample_4</v>
      </c>
      <c r="C29" s="6" t="str">
        <f t="shared" ref="C29:D29" si="33">C28</f>
        <v>Erica monsoniana</v>
      </c>
      <c r="D29" s="6" t="str">
        <f t="shared" si="33"/>
        <v>20C</v>
      </c>
      <c r="E29" s="10">
        <f>IF(ISBLANK(A26),"",E28+1)</f>
        <v>4</v>
      </c>
      <c r="F29" s="11">
        <f t="shared" si="32"/>
        <v>45477.61944</v>
      </c>
      <c r="G29" s="8">
        <v>1.648</v>
      </c>
    </row>
    <row r="30">
      <c r="A30" s="9" t="str">
        <f t="shared" si="30"/>
        <v>ERIMON</v>
      </c>
      <c r="B30" s="9" t="str">
        <f>IF(ISBLANK(A26),"",LEFT(B29,27)&amp;VALUE(RIGHT(B29,1)+1))</f>
        <v>JKS240702ERIMON_20C_sample_5</v>
      </c>
      <c r="C30" s="6" t="str">
        <f t="shared" ref="C30:D30" si="34">C29</f>
        <v>Erica monsoniana</v>
      </c>
      <c r="D30" s="6" t="str">
        <f t="shared" si="34"/>
        <v>20C</v>
      </c>
      <c r="E30" s="10">
        <f>IF(ISBLANK(A26),"",E29+1)</f>
        <v>5</v>
      </c>
      <c r="F30" s="11">
        <f t="shared" si="32"/>
        <v>45477.61944</v>
      </c>
      <c r="G30" s="8">
        <v>2.204</v>
      </c>
    </row>
    <row r="31">
      <c r="A31" s="12" t="str">
        <f t="shared" si="30"/>
        <v>ERIMON</v>
      </c>
      <c r="B31" s="12" t="str">
        <f>IF(ISBLANK(A26),"",LEFT(B30,27)&amp;VALUE(RIGHT(B30,1)+1))</f>
        <v>JKS240702ERIMON_20C_sample_6</v>
      </c>
      <c r="C31" s="13" t="str">
        <f t="shared" ref="C31:D31" si="35">C30</f>
        <v>Erica monsoniana</v>
      </c>
      <c r="D31" s="13" t="str">
        <f t="shared" si="35"/>
        <v>20C</v>
      </c>
      <c r="E31" s="14">
        <f>IF(ISBLANK(A26),"",E30+1)</f>
        <v>6</v>
      </c>
      <c r="F31" s="15">
        <f t="shared" si="32"/>
        <v>45477.61944</v>
      </c>
      <c r="G31" s="16">
        <v>1.051</v>
      </c>
    </row>
    <row r="32">
      <c r="A32" s="5" t="s">
        <v>8</v>
      </c>
      <c r="B32" s="6" t="str">
        <f t="array" ref="B32">IF(ISBLANK(A32),"",IF(A32="PROREP (L)",VLOOKUP(LEFT($A32,6),'Data Feed (20C)'!$A$1:$G$10,2,FALSE),IF(A32="PROREP (S)", INDEX('Data Feed (20C)'!B:B, MATCH(LEFT($A32,6), 'Data Feed (20C)'!$A$1:$A$10, 0) + 1), VLOOKUP($A32,'Data Feed (20C)'!$A$1:$G$10,2,FALSE))))</f>
        <v>JKL240702PROREP_20C_sample_1</v>
      </c>
      <c r="C32" s="6" t="str">
        <f t="array" ref="C32">IF(ISBLANK(A32),"",IF(A32="PROREP (L)",VLOOKUP(LEFT($A32,6),'Data Feed (20C)'!$A$1:$G$10,3,FALSE),IF(A32="PROREP (S)", INDEX('Data Feed (20C)'!C:C, MATCH(LEFT($A32,6), 'Data Feed (20C)'!$A$1:$A$10, 0) + 1, +1), VLOOKUP($A32,'Data Feed (20C)'!$A$1:$G$10,3,FALSE))))</f>
        <v>Protea repens</v>
      </c>
      <c r="D32" s="6" t="str">
        <f t="array" ref="D32">IF(ISBLANK(A32),"",IF(A32="PROREP (L)",VLOOKUP(LEFT($A32,6),'Data Feed (20C)'!$A$1:$G$10,4,FALSE),IF(A32="PROREP (S)", INDEX('Data Feed (20C)'!D:D, MATCH(LEFT($A32,6), 'Data Feed (20C)'!$A$1:$A$10, 0) + 1, +1), VLOOKUP($A32,'Data Feed (20C)'!$A$1:$G$10,4,FALSE))))</f>
        <v>20C</v>
      </c>
      <c r="E32" s="6">
        <f t="array" ref="E32">IF(ISBLANK(A32),"",IF(A32="PROREP (L)",VLOOKUP(LEFT($A32,6),'Data Feed (20C)'!$A$1:$G$10,7,FALSE),IF(A32="PROREP (S)", INDEX('Data Feed (20C)'!G:G, MATCH(LEFT($A32,6), 'Data Feed (20C)'!$A$1:$A$10, 0) + 1, +1), VLOOKUP($A32,'Data Feed (20C)'!$A$1:$G$10,7,FALSE))))</f>
        <v>1</v>
      </c>
      <c r="F32" s="7">
        <v>45477.62222222222</v>
      </c>
      <c r="G32" s="8">
        <v>0.589</v>
      </c>
    </row>
    <row r="33">
      <c r="A33" s="9" t="str">
        <f t="shared" ref="A33:A37" si="37">A32</f>
        <v>PROREP (L)</v>
      </c>
      <c r="B33" s="9" t="str">
        <f>IF(ISBLANK(A32),"",LEFT(B32,27)&amp;VALUE(RIGHT(B32,1)+1))</f>
        <v>JKL240702PROREP_20C_sample_2</v>
      </c>
      <c r="C33" s="6" t="str">
        <f t="shared" ref="C33:D33" si="36">C32</f>
        <v>Protea repens</v>
      </c>
      <c r="D33" s="6" t="str">
        <f t="shared" si="36"/>
        <v>20C</v>
      </c>
      <c r="E33" s="10">
        <f>IF(ISBLANK(A32),"",E32+1)</f>
        <v>2</v>
      </c>
      <c r="F33" s="11">
        <f t="shared" ref="F33:F37" si="39">F32</f>
        <v>45477.62222</v>
      </c>
      <c r="G33" s="8">
        <v>0.449</v>
      </c>
    </row>
    <row r="34">
      <c r="A34" s="9" t="str">
        <f t="shared" si="37"/>
        <v>PROREP (L)</v>
      </c>
      <c r="B34" s="9" t="str">
        <f>IF(ISBLANK(A32),"",LEFT(B33,27)&amp;VALUE(RIGHT(B33,1)+1))</f>
        <v>JKL240702PROREP_20C_sample_3</v>
      </c>
      <c r="C34" s="6" t="str">
        <f t="shared" ref="C34:D34" si="38">C33</f>
        <v>Protea repens</v>
      </c>
      <c r="D34" s="6" t="str">
        <f t="shared" si="38"/>
        <v>20C</v>
      </c>
      <c r="E34" s="10">
        <f>IF(ISBLANK(A32),"",E33+1)</f>
        <v>3</v>
      </c>
      <c r="F34" s="11">
        <f t="shared" si="39"/>
        <v>45477.62222</v>
      </c>
      <c r="G34" s="8">
        <v>0.674</v>
      </c>
    </row>
    <row r="35">
      <c r="A35" s="9" t="str">
        <f t="shared" si="37"/>
        <v>PROREP (L)</v>
      </c>
      <c r="B35" s="9" t="str">
        <f>IF(ISBLANK(A32),"",LEFT(B34,27)&amp;VALUE(RIGHT(B34,1)+1))</f>
        <v>JKL240702PROREP_20C_sample_4</v>
      </c>
      <c r="C35" s="6" t="str">
        <f t="shared" ref="C35:D35" si="40">C34</f>
        <v>Protea repens</v>
      </c>
      <c r="D35" s="6" t="str">
        <f t="shared" si="40"/>
        <v>20C</v>
      </c>
      <c r="E35" s="10">
        <f>IF(ISBLANK(A32),"",E34+1)</f>
        <v>4</v>
      </c>
      <c r="F35" s="11">
        <f t="shared" si="39"/>
        <v>45477.62222</v>
      </c>
      <c r="G35" s="8">
        <v>0.36</v>
      </c>
    </row>
    <row r="36">
      <c r="A36" s="9" t="str">
        <f t="shared" si="37"/>
        <v>PROREP (L)</v>
      </c>
      <c r="B36" s="9" t="str">
        <f>IF(ISBLANK(A32),"",LEFT(B35,27)&amp;VALUE(RIGHT(B35,1)+1))</f>
        <v>JKL240702PROREP_20C_sample_5</v>
      </c>
      <c r="C36" s="6" t="str">
        <f t="shared" ref="C36:D36" si="41">C35</f>
        <v>Protea repens</v>
      </c>
      <c r="D36" s="6" t="str">
        <f t="shared" si="41"/>
        <v>20C</v>
      </c>
      <c r="E36" s="10">
        <f>IF(ISBLANK(A32),"",E35+1)</f>
        <v>5</v>
      </c>
      <c r="F36" s="11">
        <f t="shared" si="39"/>
        <v>45477.62222</v>
      </c>
      <c r="G36" s="8">
        <v>0.515</v>
      </c>
    </row>
    <row r="37">
      <c r="A37" s="12" t="str">
        <f t="shared" si="37"/>
        <v>PROREP (L)</v>
      </c>
      <c r="B37" s="12" t="str">
        <f>IF(ISBLANK(A32),"",LEFT(B36,27)&amp;VALUE(RIGHT(B36,1)+1))</f>
        <v>JKL240702PROREP_20C_sample_6</v>
      </c>
      <c r="C37" s="13" t="str">
        <f t="shared" ref="C37:D37" si="42">C36</f>
        <v>Protea repens</v>
      </c>
      <c r="D37" s="13" t="str">
        <f t="shared" si="42"/>
        <v>20C</v>
      </c>
      <c r="E37" s="14">
        <f>IF(ISBLANK(A32),"",E36+1)</f>
        <v>6</v>
      </c>
      <c r="F37" s="15">
        <f t="shared" si="39"/>
        <v>45477.62222</v>
      </c>
      <c r="G37" s="16">
        <v>0.431</v>
      </c>
    </row>
    <row r="38">
      <c r="A38" s="5" t="s">
        <v>7</v>
      </c>
      <c r="B38" s="6" t="str">
        <f t="array" ref="B38">IF(ISBLANK(A38),"",IF(A38="PROREP (L)",VLOOKUP(LEFT($A38,6),'Data Feed (20C)'!$A$1:$G$10,2,FALSE),IF(A38="PROREP (S)", INDEX('Data Feed (20C)'!B:B, MATCH(LEFT($A38,6), 'Data Feed (20C)'!$A$1:$A$10, 0) + 1), VLOOKUP($A38,'Data Feed (20C)'!$A$1:$G$10,2,FALSE))))</f>
        <v>JKS240702ERIMON_20C_sample_1</v>
      </c>
      <c r="C38" s="6" t="str">
        <f t="array" ref="C38">IF(ISBLANK(A38),"",IF(A38="PROREP (L)",VLOOKUP(LEFT($A38,6),'Data Feed (20C)'!$A$1:$G$10,3,FALSE),IF(A38="PROREP (S)", INDEX('Data Feed (20C)'!C:C, MATCH(LEFT($A38,6), 'Data Feed (20C)'!$A$1:$A$10, 0) + 1, +1), VLOOKUP($A38,'Data Feed (20C)'!$A$1:$G$10,3,FALSE))))</f>
        <v>Erica monsoniana</v>
      </c>
      <c r="D38" s="6" t="str">
        <f t="array" ref="D38">IF(ISBLANK(A38),"",IF(A38="PROREP (L)",VLOOKUP(LEFT($A38,6),'Data Feed (20C)'!$A$1:$G$10,4,FALSE),IF(A38="PROREP (S)", INDEX('Data Feed (20C)'!D:D, MATCH(LEFT($A38,6), 'Data Feed (20C)'!$A$1:$A$10, 0) + 1, +1), VLOOKUP($A38,'Data Feed (20C)'!$A$1:$G$10,4,FALSE))))</f>
        <v>20C</v>
      </c>
      <c r="E38" s="6">
        <f t="array" ref="E38">IF(ISBLANK(A38),"",IF(A38="PROREP (L)",VLOOKUP(LEFT($A38,6),'Data Feed (20C)'!$A$1:$G$10,7,FALSE),IF(A38="PROREP (S)", INDEX('Data Feed (20C)'!G:G, MATCH(LEFT($A38,6), 'Data Feed (20C)'!$A$1:$A$10, 0) + 1, +1), VLOOKUP($A38,'Data Feed (20C)'!$A$1:$G$10,7,FALSE))))</f>
        <v>1</v>
      </c>
      <c r="F38" s="7">
        <v>45477.66458333333</v>
      </c>
      <c r="G38" s="8">
        <v>3.124</v>
      </c>
    </row>
    <row r="39">
      <c r="A39" s="9" t="str">
        <f t="shared" ref="A39:A43" si="44">A38</f>
        <v>ERIMON</v>
      </c>
      <c r="B39" s="9" t="str">
        <f>IF(ISBLANK(A38),"",LEFT(B38,27)&amp;VALUE(RIGHT(B38,1)+1))</f>
        <v>JKS240702ERIMON_20C_sample_2</v>
      </c>
      <c r="C39" s="6" t="str">
        <f t="shared" ref="C39:D39" si="43">C38</f>
        <v>Erica monsoniana</v>
      </c>
      <c r="D39" s="6" t="str">
        <f t="shared" si="43"/>
        <v>20C</v>
      </c>
      <c r="E39" s="10">
        <f>IF(ISBLANK(A38),"",E38+1)</f>
        <v>2</v>
      </c>
      <c r="F39" s="11">
        <f t="shared" ref="F39:F43" si="46">F38</f>
        <v>45477.66458</v>
      </c>
      <c r="G39" s="8">
        <v>2.539</v>
      </c>
    </row>
    <row r="40">
      <c r="A40" s="9" t="str">
        <f t="shared" si="44"/>
        <v>ERIMON</v>
      </c>
      <c r="B40" s="9" t="str">
        <f>IF(ISBLANK(A38),"",LEFT(B39,27)&amp;VALUE(RIGHT(B39,1)+1))</f>
        <v>JKS240702ERIMON_20C_sample_3</v>
      </c>
      <c r="C40" s="6" t="str">
        <f t="shared" ref="C40:D40" si="45">C39</f>
        <v>Erica monsoniana</v>
      </c>
      <c r="D40" s="6" t="str">
        <f t="shared" si="45"/>
        <v>20C</v>
      </c>
      <c r="E40" s="10">
        <f>IF(ISBLANK(A38),"",E39+1)</f>
        <v>3</v>
      </c>
      <c r="F40" s="11">
        <f t="shared" si="46"/>
        <v>45477.66458</v>
      </c>
      <c r="G40" s="8">
        <v>2.496</v>
      </c>
    </row>
    <row r="41">
      <c r="A41" s="9" t="str">
        <f t="shared" si="44"/>
        <v>ERIMON</v>
      </c>
      <c r="B41" s="9" t="str">
        <f>IF(ISBLANK(A38),"",LEFT(B40,27)&amp;VALUE(RIGHT(B40,1)+1))</f>
        <v>JKS240702ERIMON_20C_sample_4</v>
      </c>
      <c r="C41" s="6" t="str">
        <f t="shared" ref="C41:D41" si="47">C40</f>
        <v>Erica monsoniana</v>
      </c>
      <c r="D41" s="6" t="str">
        <f t="shared" si="47"/>
        <v>20C</v>
      </c>
      <c r="E41" s="10">
        <f>IF(ISBLANK(A38),"",E40+1)</f>
        <v>4</v>
      </c>
      <c r="F41" s="11">
        <f t="shared" si="46"/>
        <v>45477.66458</v>
      </c>
      <c r="G41" s="8">
        <v>1.616</v>
      </c>
    </row>
    <row r="42">
      <c r="A42" s="9" t="str">
        <f t="shared" si="44"/>
        <v>ERIMON</v>
      </c>
      <c r="B42" s="9" t="str">
        <f>IF(ISBLANK(A38),"",LEFT(B41,27)&amp;VALUE(RIGHT(B41,1)+1))</f>
        <v>JKS240702ERIMON_20C_sample_5</v>
      </c>
      <c r="C42" s="6" t="str">
        <f t="shared" ref="C42:D42" si="48">C41</f>
        <v>Erica monsoniana</v>
      </c>
      <c r="D42" s="6" t="str">
        <f t="shared" si="48"/>
        <v>20C</v>
      </c>
      <c r="E42" s="10">
        <f>IF(ISBLANK(A38),"",E41+1)</f>
        <v>5</v>
      </c>
      <c r="F42" s="11">
        <f t="shared" si="46"/>
        <v>45477.66458</v>
      </c>
      <c r="G42" s="8">
        <v>2.154</v>
      </c>
    </row>
    <row r="43">
      <c r="A43" s="12" t="str">
        <f t="shared" si="44"/>
        <v>ERIMON</v>
      </c>
      <c r="B43" s="12" t="str">
        <f>IF(ISBLANK(A38),"",LEFT(B42,27)&amp;VALUE(RIGHT(B42,1)+1))</f>
        <v>JKS240702ERIMON_20C_sample_6</v>
      </c>
      <c r="C43" s="13" t="str">
        <f t="shared" ref="C43:D43" si="49">C42</f>
        <v>Erica monsoniana</v>
      </c>
      <c r="D43" s="13" t="str">
        <f t="shared" si="49"/>
        <v>20C</v>
      </c>
      <c r="E43" s="14">
        <f>IF(ISBLANK(A38),"",E42+1)</f>
        <v>6</v>
      </c>
      <c r="F43" s="15">
        <f t="shared" si="46"/>
        <v>45477.66458</v>
      </c>
      <c r="G43" s="16">
        <v>1.023</v>
      </c>
    </row>
    <row r="44">
      <c r="A44" s="5" t="s">
        <v>8</v>
      </c>
      <c r="B44" s="6" t="str">
        <f t="array" ref="B44">IF(ISBLANK(A44),"",IF(A44="PROREP (L)",VLOOKUP(LEFT($A44,6),'Data Feed (20C)'!$A$1:$G$10,2,FALSE),IF(A44="PROREP (S)", INDEX('Data Feed (20C)'!B:B, MATCH(LEFT($A44,6), 'Data Feed (20C)'!$A$1:$A$10, 0) + 1), VLOOKUP($A44,'Data Feed (20C)'!$A$1:$G$10,2,FALSE))))</f>
        <v>JKL240702PROREP_20C_sample_1</v>
      </c>
      <c r="C44" s="6" t="str">
        <f t="array" ref="C44">IF(ISBLANK(A44),"",IF(A44="PROREP (L)",VLOOKUP(LEFT($A44,6),'Data Feed (20C)'!$A$1:$G$10,3,FALSE),IF(A44="PROREP (S)", INDEX('Data Feed (20C)'!C:C, MATCH(LEFT($A44,6), 'Data Feed (20C)'!$A$1:$A$10, 0) + 1, +1), VLOOKUP($A44,'Data Feed (20C)'!$A$1:$G$10,3,FALSE))))</f>
        <v>Protea repens</v>
      </c>
      <c r="D44" s="6" t="str">
        <f t="array" ref="D44">IF(ISBLANK(A44),"",IF(A44="PROREP (L)",VLOOKUP(LEFT($A44,6),'Data Feed (20C)'!$A$1:$G$10,4,FALSE),IF(A44="PROREP (S)", INDEX('Data Feed (20C)'!D:D, MATCH(LEFT($A44,6), 'Data Feed (20C)'!$A$1:$A$10, 0) + 1, +1), VLOOKUP($A44,'Data Feed (20C)'!$A$1:$G$10,4,FALSE))))</f>
        <v>20C</v>
      </c>
      <c r="E44" s="6">
        <f t="array" ref="E44">IF(ISBLANK(A44),"",IF(A44="PROREP (L)",VLOOKUP(LEFT($A44,6),'Data Feed (20C)'!$A$1:$G$10,7,FALSE),IF(A44="PROREP (S)", INDEX('Data Feed (20C)'!G:G, MATCH(LEFT($A44,6), 'Data Feed (20C)'!$A$1:$A$10, 0) + 1, +1), VLOOKUP($A44,'Data Feed (20C)'!$A$1:$G$10,7,FALSE))))</f>
        <v>1</v>
      </c>
      <c r="F44" s="7">
        <v>45477.666666666664</v>
      </c>
      <c r="G44" s="8">
        <v>0.591</v>
      </c>
    </row>
    <row r="45">
      <c r="A45" s="9" t="str">
        <f t="shared" ref="A45:A49" si="51">A44</f>
        <v>PROREP (L)</v>
      </c>
      <c r="B45" s="9" t="str">
        <f>IF(ISBLANK(A44),"",LEFT(B44,27)&amp;VALUE(RIGHT(B44,1)+1))</f>
        <v>JKL240702PROREP_20C_sample_2</v>
      </c>
      <c r="C45" s="6" t="str">
        <f t="shared" ref="C45:D45" si="50">C44</f>
        <v>Protea repens</v>
      </c>
      <c r="D45" s="6" t="str">
        <f t="shared" si="50"/>
        <v>20C</v>
      </c>
      <c r="E45" s="10">
        <f>IF(ISBLANK(A44),"",E44+1)</f>
        <v>2</v>
      </c>
      <c r="F45" s="11">
        <f t="shared" ref="F45:F49" si="53">F44</f>
        <v>45477.66667</v>
      </c>
      <c r="G45" s="8">
        <v>0.447</v>
      </c>
    </row>
    <row r="46">
      <c r="A46" s="9" t="str">
        <f t="shared" si="51"/>
        <v>PROREP (L)</v>
      </c>
      <c r="B46" s="9" t="str">
        <f>IF(ISBLANK(A44),"",LEFT(B45,27)&amp;VALUE(RIGHT(B45,1)+1))</f>
        <v>JKL240702PROREP_20C_sample_3</v>
      </c>
      <c r="C46" s="6" t="str">
        <f t="shared" ref="C46:D46" si="52">C45</f>
        <v>Protea repens</v>
      </c>
      <c r="D46" s="6" t="str">
        <f t="shared" si="52"/>
        <v>20C</v>
      </c>
      <c r="E46" s="10">
        <f>IF(ISBLANK(A44),"",E45+1)</f>
        <v>3</v>
      </c>
      <c r="F46" s="11">
        <f t="shared" si="53"/>
        <v>45477.66667</v>
      </c>
      <c r="G46" s="8">
        <v>0.674</v>
      </c>
    </row>
    <row r="47">
      <c r="A47" s="9" t="str">
        <f t="shared" si="51"/>
        <v>PROREP (L)</v>
      </c>
      <c r="B47" s="9" t="str">
        <f>IF(ISBLANK(A44),"",LEFT(B46,27)&amp;VALUE(RIGHT(B46,1)+1))</f>
        <v>JKL240702PROREP_20C_sample_4</v>
      </c>
      <c r="C47" s="6" t="str">
        <f t="shared" ref="C47:D47" si="54">C46</f>
        <v>Protea repens</v>
      </c>
      <c r="D47" s="6" t="str">
        <f t="shared" si="54"/>
        <v>20C</v>
      </c>
      <c r="E47" s="10">
        <f>IF(ISBLANK(A44),"",E46+1)</f>
        <v>4</v>
      </c>
      <c r="F47" s="11">
        <f t="shared" si="53"/>
        <v>45477.66667</v>
      </c>
      <c r="G47" s="8">
        <v>0.357</v>
      </c>
    </row>
    <row r="48">
      <c r="A48" s="9" t="str">
        <f t="shared" si="51"/>
        <v>PROREP (L)</v>
      </c>
      <c r="B48" s="9" t="str">
        <f>IF(ISBLANK(A44),"",LEFT(B47,27)&amp;VALUE(RIGHT(B47,1)+1))</f>
        <v>JKL240702PROREP_20C_sample_5</v>
      </c>
      <c r="C48" s="6" t="str">
        <f t="shared" ref="C48:D48" si="55">C47</f>
        <v>Protea repens</v>
      </c>
      <c r="D48" s="6" t="str">
        <f t="shared" si="55"/>
        <v>20C</v>
      </c>
      <c r="E48" s="10">
        <f>IF(ISBLANK(A44),"",E47+1)</f>
        <v>5</v>
      </c>
      <c r="F48" s="11">
        <f t="shared" si="53"/>
        <v>45477.66667</v>
      </c>
      <c r="G48" s="8">
        <v>0.511</v>
      </c>
    </row>
    <row r="49">
      <c r="A49" s="12" t="str">
        <f t="shared" si="51"/>
        <v>PROREP (L)</v>
      </c>
      <c r="B49" s="12" t="str">
        <f>IF(ISBLANK(A44),"",LEFT(B48,27)&amp;VALUE(RIGHT(B48,1)+1))</f>
        <v>JKL240702PROREP_20C_sample_6</v>
      </c>
      <c r="C49" s="13" t="str">
        <f t="shared" ref="C49:D49" si="56">C48</f>
        <v>Protea repens</v>
      </c>
      <c r="D49" s="13" t="str">
        <f t="shared" si="56"/>
        <v>20C</v>
      </c>
      <c r="E49" s="14">
        <f>IF(ISBLANK(A44),"",E48+1)</f>
        <v>6</v>
      </c>
      <c r="F49" s="15">
        <f t="shared" si="53"/>
        <v>45477.66667</v>
      </c>
      <c r="G49" s="16">
        <v>0.436</v>
      </c>
    </row>
    <row r="50">
      <c r="A50" s="5" t="s">
        <v>9</v>
      </c>
      <c r="B50" s="6" t="str">
        <f t="array" ref="B50">IF(ISBLANK(A50),"",IF(A50="PROREP (L)",VLOOKUP(LEFT($A50,6),'Data Feed (20C)'!$A$1:$G$10,2,FALSE),IF(A50="PROREP (S)", INDEX('Data Feed (20C)'!B:B, MATCH(LEFT($A50,6), 'Data Feed (20C)'!$A$1:$A$10, 0) + 1), VLOOKUP($A50,'Data Feed (20C)'!$A$1:$G$10,2,FALSE))))</f>
        <v>JKS240702PROREP_20C_sample_1</v>
      </c>
      <c r="C50" s="6" t="str">
        <f t="array" ref="C50">IF(ISBLANK(A50),"",IF(A50="PROREP (L)",VLOOKUP(LEFT($A50,6),'Data Feed (20C)'!$A$1:$G$10,3,FALSE),IF(A50="PROREP (S)", INDEX('Data Feed (20C)'!C:C, MATCH(LEFT($A50,6), 'Data Feed (20C)'!$A$1:$A$10, 0) + 1, +1), VLOOKUP($A50,'Data Feed (20C)'!$A$1:$G$10,3,FALSE))))</f>
        <v>Protea repens</v>
      </c>
      <c r="D50" s="6" t="str">
        <f t="array" ref="D50">IF(ISBLANK(A50),"",IF(A50="PROREP (L)",VLOOKUP(LEFT($A50,6),'Data Feed (20C)'!$A$1:$G$10,4,FALSE),IF(A50="PROREP (S)", INDEX('Data Feed (20C)'!D:D, MATCH(LEFT($A50,6), 'Data Feed (20C)'!$A$1:$A$10, 0) + 1, +1), VLOOKUP($A50,'Data Feed (20C)'!$A$1:$G$10,4,FALSE))))</f>
        <v>20C</v>
      </c>
      <c r="E50" s="6">
        <f t="array" ref="E50">IF(ISBLANK(A50),"",IF(A50="PROREP (L)",VLOOKUP(LEFT($A50,6),'Data Feed (20C)'!$A$1:$G$10,7,FALSE),IF(A50="PROREP (S)", INDEX('Data Feed (20C)'!G:G, MATCH(LEFT($A50,6), 'Data Feed (20C)'!$A$1:$A$10, 0) + 1, +1), VLOOKUP($A50,'Data Feed (20C)'!$A$1:$G$10,7,FALSE))))</f>
        <v>1</v>
      </c>
      <c r="F50" s="7">
        <v>45477.66875</v>
      </c>
      <c r="G50" s="8">
        <v>3.492</v>
      </c>
    </row>
    <row r="51">
      <c r="A51" s="9" t="str">
        <f t="shared" ref="A51:A55" si="58">A50</f>
        <v>PROREP (S)</v>
      </c>
      <c r="B51" s="9" t="str">
        <f>IF(ISBLANK(A50),"",LEFT(B50,27)&amp;VALUE(RIGHT(B50,1)+1))</f>
        <v>JKS240702PROREP_20C_sample_2</v>
      </c>
      <c r="C51" s="6" t="str">
        <f t="shared" ref="C51:D51" si="57">C50</f>
        <v>Protea repens</v>
      </c>
      <c r="D51" s="6" t="str">
        <f t="shared" si="57"/>
        <v>20C</v>
      </c>
      <c r="E51" s="10">
        <f>IF(ISBLANK(A50),"",E50+1)</f>
        <v>2</v>
      </c>
      <c r="F51" s="11">
        <f t="shared" ref="F51:F55" si="60">F50</f>
        <v>45477.66875</v>
      </c>
      <c r="G51" s="8">
        <v>12.948</v>
      </c>
    </row>
    <row r="52">
      <c r="A52" s="9" t="str">
        <f t="shared" si="58"/>
        <v>PROREP (S)</v>
      </c>
      <c r="B52" s="9" t="str">
        <f>IF(ISBLANK(A50),"",LEFT(B51,27)&amp;VALUE(RIGHT(B51,1)+1))</f>
        <v>JKS240702PROREP_20C_sample_3</v>
      </c>
      <c r="C52" s="6" t="str">
        <f t="shared" ref="C52:D52" si="59">C51</f>
        <v>Protea repens</v>
      </c>
      <c r="D52" s="6" t="str">
        <f t="shared" si="59"/>
        <v>20C</v>
      </c>
      <c r="E52" s="10">
        <f>IF(ISBLANK(A50),"",E51+1)</f>
        <v>3</v>
      </c>
      <c r="F52" s="11">
        <f t="shared" si="60"/>
        <v>45477.66875</v>
      </c>
      <c r="G52" s="8">
        <v>16.457</v>
      </c>
    </row>
    <row r="53">
      <c r="A53" s="9" t="str">
        <f t="shared" si="58"/>
        <v>PROREP (S)</v>
      </c>
      <c r="B53" s="9" t="str">
        <f>IF(ISBLANK(A50),"",LEFT(B52,27)&amp;VALUE(RIGHT(B52,1)+1))</f>
        <v>JKS240702PROREP_20C_sample_4</v>
      </c>
      <c r="C53" s="6" t="str">
        <f t="shared" ref="C53:D53" si="61">C52</f>
        <v>Protea repens</v>
      </c>
      <c r="D53" s="6" t="str">
        <f t="shared" si="61"/>
        <v>20C</v>
      </c>
      <c r="E53" s="10">
        <f>IF(ISBLANK(A50),"",E52+1)</f>
        <v>4</v>
      </c>
      <c r="F53" s="11">
        <f t="shared" si="60"/>
        <v>45477.66875</v>
      </c>
      <c r="G53" s="8">
        <v>7.566</v>
      </c>
    </row>
    <row r="54">
      <c r="A54" s="9" t="str">
        <f t="shared" si="58"/>
        <v>PROREP (S)</v>
      </c>
      <c r="B54" s="9" t="str">
        <f>IF(ISBLANK(A50),"",LEFT(B53,27)&amp;VALUE(RIGHT(B53,1)+1))</f>
        <v>JKS240702PROREP_20C_sample_5</v>
      </c>
      <c r="C54" s="6" t="str">
        <f t="shared" ref="C54:D54" si="62">C53</f>
        <v>Protea repens</v>
      </c>
      <c r="D54" s="6" t="str">
        <f t="shared" si="62"/>
        <v>20C</v>
      </c>
      <c r="E54" s="10">
        <f>IF(ISBLANK(A50),"",E53+1)</f>
        <v>5</v>
      </c>
      <c r="F54" s="11">
        <f t="shared" si="60"/>
        <v>45477.66875</v>
      </c>
      <c r="G54" s="8">
        <v>7.216</v>
      </c>
    </row>
    <row r="55">
      <c r="A55" s="12" t="str">
        <f t="shared" si="58"/>
        <v>PROREP (S)</v>
      </c>
      <c r="B55" s="12" t="str">
        <f>IF(ISBLANK(A50),"",LEFT(B54,27)&amp;VALUE(RIGHT(B54,1)+1))</f>
        <v>JKS240702PROREP_20C_sample_6</v>
      </c>
      <c r="C55" s="13" t="str">
        <f t="shared" ref="C55:D55" si="63">C54</f>
        <v>Protea repens</v>
      </c>
      <c r="D55" s="13" t="str">
        <f t="shared" si="63"/>
        <v>20C</v>
      </c>
      <c r="E55" s="14">
        <f>IF(ISBLANK(A50),"",E54+1)</f>
        <v>6</v>
      </c>
      <c r="F55" s="15">
        <f t="shared" si="60"/>
        <v>45477.66875</v>
      </c>
      <c r="G55" s="16">
        <v>26.797</v>
      </c>
    </row>
    <row r="56">
      <c r="A56" s="5" t="s">
        <v>10</v>
      </c>
      <c r="B56" s="6" t="str">
        <f t="array" ref="B56">IF(ISBLANK(A56),"",IF(A56="PROREP (L)",VLOOKUP(LEFT($A56,6),'Data Feed (20C)'!$A$1:$G$10,2,FALSE),IF(A56="PROREP (S)", INDEX('Data Feed (20C)'!B:B, MATCH(LEFT($A56,6), 'Data Feed (20C)'!$A$1:$A$10, 0) + 1), VLOOKUP($A56,'Data Feed (20C)'!$A$1:$G$10,2,FALSE))))</f>
        <v>JKS240702CANCON_20C_sample_1</v>
      </c>
      <c r="C56" s="6" t="str">
        <f t="array" ref="C56">IF(ISBLANK(A56),"",IF(A56="PROREP (L)",VLOOKUP(LEFT($A56,6),'Data Feed (20C)'!$A$1:$G$10,3,FALSE),IF(A56="PROREP (S)", INDEX('Data Feed (20C)'!C:C, MATCH(LEFT($A56,6), 'Data Feed (20C)'!$A$1:$A$10, 0) + 1, +1), VLOOKUP($A56,'Data Feed (20C)'!$A$1:$G$10,3,FALSE))))</f>
        <v>Cannomois congesta</v>
      </c>
      <c r="D56" s="6" t="str">
        <f t="array" ref="D56">IF(ISBLANK(A56),"",IF(A56="PROREP (L)",VLOOKUP(LEFT($A56,6),'Data Feed (20C)'!$A$1:$G$10,4,FALSE),IF(A56="PROREP (S)", INDEX('Data Feed (20C)'!D:D, MATCH(LEFT($A56,6), 'Data Feed (20C)'!$A$1:$A$10, 0) + 1, +1), VLOOKUP($A56,'Data Feed (20C)'!$A$1:$G$10,4,FALSE))))</f>
        <v>20C</v>
      </c>
      <c r="E56" s="6">
        <f t="array" ref="E56">IF(ISBLANK(A56),"",IF(A56="PROREP (L)",VLOOKUP(LEFT($A56,6),'Data Feed (20C)'!$A$1:$G$10,7,FALSE),IF(A56="PROREP (S)", INDEX('Data Feed (20C)'!G:G, MATCH(LEFT($A56,6), 'Data Feed (20C)'!$A$1:$A$10, 0) + 1, +1), VLOOKUP($A56,'Data Feed (20C)'!$A$1:$G$10,7,FALSE))))</f>
        <v>1</v>
      </c>
      <c r="F56" s="7">
        <v>45477.728472222225</v>
      </c>
      <c r="G56" s="8">
        <v>2.429</v>
      </c>
    </row>
    <row r="57">
      <c r="A57" s="9" t="str">
        <f t="shared" ref="A57:A61" si="65">A56</f>
        <v>CANCON</v>
      </c>
      <c r="B57" s="9" t="str">
        <f>IF(ISBLANK(A56),"",LEFT(B56,27)&amp;VALUE(RIGHT(B56,1)+1))</f>
        <v>JKS240702CANCON_20C_sample_2</v>
      </c>
      <c r="C57" s="6" t="str">
        <f t="shared" ref="C57:D57" si="64">C56</f>
        <v>Cannomois congesta</v>
      </c>
      <c r="D57" s="6" t="str">
        <f t="shared" si="64"/>
        <v>20C</v>
      </c>
      <c r="E57" s="10">
        <f>IF(ISBLANK(A56),"",E56+1)</f>
        <v>2</v>
      </c>
      <c r="F57" s="11">
        <f t="shared" ref="F57:F61" si="67">F56</f>
        <v>45477.72847</v>
      </c>
      <c r="G57" s="8">
        <v>2.468</v>
      </c>
    </row>
    <row r="58">
      <c r="A58" s="9" t="str">
        <f t="shared" si="65"/>
        <v>CANCON</v>
      </c>
      <c r="B58" s="9" t="str">
        <f>IF(ISBLANK(A56),"",LEFT(B57,27)&amp;VALUE(RIGHT(B57,1)+1))</f>
        <v>JKS240702CANCON_20C_sample_3</v>
      </c>
      <c r="C58" s="6" t="str">
        <f t="shared" ref="C58:D58" si="66">C57</f>
        <v>Cannomois congesta</v>
      </c>
      <c r="D58" s="6" t="str">
        <f t="shared" si="66"/>
        <v>20C</v>
      </c>
      <c r="E58" s="10">
        <f>IF(ISBLANK(A56),"",E57+1)</f>
        <v>3</v>
      </c>
      <c r="F58" s="11">
        <f t="shared" si="67"/>
        <v>45477.72847</v>
      </c>
      <c r="G58" s="8">
        <v>1.229</v>
      </c>
    </row>
    <row r="59">
      <c r="A59" s="9" t="str">
        <f t="shared" si="65"/>
        <v>CANCON</v>
      </c>
      <c r="B59" s="9" t="str">
        <f>IF(ISBLANK(A56),"",LEFT(B58,27)&amp;VALUE(RIGHT(B58,1)+1))</f>
        <v>JKS240702CANCON_20C_sample_4</v>
      </c>
      <c r="C59" s="6" t="str">
        <f t="shared" ref="C59:D59" si="68">C58</f>
        <v>Cannomois congesta</v>
      </c>
      <c r="D59" s="6" t="str">
        <f t="shared" si="68"/>
        <v>20C</v>
      </c>
      <c r="E59" s="10">
        <f>IF(ISBLANK(A56),"",E58+1)</f>
        <v>4</v>
      </c>
      <c r="F59" s="11">
        <f t="shared" si="67"/>
        <v>45477.72847</v>
      </c>
      <c r="G59" s="8">
        <v>2.189</v>
      </c>
    </row>
    <row r="60">
      <c r="A60" s="9" t="str">
        <f t="shared" si="65"/>
        <v>CANCON</v>
      </c>
      <c r="B60" s="9" t="str">
        <f>IF(ISBLANK(A56),"",LEFT(B59,27)&amp;VALUE(RIGHT(B59,1)+1))</f>
        <v>JKS240702CANCON_20C_sample_5</v>
      </c>
      <c r="C60" s="6" t="str">
        <f t="shared" ref="C60:D60" si="69">C59</f>
        <v>Cannomois congesta</v>
      </c>
      <c r="D60" s="6" t="str">
        <f t="shared" si="69"/>
        <v>20C</v>
      </c>
      <c r="E60" s="10">
        <f>IF(ISBLANK(A56),"",E59+1)</f>
        <v>5</v>
      </c>
      <c r="F60" s="11">
        <f t="shared" si="67"/>
        <v>45477.72847</v>
      </c>
      <c r="G60" s="8">
        <v>2.426</v>
      </c>
    </row>
    <row r="61">
      <c r="A61" s="12" t="str">
        <f t="shared" si="65"/>
        <v>CANCON</v>
      </c>
      <c r="B61" s="12" t="str">
        <f>IF(ISBLANK(A56),"",LEFT(B60,27)&amp;VALUE(RIGHT(B60,1)+1))</f>
        <v>JKS240702CANCON_20C_sample_6</v>
      </c>
      <c r="C61" s="13" t="str">
        <f t="shared" ref="C61:D61" si="70">C60</f>
        <v>Cannomois congesta</v>
      </c>
      <c r="D61" s="13" t="str">
        <f t="shared" si="70"/>
        <v>20C</v>
      </c>
      <c r="E61" s="14">
        <f>IF(ISBLANK(A56),"",E60+1)</f>
        <v>6</v>
      </c>
      <c r="F61" s="15">
        <f t="shared" si="67"/>
        <v>45477.72847</v>
      </c>
      <c r="G61" s="16">
        <v>1.848</v>
      </c>
    </row>
    <row r="62">
      <c r="A62" s="5" t="s">
        <v>7</v>
      </c>
      <c r="B62" s="6" t="str">
        <f t="array" ref="B62">IF(ISBLANK(A62),"",IF(A62="PROREP (L)",VLOOKUP(LEFT($A62,6),'Data Feed (20C)'!$A$1:$G$10,2,FALSE),IF(A62="PROREP (S)", INDEX('Data Feed (20C)'!B:B, MATCH(LEFT($A62,6), 'Data Feed (20C)'!$A$1:$A$10, 0) + 1), VLOOKUP($A62,'Data Feed (20C)'!$A$1:$G$10,2,FALSE))))</f>
        <v>JKS240702ERIMON_20C_sample_1</v>
      </c>
      <c r="C62" s="6" t="str">
        <f t="array" ref="C62">IF(ISBLANK(A62),"",IF(A62="PROREP (L)",VLOOKUP(LEFT($A62,6),'Data Feed (20C)'!$A$1:$G$10,3,FALSE),IF(A62="PROREP (S)", INDEX('Data Feed (20C)'!C:C, MATCH(LEFT($A62,6), 'Data Feed (20C)'!$A$1:$A$10, 0) + 1, +1), VLOOKUP($A62,'Data Feed (20C)'!$A$1:$G$10,3,FALSE))))</f>
        <v>Erica monsoniana</v>
      </c>
      <c r="D62" s="6" t="str">
        <f t="array" ref="D62">IF(ISBLANK(A62),"",IF(A62="PROREP (L)",VLOOKUP(LEFT($A62,6),'Data Feed (20C)'!$A$1:$G$10,4,FALSE),IF(A62="PROREP (S)", INDEX('Data Feed (20C)'!D:D, MATCH(LEFT($A62,6), 'Data Feed (20C)'!$A$1:$A$10, 0) + 1, +1), VLOOKUP($A62,'Data Feed (20C)'!$A$1:$G$10,4,FALSE))))</f>
        <v>20C</v>
      </c>
      <c r="E62" s="6">
        <f t="array" ref="E62">IF(ISBLANK(A62),"",IF(A62="PROREP (L)",VLOOKUP(LEFT($A62,6),'Data Feed (20C)'!$A$1:$G$10,7,FALSE),IF(A62="PROREP (S)", INDEX('Data Feed (20C)'!G:G, MATCH(LEFT($A62,6), 'Data Feed (20C)'!$A$1:$A$10, 0) + 1, +1), VLOOKUP($A62,'Data Feed (20C)'!$A$1:$G$10,7,FALSE))))</f>
        <v>1</v>
      </c>
      <c r="F62" s="7">
        <v>45477.73055555556</v>
      </c>
      <c r="G62" s="8">
        <v>3.035</v>
      </c>
    </row>
    <row r="63">
      <c r="A63" s="9" t="str">
        <f t="shared" ref="A63:A67" si="72">A62</f>
        <v>ERIMON</v>
      </c>
      <c r="B63" s="9" t="str">
        <f>IF(ISBLANK(A62),"",LEFT(B62,27)&amp;VALUE(RIGHT(B62,1)+1))</f>
        <v>JKS240702ERIMON_20C_sample_2</v>
      </c>
      <c r="C63" s="6" t="str">
        <f t="shared" ref="C63:D63" si="71">C62</f>
        <v>Erica monsoniana</v>
      </c>
      <c r="D63" s="6" t="str">
        <f t="shared" si="71"/>
        <v>20C</v>
      </c>
      <c r="E63" s="10">
        <f>IF(ISBLANK(A62),"",E62+1)</f>
        <v>2</v>
      </c>
      <c r="F63" s="11">
        <f t="shared" ref="F63:F67" si="74">F62</f>
        <v>45477.73056</v>
      </c>
      <c r="G63" s="8">
        <v>2.488</v>
      </c>
    </row>
    <row r="64">
      <c r="A64" s="9" t="str">
        <f t="shared" si="72"/>
        <v>ERIMON</v>
      </c>
      <c r="B64" s="9" t="str">
        <f>IF(ISBLANK(A62),"",LEFT(B63,27)&amp;VALUE(RIGHT(B63,1)+1))</f>
        <v>JKS240702ERIMON_20C_sample_3</v>
      </c>
      <c r="C64" s="6" t="str">
        <f t="shared" ref="C64:D64" si="73">C63</f>
        <v>Erica monsoniana</v>
      </c>
      <c r="D64" s="6" t="str">
        <f t="shared" si="73"/>
        <v>20C</v>
      </c>
      <c r="E64" s="10">
        <f>IF(ISBLANK(A62),"",E63+1)</f>
        <v>3</v>
      </c>
      <c r="F64" s="11">
        <f t="shared" si="74"/>
        <v>45477.73056</v>
      </c>
      <c r="G64" s="8">
        <v>2.431</v>
      </c>
    </row>
    <row r="65">
      <c r="A65" s="9" t="str">
        <f t="shared" si="72"/>
        <v>ERIMON</v>
      </c>
      <c r="B65" s="9" t="str">
        <f>IF(ISBLANK(A62),"",LEFT(B64,27)&amp;VALUE(RIGHT(B64,1)+1))</f>
        <v>JKS240702ERIMON_20C_sample_4</v>
      </c>
      <c r="C65" s="6" t="str">
        <f t="shared" ref="C65:D65" si="75">C64</f>
        <v>Erica monsoniana</v>
      </c>
      <c r="D65" s="6" t="str">
        <f t="shared" si="75"/>
        <v>20C</v>
      </c>
      <c r="E65" s="10">
        <f>IF(ISBLANK(A62),"",E64+1)</f>
        <v>4</v>
      </c>
      <c r="F65" s="11">
        <f t="shared" si="74"/>
        <v>45477.73056</v>
      </c>
      <c r="G65" s="8">
        <v>1.575</v>
      </c>
    </row>
    <row r="66">
      <c r="A66" s="9" t="str">
        <f t="shared" si="72"/>
        <v>ERIMON</v>
      </c>
      <c r="B66" s="9" t="str">
        <f>IF(ISBLANK(A62),"",LEFT(B65,27)&amp;VALUE(RIGHT(B65,1)+1))</f>
        <v>JKS240702ERIMON_20C_sample_5</v>
      </c>
      <c r="C66" s="6" t="str">
        <f t="shared" ref="C66:D66" si="76">C65</f>
        <v>Erica monsoniana</v>
      </c>
      <c r="D66" s="6" t="str">
        <f t="shared" si="76"/>
        <v>20C</v>
      </c>
      <c r="E66" s="10">
        <f>IF(ISBLANK(A62),"",E65+1)</f>
        <v>5</v>
      </c>
      <c r="F66" s="11">
        <f t="shared" si="74"/>
        <v>45477.73056</v>
      </c>
      <c r="G66" s="8">
        <v>2.106</v>
      </c>
    </row>
    <row r="67">
      <c r="A67" s="12" t="str">
        <f t="shared" si="72"/>
        <v>ERIMON</v>
      </c>
      <c r="B67" s="12" t="str">
        <f>IF(ISBLANK(A62),"",LEFT(B66,27)&amp;VALUE(RIGHT(B66,1)+1))</f>
        <v>JKS240702ERIMON_20C_sample_6</v>
      </c>
      <c r="C67" s="13" t="str">
        <f t="shared" ref="C67:D67" si="77">C66</f>
        <v>Erica monsoniana</v>
      </c>
      <c r="D67" s="13" t="str">
        <f t="shared" si="77"/>
        <v>20C</v>
      </c>
      <c r="E67" s="14">
        <f>IF(ISBLANK(A62),"",E66+1)</f>
        <v>6</v>
      </c>
      <c r="F67" s="15">
        <f t="shared" si="74"/>
        <v>45477.73056</v>
      </c>
      <c r="G67" s="16">
        <v>1.003</v>
      </c>
    </row>
    <row r="68">
      <c r="A68" s="5" t="s">
        <v>8</v>
      </c>
      <c r="B68" s="6" t="str">
        <f t="array" ref="B68">IF(ISBLANK(A68),"",IF(A68="PROREP (L)",VLOOKUP(LEFT($A68,6),'Data Feed (20C)'!$A$1:$G$10,2,FALSE),IF(A68="PROREP (S)", INDEX('Data Feed (20C)'!B:B, MATCH(LEFT($A68,6), 'Data Feed (20C)'!$A$1:$A$10, 0) + 1), VLOOKUP($A68,'Data Feed (20C)'!$A$1:$G$10,2,FALSE))))</f>
        <v>JKL240702PROREP_20C_sample_1</v>
      </c>
      <c r="C68" s="6" t="str">
        <f t="array" ref="C68">IF(ISBLANK(A68),"",IF(A68="PROREP (L)",VLOOKUP(LEFT($A68,6),'Data Feed (20C)'!$A$1:$G$10,3,FALSE),IF(A68="PROREP (S)", INDEX('Data Feed (20C)'!C:C, MATCH(LEFT($A68,6), 'Data Feed (20C)'!$A$1:$A$10, 0) + 1, +1), VLOOKUP($A68,'Data Feed (20C)'!$A$1:$G$10,3,FALSE))))</f>
        <v>Protea repens</v>
      </c>
      <c r="D68" s="6" t="str">
        <f t="array" ref="D68">IF(ISBLANK(A68),"",IF(A68="PROREP (L)",VLOOKUP(LEFT($A68,6),'Data Feed (20C)'!$A$1:$G$10,4,FALSE),IF(A68="PROREP (S)", INDEX('Data Feed (20C)'!D:D, MATCH(LEFT($A68,6), 'Data Feed (20C)'!$A$1:$A$10, 0) + 1, +1), VLOOKUP($A68,'Data Feed (20C)'!$A$1:$G$10,4,FALSE))))</f>
        <v>20C</v>
      </c>
      <c r="E68" s="6">
        <f t="array" ref="E68">IF(ISBLANK(A68),"",IF(A68="PROREP (L)",VLOOKUP(LEFT($A68,6),'Data Feed (20C)'!$A$1:$G$10,7,FALSE),IF(A68="PROREP (S)", INDEX('Data Feed (20C)'!G:G, MATCH(LEFT($A68,6), 'Data Feed (20C)'!$A$1:$A$10, 0) + 1, +1), VLOOKUP($A68,'Data Feed (20C)'!$A$1:$G$10,7,FALSE))))</f>
        <v>1</v>
      </c>
      <c r="F68" s="7">
        <v>45477.73263888889</v>
      </c>
      <c r="G68" s="8">
        <v>0.59</v>
      </c>
    </row>
    <row r="69">
      <c r="A69" s="9" t="str">
        <f t="shared" ref="A69:A73" si="79">A68</f>
        <v>PROREP (L)</v>
      </c>
      <c r="B69" s="9" t="str">
        <f>IF(ISBLANK(A68),"",LEFT(B68,27)&amp;VALUE(RIGHT(B68,1)+1))</f>
        <v>JKL240702PROREP_20C_sample_2</v>
      </c>
      <c r="C69" s="6" t="str">
        <f t="shared" ref="C69:D69" si="78">C68</f>
        <v>Protea repens</v>
      </c>
      <c r="D69" s="6" t="str">
        <f t="shared" si="78"/>
        <v>20C</v>
      </c>
      <c r="E69" s="10">
        <f>IF(ISBLANK(A68),"",E68+1)</f>
        <v>2</v>
      </c>
      <c r="F69" s="11">
        <f t="shared" ref="F69:F73" si="81">F68</f>
        <v>45477.73264</v>
      </c>
      <c r="G69" s="8">
        <v>0.445</v>
      </c>
    </row>
    <row r="70">
      <c r="A70" s="9" t="str">
        <f t="shared" si="79"/>
        <v>PROREP (L)</v>
      </c>
      <c r="B70" s="9" t="str">
        <f>IF(ISBLANK(A68),"",LEFT(B69,27)&amp;VALUE(RIGHT(B69,1)+1))</f>
        <v>JKL240702PROREP_20C_sample_3</v>
      </c>
      <c r="C70" s="6" t="str">
        <f t="shared" ref="C70:D70" si="80">C69</f>
        <v>Protea repens</v>
      </c>
      <c r="D70" s="6" t="str">
        <f t="shared" si="80"/>
        <v>20C</v>
      </c>
      <c r="E70" s="10">
        <f>IF(ISBLANK(A68),"",E69+1)</f>
        <v>3</v>
      </c>
      <c r="F70" s="11">
        <f t="shared" si="81"/>
        <v>45477.73264</v>
      </c>
      <c r="G70" s="8">
        <v>0.674</v>
      </c>
    </row>
    <row r="71">
      <c r="A71" s="9" t="str">
        <f t="shared" si="79"/>
        <v>PROREP (L)</v>
      </c>
      <c r="B71" s="9" t="str">
        <f>IF(ISBLANK(A68),"",LEFT(B70,27)&amp;VALUE(RIGHT(B70,1)+1))</f>
        <v>JKL240702PROREP_20C_sample_4</v>
      </c>
      <c r="C71" s="6" t="str">
        <f t="shared" ref="C71:D71" si="82">C70</f>
        <v>Protea repens</v>
      </c>
      <c r="D71" s="6" t="str">
        <f t="shared" si="82"/>
        <v>20C</v>
      </c>
      <c r="E71" s="10">
        <f>IF(ISBLANK(A68),"",E70+1)</f>
        <v>4</v>
      </c>
      <c r="F71" s="11">
        <f t="shared" si="81"/>
        <v>45477.73264</v>
      </c>
      <c r="G71" s="8">
        <v>0.357</v>
      </c>
    </row>
    <row r="72">
      <c r="A72" s="9" t="str">
        <f t="shared" si="79"/>
        <v>PROREP (L)</v>
      </c>
      <c r="B72" s="9" t="str">
        <f>IF(ISBLANK(A68),"",LEFT(B71,27)&amp;VALUE(RIGHT(B71,1)+1))</f>
        <v>JKL240702PROREP_20C_sample_5</v>
      </c>
      <c r="C72" s="6" t="str">
        <f t="shared" ref="C72:D72" si="83">C71</f>
        <v>Protea repens</v>
      </c>
      <c r="D72" s="6" t="str">
        <f t="shared" si="83"/>
        <v>20C</v>
      </c>
      <c r="E72" s="10">
        <f>IF(ISBLANK(A68),"",E71+1)</f>
        <v>5</v>
      </c>
      <c r="F72" s="11">
        <f t="shared" si="81"/>
        <v>45477.73264</v>
      </c>
      <c r="G72" s="8">
        <v>0.51</v>
      </c>
    </row>
    <row r="73">
      <c r="A73" s="12" t="str">
        <f t="shared" si="79"/>
        <v>PROREP (L)</v>
      </c>
      <c r="B73" s="12" t="str">
        <f>IF(ISBLANK(A68),"",LEFT(B72,27)&amp;VALUE(RIGHT(B72,1)+1))</f>
        <v>JKL240702PROREP_20C_sample_6</v>
      </c>
      <c r="C73" s="13" t="str">
        <f t="shared" ref="C73:D73" si="84">C72</f>
        <v>Protea repens</v>
      </c>
      <c r="D73" s="13" t="str">
        <f t="shared" si="84"/>
        <v>20C</v>
      </c>
      <c r="E73" s="14">
        <f>IF(ISBLANK(A68),"",E72+1)</f>
        <v>6</v>
      </c>
      <c r="F73" s="15">
        <f t="shared" si="81"/>
        <v>45477.73264</v>
      </c>
      <c r="G73" s="16">
        <v>0.427</v>
      </c>
    </row>
    <row r="74">
      <c r="A74" s="5" t="s">
        <v>9</v>
      </c>
      <c r="B74" s="6" t="str">
        <f t="array" ref="B74">IF(ISBLANK(A74),"",IF(A74="PROREP (L)",VLOOKUP(LEFT($A74,6),'Data Feed (20C)'!$A$1:$G$10,2,FALSE),IF(A74="PROREP (S)", INDEX('Data Feed (20C)'!B:B, MATCH(LEFT($A74,6), 'Data Feed (20C)'!$A$1:$A$10, 0) + 1), VLOOKUP($A74,'Data Feed (20C)'!$A$1:$G$10,2,FALSE))))</f>
        <v>JKS240702PROREP_20C_sample_1</v>
      </c>
      <c r="C74" s="6" t="str">
        <f t="array" ref="C74">IF(ISBLANK(A74),"",IF(A74="PROREP (L)",VLOOKUP(LEFT($A74,6),'Data Feed (20C)'!$A$1:$G$10,3,FALSE),IF(A74="PROREP (S)", INDEX('Data Feed (20C)'!C:C, MATCH(LEFT($A74,6), 'Data Feed (20C)'!$A$1:$A$10, 0) + 1, +1), VLOOKUP($A74,'Data Feed (20C)'!$A$1:$G$10,3,FALSE))))</f>
        <v>Protea repens</v>
      </c>
      <c r="D74" s="6" t="str">
        <f t="array" ref="D74">IF(ISBLANK(A74),"",IF(A74="PROREP (L)",VLOOKUP(LEFT($A74,6),'Data Feed (20C)'!$A$1:$G$10,4,FALSE),IF(A74="PROREP (S)", INDEX('Data Feed (20C)'!D:D, MATCH(LEFT($A74,6), 'Data Feed (20C)'!$A$1:$A$10, 0) + 1, +1), VLOOKUP($A74,'Data Feed (20C)'!$A$1:$G$10,4,FALSE))))</f>
        <v>20C</v>
      </c>
      <c r="E74" s="6">
        <f t="array" ref="E74">IF(ISBLANK(A74),"",IF(A74="PROREP (L)",VLOOKUP(LEFT($A74,6),'Data Feed (20C)'!$A$1:$G$10,7,FALSE),IF(A74="PROREP (S)", INDEX('Data Feed (20C)'!G:G, MATCH(LEFT($A74,6), 'Data Feed (20C)'!$A$1:$A$10, 0) + 1, +1), VLOOKUP($A74,'Data Feed (20C)'!$A$1:$G$10,7,FALSE))))</f>
        <v>1</v>
      </c>
      <c r="F74" s="7">
        <v>45477.73541666667</v>
      </c>
      <c r="G74" s="8">
        <v>3.479</v>
      </c>
    </row>
    <row r="75">
      <c r="A75" s="9" t="str">
        <f t="shared" ref="A75:A79" si="86">A74</f>
        <v>PROREP (S)</v>
      </c>
      <c r="B75" s="9" t="str">
        <f>IF(ISBLANK(A74),"",LEFT(B74,27)&amp;VALUE(RIGHT(B74,1)+1))</f>
        <v>JKS240702PROREP_20C_sample_2</v>
      </c>
      <c r="C75" s="6" t="str">
        <f t="shared" ref="C75:D75" si="85">C74</f>
        <v>Protea repens</v>
      </c>
      <c r="D75" s="6" t="str">
        <f t="shared" si="85"/>
        <v>20C</v>
      </c>
      <c r="E75" s="10">
        <f>IF(ISBLANK(A74),"",E74+1)</f>
        <v>2</v>
      </c>
      <c r="F75" s="11">
        <f t="shared" ref="F75:F79" si="88">F74</f>
        <v>45477.73542</v>
      </c>
      <c r="G75" s="8">
        <v>12.898</v>
      </c>
    </row>
    <row r="76">
      <c r="A76" s="9" t="str">
        <f t="shared" si="86"/>
        <v>PROREP (S)</v>
      </c>
      <c r="B76" s="9" t="str">
        <f>IF(ISBLANK(A74),"",LEFT(B75,27)&amp;VALUE(RIGHT(B75,1)+1))</f>
        <v>JKS240702PROREP_20C_sample_3</v>
      </c>
      <c r="C76" s="6" t="str">
        <f t="shared" ref="C76:D76" si="87">C75</f>
        <v>Protea repens</v>
      </c>
      <c r="D76" s="6" t="str">
        <f t="shared" si="87"/>
        <v>20C</v>
      </c>
      <c r="E76" s="10">
        <f>IF(ISBLANK(A74),"",E75+1)</f>
        <v>3</v>
      </c>
      <c r="F76" s="11">
        <f t="shared" si="88"/>
        <v>45477.73542</v>
      </c>
      <c r="G76" s="8">
        <v>16.339</v>
      </c>
    </row>
    <row r="77">
      <c r="A77" s="9" t="str">
        <f t="shared" si="86"/>
        <v>PROREP (S)</v>
      </c>
      <c r="B77" s="9" t="str">
        <f>IF(ISBLANK(A74),"",LEFT(B76,27)&amp;VALUE(RIGHT(B76,1)+1))</f>
        <v>JKS240702PROREP_20C_sample_4</v>
      </c>
      <c r="C77" s="6" t="str">
        <f t="shared" ref="C77:D77" si="89">C76</f>
        <v>Protea repens</v>
      </c>
      <c r="D77" s="6" t="str">
        <f t="shared" si="89"/>
        <v>20C</v>
      </c>
      <c r="E77" s="10">
        <f>IF(ISBLANK(A74),"",E76+1)</f>
        <v>4</v>
      </c>
      <c r="F77" s="11">
        <f t="shared" si="88"/>
        <v>45477.73542</v>
      </c>
      <c r="G77" s="8">
        <v>7.518</v>
      </c>
    </row>
    <row r="78">
      <c r="A78" s="9" t="str">
        <f t="shared" si="86"/>
        <v>PROREP (S)</v>
      </c>
      <c r="B78" s="9" t="str">
        <f>IF(ISBLANK(A74),"",LEFT(B77,27)&amp;VALUE(RIGHT(B77,1)+1))</f>
        <v>JKS240702PROREP_20C_sample_5</v>
      </c>
      <c r="C78" s="6" t="str">
        <f t="shared" ref="C78:D78" si="90">C77</f>
        <v>Protea repens</v>
      </c>
      <c r="D78" s="6" t="str">
        <f t="shared" si="90"/>
        <v>20C</v>
      </c>
      <c r="E78" s="10">
        <f>IF(ISBLANK(A74),"",E77+1)</f>
        <v>5</v>
      </c>
      <c r="F78" s="11">
        <f t="shared" si="88"/>
        <v>45477.73542</v>
      </c>
      <c r="G78" s="8">
        <v>7.175</v>
      </c>
    </row>
    <row r="79">
      <c r="A79" s="12" t="str">
        <f t="shared" si="86"/>
        <v>PROREP (S)</v>
      </c>
      <c r="B79" s="12" t="str">
        <f>IF(ISBLANK(A74),"",LEFT(B78,27)&amp;VALUE(RIGHT(B78,1)+1))</f>
        <v>JKS240702PROREP_20C_sample_6</v>
      </c>
      <c r="C79" s="13" t="str">
        <f t="shared" ref="C79:D79" si="91">C78</f>
        <v>Protea repens</v>
      </c>
      <c r="D79" s="13" t="str">
        <f t="shared" si="91"/>
        <v>20C</v>
      </c>
      <c r="E79" s="14">
        <f>IF(ISBLANK(A74),"",E78+1)</f>
        <v>6</v>
      </c>
      <c r="F79" s="15">
        <f t="shared" si="88"/>
        <v>45477.73542</v>
      </c>
      <c r="G79" s="16">
        <v>26.634</v>
      </c>
    </row>
    <row r="80">
      <c r="A80" s="5" t="s">
        <v>7</v>
      </c>
      <c r="B80" s="6" t="str">
        <f t="array" ref="B80">IF(ISBLANK(A80),"",IF(A80="PROREP (L)",VLOOKUP(LEFT($A80,6),'Data Feed (20C)'!$A$1:$G$10,2,FALSE),IF(A80="PROREP (S)", INDEX('Data Feed (20C)'!B:B, MATCH(LEFT($A80,6), 'Data Feed (20C)'!$A$1:$A$10, 0) + 1), VLOOKUP($A80,'Data Feed (20C)'!$A$1:$G$10,2,FALSE))))</f>
        <v>JKS240702ERIMON_20C_sample_1</v>
      </c>
      <c r="C80" s="6" t="str">
        <f t="array" ref="C80">IF(ISBLANK(A80),"",IF(A80="PROREP (L)",VLOOKUP(LEFT($A80,6),'Data Feed (20C)'!$A$1:$G$10,3,FALSE),IF(A80="PROREP (S)", INDEX('Data Feed (20C)'!C:C, MATCH(LEFT($A80,6), 'Data Feed (20C)'!$A$1:$A$10, 0) + 1, +1), VLOOKUP($A80,'Data Feed (20C)'!$A$1:$G$10,3,FALSE))))</f>
        <v>Erica monsoniana</v>
      </c>
      <c r="D80" s="6" t="str">
        <f t="array" ref="D80">IF(ISBLANK(A80),"",IF(A80="PROREP (L)",VLOOKUP(LEFT($A80,6),'Data Feed (20C)'!$A$1:$G$10,4,FALSE),IF(A80="PROREP (S)", INDEX('Data Feed (20C)'!D:D, MATCH(LEFT($A80,6), 'Data Feed (20C)'!$A$1:$A$10, 0) + 1, +1), VLOOKUP($A80,'Data Feed (20C)'!$A$1:$G$10,4,FALSE))))</f>
        <v>20C</v>
      </c>
      <c r="E80" s="6">
        <f t="array" ref="E80">IF(ISBLANK(A80),"",IF(A80="PROREP (L)",VLOOKUP(LEFT($A80,6),'Data Feed (20C)'!$A$1:$G$10,7,FALSE),IF(A80="PROREP (S)", INDEX('Data Feed (20C)'!G:G, MATCH(LEFT($A80,6), 'Data Feed (20C)'!$A$1:$A$10, 0) + 1, +1), VLOOKUP($A80,'Data Feed (20C)'!$A$1:$G$10,7,FALSE))))</f>
        <v>1</v>
      </c>
      <c r="F80" s="7">
        <v>45477.760416666664</v>
      </c>
      <c r="G80" s="8">
        <v>2.998</v>
      </c>
    </row>
    <row r="81">
      <c r="A81" s="9" t="str">
        <f t="shared" ref="A81:A85" si="93">A80</f>
        <v>ERIMON</v>
      </c>
      <c r="B81" s="9" t="str">
        <f>IF(ISBLANK(A80),"",LEFT(B80,27)&amp;VALUE(RIGHT(B80,1)+1))</f>
        <v>JKS240702ERIMON_20C_sample_2</v>
      </c>
      <c r="C81" s="6" t="str">
        <f t="shared" ref="C81:D81" si="92">C80</f>
        <v>Erica monsoniana</v>
      </c>
      <c r="D81" s="6" t="str">
        <f t="shared" si="92"/>
        <v>20C</v>
      </c>
      <c r="E81" s="10">
        <f>IF(ISBLANK(A80),"",E80+1)</f>
        <v>2</v>
      </c>
      <c r="F81" s="11">
        <f t="shared" ref="F81:F85" si="95">F80</f>
        <v>45477.76042</v>
      </c>
      <c r="G81" s="8">
        <v>2.464</v>
      </c>
    </row>
    <row r="82">
      <c r="A82" s="9" t="str">
        <f t="shared" si="93"/>
        <v>ERIMON</v>
      </c>
      <c r="B82" s="9" t="str">
        <f>IF(ISBLANK(A80),"",LEFT(B81,27)&amp;VALUE(RIGHT(B81,1)+1))</f>
        <v>JKS240702ERIMON_20C_sample_3</v>
      </c>
      <c r="C82" s="6" t="str">
        <f t="shared" ref="C82:D82" si="94">C81</f>
        <v>Erica monsoniana</v>
      </c>
      <c r="D82" s="6" t="str">
        <f t="shared" si="94"/>
        <v>20C</v>
      </c>
      <c r="E82" s="10">
        <f>IF(ISBLANK(A80),"",E81+1)</f>
        <v>3</v>
      </c>
      <c r="F82" s="11">
        <f t="shared" si="95"/>
        <v>45477.76042</v>
      </c>
      <c r="G82" s="8">
        <v>2.4</v>
      </c>
    </row>
    <row r="83">
      <c r="A83" s="9" t="str">
        <f t="shared" si="93"/>
        <v>ERIMON</v>
      </c>
      <c r="B83" s="9" t="str">
        <f>IF(ISBLANK(A80),"",LEFT(B82,27)&amp;VALUE(RIGHT(B82,1)+1))</f>
        <v>JKS240702ERIMON_20C_sample_4</v>
      </c>
      <c r="C83" s="6" t="str">
        <f t="shared" ref="C83:D83" si="96">C82</f>
        <v>Erica monsoniana</v>
      </c>
      <c r="D83" s="6" t="str">
        <f t="shared" si="96"/>
        <v>20C</v>
      </c>
      <c r="E83" s="10">
        <f>IF(ISBLANK(A80),"",E82+1)</f>
        <v>4</v>
      </c>
      <c r="F83" s="11">
        <f t="shared" si="95"/>
        <v>45477.76042</v>
      </c>
      <c r="G83" s="8">
        <v>1.554</v>
      </c>
    </row>
    <row r="84">
      <c r="A84" s="9" t="str">
        <f t="shared" si="93"/>
        <v>ERIMON</v>
      </c>
      <c r="B84" s="9" t="str">
        <f>IF(ISBLANK(A80),"",LEFT(B83,27)&amp;VALUE(RIGHT(B83,1)+1))</f>
        <v>JKS240702ERIMON_20C_sample_5</v>
      </c>
      <c r="C84" s="6" t="str">
        <f t="shared" ref="C84:D84" si="97">C83</f>
        <v>Erica monsoniana</v>
      </c>
      <c r="D84" s="6" t="str">
        <f t="shared" si="97"/>
        <v>20C</v>
      </c>
      <c r="E84" s="10">
        <f>IF(ISBLANK(A80),"",E83+1)</f>
        <v>5</v>
      </c>
      <c r="F84" s="11">
        <f t="shared" si="95"/>
        <v>45477.76042</v>
      </c>
      <c r="G84" s="8">
        <v>2.077</v>
      </c>
    </row>
    <row r="85">
      <c r="A85" s="12" t="str">
        <f t="shared" si="93"/>
        <v>ERIMON</v>
      </c>
      <c r="B85" s="12" t="str">
        <f>IF(ISBLANK(A80),"",LEFT(B84,27)&amp;VALUE(RIGHT(B84,1)+1))</f>
        <v>JKS240702ERIMON_20C_sample_6</v>
      </c>
      <c r="C85" s="13" t="str">
        <f t="shared" ref="C85:D85" si="98">C84</f>
        <v>Erica monsoniana</v>
      </c>
      <c r="D85" s="13" t="str">
        <f t="shared" si="98"/>
        <v>20C</v>
      </c>
      <c r="E85" s="14">
        <f>IF(ISBLANK(A80),"",E84+1)</f>
        <v>6</v>
      </c>
      <c r="F85" s="15">
        <f t="shared" si="95"/>
        <v>45477.76042</v>
      </c>
      <c r="G85" s="16">
        <v>0.999</v>
      </c>
    </row>
    <row r="86">
      <c r="A86" s="5" t="s">
        <v>8</v>
      </c>
      <c r="B86" s="6" t="str">
        <f t="array" ref="B86">IF(ISBLANK(A86),"",IF(A86="PROREP (L)",VLOOKUP(LEFT($A86,6),'Data Feed (20C)'!$A$1:$G$10,2,FALSE),IF(A86="PROREP (S)", INDEX('Data Feed (20C)'!B:B, MATCH(LEFT($A86,6), 'Data Feed (20C)'!$A$1:$A$10, 0) + 1), VLOOKUP($A86,'Data Feed (20C)'!$A$1:$G$10,2,FALSE))))</f>
        <v>JKL240702PROREP_20C_sample_1</v>
      </c>
      <c r="C86" s="6" t="str">
        <f t="array" ref="C86">IF(ISBLANK(A86),"",IF(A86="PROREP (L)",VLOOKUP(LEFT($A86,6),'Data Feed (20C)'!$A$1:$G$10,3,FALSE),IF(A86="PROREP (S)", INDEX('Data Feed (20C)'!C:C, MATCH(LEFT($A86,6), 'Data Feed (20C)'!$A$1:$A$10, 0) + 1, +1), VLOOKUP($A86,'Data Feed (20C)'!$A$1:$G$10,3,FALSE))))</f>
        <v>Protea repens</v>
      </c>
      <c r="D86" s="6" t="str">
        <f t="array" ref="D86">IF(ISBLANK(A86),"",IF(A86="PROREP (L)",VLOOKUP(LEFT($A86,6),'Data Feed (20C)'!$A$1:$G$10,4,FALSE),IF(A86="PROREP (S)", INDEX('Data Feed (20C)'!D:D, MATCH(LEFT($A86,6), 'Data Feed (20C)'!$A$1:$A$10, 0) + 1, +1), VLOOKUP($A86,'Data Feed (20C)'!$A$1:$G$10,4,FALSE))))</f>
        <v>20C</v>
      </c>
      <c r="E86" s="6">
        <f t="array" ref="E86">IF(ISBLANK(A86),"",IF(A86="PROREP (L)",VLOOKUP(LEFT($A86,6),'Data Feed (20C)'!$A$1:$G$10,7,FALSE),IF(A86="PROREP (S)", INDEX('Data Feed (20C)'!G:G, MATCH(LEFT($A86,6), 'Data Feed (20C)'!$A$1:$A$10, 0) + 1, +1), VLOOKUP($A86,'Data Feed (20C)'!$A$1:$G$10,7,FALSE))))</f>
        <v>1</v>
      </c>
      <c r="F86" s="7">
        <v>45477.763194444444</v>
      </c>
      <c r="G86" s="8">
        <v>0.593</v>
      </c>
    </row>
    <row r="87">
      <c r="A87" s="9" t="str">
        <f t="shared" ref="A87:A91" si="100">A86</f>
        <v>PROREP (L)</v>
      </c>
      <c r="B87" s="9" t="str">
        <f>IF(ISBLANK(A86),"",LEFT(B86,27)&amp;VALUE(RIGHT(B86,1)+1))</f>
        <v>JKL240702PROREP_20C_sample_2</v>
      </c>
      <c r="C87" s="6" t="str">
        <f t="shared" ref="C87:D87" si="99">C86</f>
        <v>Protea repens</v>
      </c>
      <c r="D87" s="6" t="str">
        <f t="shared" si="99"/>
        <v>20C</v>
      </c>
      <c r="E87" s="10">
        <f>IF(ISBLANK(A86),"",E86+1)</f>
        <v>2</v>
      </c>
      <c r="F87" s="11">
        <f t="shared" ref="F87:F91" si="102">F86</f>
        <v>45477.76319</v>
      </c>
      <c r="G87" s="8">
        <v>0.447</v>
      </c>
    </row>
    <row r="88">
      <c r="A88" s="9" t="str">
        <f t="shared" si="100"/>
        <v>PROREP (L)</v>
      </c>
      <c r="B88" s="9" t="str">
        <f>IF(ISBLANK(A86),"",LEFT(B87,27)&amp;VALUE(RIGHT(B87,1)+1))</f>
        <v>JKL240702PROREP_20C_sample_3</v>
      </c>
      <c r="C88" s="6" t="str">
        <f t="shared" ref="C88:D88" si="101">C87</f>
        <v>Protea repens</v>
      </c>
      <c r="D88" s="6" t="str">
        <f t="shared" si="101"/>
        <v>20C</v>
      </c>
      <c r="E88" s="10">
        <f>IF(ISBLANK(A86),"",E87+1)</f>
        <v>3</v>
      </c>
      <c r="F88" s="11">
        <f t="shared" si="102"/>
        <v>45477.76319</v>
      </c>
      <c r="G88" s="8">
        <v>0.676</v>
      </c>
    </row>
    <row r="89">
      <c r="A89" s="9" t="str">
        <f t="shared" si="100"/>
        <v>PROREP (L)</v>
      </c>
      <c r="B89" s="9" t="str">
        <f>IF(ISBLANK(A86),"",LEFT(B88,27)&amp;VALUE(RIGHT(B88,1)+1))</f>
        <v>JKL240702PROREP_20C_sample_4</v>
      </c>
      <c r="C89" s="6" t="str">
        <f t="shared" ref="C89:D89" si="103">C88</f>
        <v>Protea repens</v>
      </c>
      <c r="D89" s="6" t="str">
        <f t="shared" si="103"/>
        <v>20C</v>
      </c>
      <c r="E89" s="10">
        <f>IF(ISBLANK(A86),"",E88+1)</f>
        <v>4</v>
      </c>
      <c r="F89" s="11">
        <f t="shared" si="102"/>
        <v>45477.76319</v>
      </c>
      <c r="G89" s="8">
        <v>0.358</v>
      </c>
    </row>
    <row r="90">
      <c r="A90" s="9" t="str">
        <f t="shared" si="100"/>
        <v>PROREP (L)</v>
      </c>
      <c r="B90" s="9" t="str">
        <f>IF(ISBLANK(A86),"",LEFT(B89,27)&amp;VALUE(RIGHT(B89,1)+1))</f>
        <v>JKL240702PROREP_20C_sample_5</v>
      </c>
      <c r="C90" s="6" t="str">
        <f t="shared" ref="C90:D90" si="104">C89</f>
        <v>Protea repens</v>
      </c>
      <c r="D90" s="6" t="str">
        <f t="shared" si="104"/>
        <v>20C</v>
      </c>
      <c r="E90" s="10">
        <f>IF(ISBLANK(A86),"",E89+1)</f>
        <v>5</v>
      </c>
      <c r="F90" s="11">
        <f t="shared" si="102"/>
        <v>45477.76319</v>
      </c>
      <c r="G90" s="8">
        <v>0.511</v>
      </c>
    </row>
    <row r="91">
      <c r="A91" s="12" t="str">
        <f t="shared" si="100"/>
        <v>PROREP (L)</v>
      </c>
      <c r="B91" s="12" t="str">
        <f>IF(ISBLANK(A86),"",LEFT(B90,27)&amp;VALUE(RIGHT(B90,1)+1))</f>
        <v>JKL240702PROREP_20C_sample_6</v>
      </c>
      <c r="C91" s="13" t="str">
        <f t="shared" ref="C91:D91" si="105">C90</f>
        <v>Protea repens</v>
      </c>
      <c r="D91" s="13" t="str">
        <f t="shared" si="105"/>
        <v>20C</v>
      </c>
      <c r="E91" s="14">
        <f>IF(ISBLANK(A86),"",E90+1)</f>
        <v>6</v>
      </c>
      <c r="F91" s="15">
        <f t="shared" si="102"/>
        <v>45477.76319</v>
      </c>
      <c r="G91" s="16">
        <v>0.432</v>
      </c>
    </row>
    <row r="92">
      <c r="A92" s="5" t="s">
        <v>9</v>
      </c>
      <c r="B92" s="6" t="str">
        <f t="array" ref="B92">IF(ISBLANK(A92),"",IF(A92="PROREP (L)",VLOOKUP(LEFT($A92,6),'Data Feed (20C)'!$A$1:$G$10,2,FALSE),IF(A92="PROREP (S)", INDEX('Data Feed (20C)'!B:B, MATCH(LEFT($A92,6), 'Data Feed (20C)'!$A$1:$A$10, 0) + 1), VLOOKUP($A92,'Data Feed (20C)'!$A$1:$G$10,2,FALSE))))</f>
        <v>JKS240702PROREP_20C_sample_1</v>
      </c>
      <c r="C92" s="6" t="str">
        <f t="array" ref="C92">IF(ISBLANK(A92),"",IF(A92="PROREP (L)",VLOOKUP(LEFT($A92,6),'Data Feed (20C)'!$A$1:$G$10,3,FALSE),IF(A92="PROREP (S)", INDEX('Data Feed (20C)'!C:C, MATCH(LEFT($A92,6), 'Data Feed (20C)'!$A$1:$A$10, 0) + 1, +1), VLOOKUP($A92,'Data Feed (20C)'!$A$1:$G$10,3,FALSE))))</f>
        <v>Protea repens</v>
      </c>
      <c r="D92" s="6" t="str">
        <f t="array" ref="D92">IF(ISBLANK(A92),"",IF(A92="PROREP (L)",VLOOKUP(LEFT($A92,6),'Data Feed (20C)'!$A$1:$G$10,4,FALSE),IF(A92="PROREP (S)", INDEX('Data Feed (20C)'!D:D, MATCH(LEFT($A92,6), 'Data Feed (20C)'!$A$1:$A$10, 0) + 1, +1), VLOOKUP($A92,'Data Feed (20C)'!$A$1:$G$10,4,FALSE))))</f>
        <v>20C</v>
      </c>
      <c r="E92" s="6">
        <f t="array" ref="E92">IF(ISBLANK(A92),"",IF(A92="PROREP (L)",VLOOKUP(LEFT($A92,6),'Data Feed (20C)'!$A$1:$G$10,7,FALSE),IF(A92="PROREP (S)", INDEX('Data Feed (20C)'!G:G, MATCH(LEFT($A92,6), 'Data Feed (20C)'!$A$1:$A$10, 0) + 1, +1), VLOOKUP($A92,'Data Feed (20C)'!$A$1:$G$10,7,FALSE))))</f>
        <v>1</v>
      </c>
      <c r="F92" s="7">
        <v>45477.76597222222</v>
      </c>
      <c r="G92" s="8">
        <v>3.471</v>
      </c>
    </row>
    <row r="93">
      <c r="A93" s="9" t="str">
        <f t="shared" ref="A93:A97" si="107">A92</f>
        <v>PROREP (S)</v>
      </c>
      <c r="B93" s="9" t="str">
        <f>IF(ISBLANK(A92),"",LEFT(B92,27)&amp;VALUE(RIGHT(B92,1)+1))</f>
        <v>JKS240702PROREP_20C_sample_2</v>
      </c>
      <c r="C93" s="6" t="str">
        <f t="shared" ref="C93:D93" si="106">C92</f>
        <v>Protea repens</v>
      </c>
      <c r="D93" s="6" t="str">
        <f t="shared" si="106"/>
        <v>20C</v>
      </c>
      <c r="E93" s="10">
        <f>IF(ISBLANK(A92),"",E92+1)</f>
        <v>2</v>
      </c>
      <c r="F93" s="11">
        <f t="shared" ref="F93:F97" si="109">F92</f>
        <v>45477.76597</v>
      </c>
      <c r="G93" s="8">
        <v>12.873</v>
      </c>
    </row>
    <row r="94">
      <c r="A94" s="9" t="str">
        <f t="shared" si="107"/>
        <v>PROREP (S)</v>
      </c>
      <c r="B94" s="9" t="str">
        <f>IF(ISBLANK(A92),"",LEFT(B93,27)&amp;VALUE(RIGHT(B93,1)+1))</f>
        <v>JKS240702PROREP_20C_sample_3</v>
      </c>
      <c r="C94" s="6" t="str">
        <f t="shared" ref="C94:D94" si="108">C93</f>
        <v>Protea repens</v>
      </c>
      <c r="D94" s="6" t="str">
        <f t="shared" si="108"/>
        <v>20C</v>
      </c>
      <c r="E94" s="10">
        <f>IF(ISBLANK(A92),"",E93+1)</f>
        <v>3</v>
      </c>
      <c r="F94" s="11">
        <f t="shared" si="109"/>
        <v>45477.76597</v>
      </c>
      <c r="G94" s="8">
        <v>16.294</v>
      </c>
    </row>
    <row r="95">
      <c r="A95" s="9" t="str">
        <f t="shared" si="107"/>
        <v>PROREP (S)</v>
      </c>
      <c r="B95" s="9" t="str">
        <f>IF(ISBLANK(A92),"",LEFT(B94,27)&amp;VALUE(RIGHT(B94,1)+1))</f>
        <v>JKS240702PROREP_20C_sample_4</v>
      </c>
      <c r="C95" s="6" t="str">
        <f t="shared" ref="C95:D95" si="110">C94</f>
        <v>Protea repens</v>
      </c>
      <c r="D95" s="6" t="str">
        <f t="shared" si="110"/>
        <v>20C</v>
      </c>
      <c r="E95" s="10">
        <f>IF(ISBLANK(A92),"",E94+1)</f>
        <v>4</v>
      </c>
      <c r="F95" s="11">
        <f t="shared" si="109"/>
        <v>45477.76597</v>
      </c>
      <c r="G95" s="8">
        <v>7.505</v>
      </c>
    </row>
    <row r="96">
      <c r="A96" s="9" t="str">
        <f t="shared" si="107"/>
        <v>PROREP (S)</v>
      </c>
      <c r="B96" s="9" t="str">
        <f>IF(ISBLANK(A92),"",LEFT(B95,27)&amp;VALUE(RIGHT(B95,1)+1))</f>
        <v>JKS240702PROREP_20C_sample_5</v>
      </c>
      <c r="C96" s="6" t="str">
        <f t="shared" ref="C96:D96" si="111">C95</f>
        <v>Protea repens</v>
      </c>
      <c r="D96" s="6" t="str">
        <f t="shared" si="111"/>
        <v>20C</v>
      </c>
      <c r="E96" s="10">
        <f>IF(ISBLANK(A92),"",E95+1)</f>
        <v>5</v>
      </c>
      <c r="F96" s="11">
        <f t="shared" si="109"/>
        <v>45477.76597</v>
      </c>
      <c r="G96" s="8">
        <v>7.065</v>
      </c>
    </row>
    <row r="97">
      <c r="A97" s="12" t="str">
        <f t="shared" si="107"/>
        <v>PROREP (S)</v>
      </c>
      <c r="B97" s="12" t="str">
        <f>IF(ISBLANK(A92),"",LEFT(B96,27)&amp;VALUE(RIGHT(B96,1)+1))</f>
        <v>JKS240702PROREP_20C_sample_6</v>
      </c>
      <c r="C97" s="13" t="str">
        <f t="shared" ref="C97:D97" si="112">C96</f>
        <v>Protea repens</v>
      </c>
      <c r="D97" s="13" t="str">
        <f t="shared" si="112"/>
        <v>20C</v>
      </c>
      <c r="E97" s="14">
        <f>IF(ISBLANK(A92),"",E96+1)</f>
        <v>6</v>
      </c>
      <c r="F97" s="15">
        <f t="shared" si="109"/>
        <v>45477.76597</v>
      </c>
      <c r="G97" s="16">
        <v>26.56</v>
      </c>
    </row>
    <row r="98">
      <c r="A98" s="5" t="s">
        <v>10</v>
      </c>
      <c r="B98" s="6" t="str">
        <f t="array" ref="B98">IF(ISBLANK(A98),"",IF(A98="PROREP (L)",VLOOKUP(LEFT($A98,6),'Data Feed (20C)'!$A$1:$G$10,2,FALSE),IF(A98="PROREP (S)", INDEX('Data Feed (20C)'!B:B, MATCH(LEFT($A98,6), 'Data Feed (20C)'!$A$1:$A$10, 0) + 1), VLOOKUP($A98,'Data Feed (20C)'!$A$1:$G$10,2,FALSE))))</f>
        <v>JKS240702CANCON_20C_sample_1</v>
      </c>
      <c r="C98" s="6" t="str">
        <f t="array" ref="C98">IF(ISBLANK(A98),"",IF(A98="PROREP (L)",VLOOKUP(LEFT($A98,6),'Data Feed (20C)'!$A$1:$G$10,3,FALSE),IF(A98="PROREP (S)", INDEX('Data Feed (20C)'!C:C, MATCH(LEFT($A98,6), 'Data Feed (20C)'!$A$1:$A$10, 0) + 1, +1), VLOOKUP($A98,'Data Feed (20C)'!$A$1:$G$10,3,FALSE))))</f>
        <v>Cannomois congesta</v>
      </c>
      <c r="D98" s="6" t="str">
        <f t="array" ref="D98">IF(ISBLANK(A98),"",IF(A98="PROREP (L)",VLOOKUP(LEFT($A98,6),'Data Feed (20C)'!$A$1:$G$10,4,FALSE),IF(A98="PROREP (S)", INDEX('Data Feed (20C)'!D:D, MATCH(LEFT($A98,6), 'Data Feed (20C)'!$A$1:$A$10, 0) + 1, +1), VLOOKUP($A98,'Data Feed (20C)'!$A$1:$G$10,4,FALSE))))</f>
        <v>20C</v>
      </c>
      <c r="E98" s="6">
        <f t="array" ref="E98">IF(ISBLANK(A98),"",IF(A98="PROREP (L)",VLOOKUP(LEFT($A98,6),'Data Feed (20C)'!$A$1:$G$10,7,FALSE),IF(A98="PROREP (S)", INDEX('Data Feed (20C)'!G:G, MATCH(LEFT($A98,6), 'Data Feed (20C)'!$A$1:$A$10, 0) + 1, +1), VLOOKUP($A98,'Data Feed (20C)'!$A$1:$G$10,7,FALSE))))</f>
        <v>1</v>
      </c>
      <c r="F98" s="7">
        <v>45477.76736111111</v>
      </c>
      <c r="G98" s="8">
        <v>2.406</v>
      </c>
    </row>
    <row r="99">
      <c r="A99" s="9" t="str">
        <f t="shared" ref="A99:A103" si="114">A98</f>
        <v>CANCON</v>
      </c>
      <c r="B99" s="9" t="str">
        <f>IF(ISBLANK(A98),"",LEFT(B98,27)&amp;VALUE(RIGHT(B98,1)+1))</f>
        <v>JKS240702CANCON_20C_sample_2</v>
      </c>
      <c r="C99" s="6" t="str">
        <f t="shared" ref="C99:D99" si="113">C98</f>
        <v>Cannomois congesta</v>
      </c>
      <c r="D99" s="6" t="str">
        <f t="shared" si="113"/>
        <v>20C</v>
      </c>
      <c r="E99" s="10">
        <f>IF(ISBLANK(A98),"",E98+1)</f>
        <v>2</v>
      </c>
      <c r="F99" s="11">
        <f t="shared" ref="F99:F103" si="116">F98</f>
        <v>45477.76736</v>
      </c>
      <c r="G99" s="8">
        <v>2.458</v>
      </c>
    </row>
    <row r="100">
      <c r="A100" s="9" t="str">
        <f t="shared" si="114"/>
        <v>CANCON</v>
      </c>
      <c r="B100" s="9" t="str">
        <f>IF(ISBLANK(A98),"",LEFT(B99,27)&amp;VALUE(RIGHT(B99,1)+1))</f>
        <v>JKS240702CANCON_20C_sample_3</v>
      </c>
      <c r="C100" s="6" t="str">
        <f t="shared" ref="C100:D100" si="115">C99</f>
        <v>Cannomois congesta</v>
      </c>
      <c r="D100" s="6" t="str">
        <f t="shared" si="115"/>
        <v>20C</v>
      </c>
      <c r="E100" s="10">
        <f>IF(ISBLANK(A98),"",E99+1)</f>
        <v>3</v>
      </c>
      <c r="F100" s="11">
        <f t="shared" si="116"/>
        <v>45477.76736</v>
      </c>
      <c r="G100" s="8">
        <v>1.227</v>
      </c>
    </row>
    <row r="101">
      <c r="A101" s="9" t="str">
        <f t="shared" si="114"/>
        <v>CANCON</v>
      </c>
      <c r="B101" s="9" t="str">
        <f>IF(ISBLANK(A98),"",LEFT(B100,27)&amp;VALUE(RIGHT(B100,1)+1))</f>
        <v>JKS240702CANCON_20C_sample_4</v>
      </c>
      <c r="C101" s="6" t="str">
        <f t="shared" ref="C101:D101" si="117">C100</f>
        <v>Cannomois congesta</v>
      </c>
      <c r="D101" s="6" t="str">
        <f t="shared" si="117"/>
        <v>20C</v>
      </c>
      <c r="E101" s="10">
        <f>IF(ISBLANK(A98),"",E100+1)</f>
        <v>4</v>
      </c>
      <c r="F101" s="11">
        <f t="shared" si="116"/>
        <v>45477.76736</v>
      </c>
      <c r="G101" s="8">
        <v>2.181</v>
      </c>
    </row>
    <row r="102">
      <c r="A102" s="9" t="str">
        <f t="shared" si="114"/>
        <v>CANCON</v>
      </c>
      <c r="B102" s="9" t="str">
        <f>IF(ISBLANK(A98),"",LEFT(B101,27)&amp;VALUE(RIGHT(B101,1)+1))</f>
        <v>JKS240702CANCON_20C_sample_5</v>
      </c>
      <c r="C102" s="6" t="str">
        <f t="shared" ref="C102:D102" si="118">C101</f>
        <v>Cannomois congesta</v>
      </c>
      <c r="D102" s="6" t="str">
        <f t="shared" si="118"/>
        <v>20C</v>
      </c>
      <c r="E102" s="10">
        <f>IF(ISBLANK(A98),"",E101+1)</f>
        <v>5</v>
      </c>
      <c r="F102" s="11">
        <f t="shared" si="116"/>
        <v>45477.76736</v>
      </c>
      <c r="G102" s="8">
        <v>2.413</v>
      </c>
    </row>
    <row r="103">
      <c r="A103" s="12" t="str">
        <f t="shared" si="114"/>
        <v>CANCON</v>
      </c>
      <c r="B103" s="12" t="str">
        <f>IF(ISBLANK(A98),"",LEFT(B102,27)&amp;VALUE(RIGHT(B102,1)+1))</f>
        <v>JKS240702CANCON_20C_sample_6</v>
      </c>
      <c r="C103" s="13" t="str">
        <f t="shared" ref="C103:D103" si="119">C102</f>
        <v>Cannomois congesta</v>
      </c>
      <c r="D103" s="13" t="str">
        <f t="shared" si="119"/>
        <v>20C</v>
      </c>
      <c r="E103" s="14">
        <f>IF(ISBLANK(A98),"",E102+1)</f>
        <v>6</v>
      </c>
      <c r="F103" s="15">
        <f t="shared" si="116"/>
        <v>45477.76736</v>
      </c>
      <c r="G103" s="16">
        <v>1.831</v>
      </c>
    </row>
    <row r="104">
      <c r="A104" s="5" t="s">
        <v>7</v>
      </c>
      <c r="B104" s="6" t="str">
        <f t="array" ref="B104">IF(ISBLANK(A104),"",IF(A104="PROREP (L)",VLOOKUP(LEFT($A104,6),'Data Feed (20C)'!$A$1:$G$10,2,FALSE),IF(A104="PROREP (S)", INDEX('Data Feed (20C)'!B:B, MATCH(LEFT($A104,6), 'Data Feed (20C)'!$A$1:$A$10, 0) + 1), VLOOKUP($A104,'Data Feed (20C)'!$A$1:$G$10,2,FALSE))))</f>
        <v>JKS240702ERIMON_20C_sample_1</v>
      </c>
      <c r="C104" s="6" t="str">
        <f t="array" ref="C104">IF(ISBLANK(A104),"",IF(A104="PROREP (L)",VLOOKUP(LEFT($A104,6),'Data Feed (20C)'!$A$1:$G$10,3,FALSE),IF(A104="PROREP (S)", INDEX('Data Feed (20C)'!C:C, MATCH(LEFT($A104,6), 'Data Feed (20C)'!$A$1:$A$10, 0) + 1, +1), VLOOKUP($A104,'Data Feed (20C)'!$A$1:$G$10,3,FALSE))))</f>
        <v>Erica monsoniana</v>
      </c>
      <c r="D104" s="6" t="str">
        <f t="array" ref="D104">IF(ISBLANK(A104),"",IF(A104="PROREP (L)",VLOOKUP(LEFT($A104,6),'Data Feed (20C)'!$A$1:$G$10,4,FALSE),IF(A104="PROREP (S)", INDEX('Data Feed (20C)'!D:D, MATCH(LEFT($A104,6), 'Data Feed (20C)'!$A$1:$A$10, 0) + 1, +1), VLOOKUP($A104,'Data Feed (20C)'!$A$1:$G$10,4,FALSE))))</f>
        <v>20C</v>
      </c>
      <c r="E104" s="6">
        <f t="array" ref="E104">IF(ISBLANK(A104),"",IF(A104="PROREP (L)",VLOOKUP(LEFT($A104,6),'Data Feed (20C)'!$A$1:$G$10,7,FALSE),IF(A104="PROREP (S)", INDEX('Data Feed (20C)'!G:G, MATCH(LEFT($A104,6), 'Data Feed (20C)'!$A$1:$A$10, 0) + 1, +1), VLOOKUP($A104,'Data Feed (20C)'!$A$1:$G$10,7,FALSE))))</f>
        <v>1</v>
      </c>
      <c r="F104" s="7">
        <v>45477.79305555556</v>
      </c>
      <c r="G104" s="8">
        <v>2.971</v>
      </c>
    </row>
    <row r="105">
      <c r="A105" s="9" t="str">
        <f t="shared" ref="A105:A109" si="121">A104</f>
        <v>ERIMON</v>
      </c>
      <c r="B105" s="9" t="str">
        <f>IF(ISBLANK(A104),"",LEFT(B104,27)&amp;VALUE(RIGHT(B104,1)+1))</f>
        <v>JKS240702ERIMON_20C_sample_2</v>
      </c>
      <c r="C105" s="6" t="str">
        <f t="shared" ref="C105:D105" si="120">C104</f>
        <v>Erica monsoniana</v>
      </c>
      <c r="D105" s="6" t="str">
        <f t="shared" si="120"/>
        <v>20C</v>
      </c>
      <c r="E105" s="10">
        <f>IF(ISBLANK(A104),"",E104+1)</f>
        <v>2</v>
      </c>
      <c r="F105" s="11">
        <f t="shared" ref="F105:F109" si="123">F104</f>
        <v>45477.79306</v>
      </c>
      <c r="G105" s="8">
        <v>2.445</v>
      </c>
    </row>
    <row r="106">
      <c r="A106" s="9" t="str">
        <f t="shared" si="121"/>
        <v>ERIMON</v>
      </c>
      <c r="B106" s="9" t="str">
        <f>IF(ISBLANK(A104),"",LEFT(B105,27)&amp;VALUE(RIGHT(B105,1)+1))</f>
        <v>JKS240702ERIMON_20C_sample_3</v>
      </c>
      <c r="C106" s="6" t="str">
        <f t="shared" ref="C106:D106" si="122">C105</f>
        <v>Erica monsoniana</v>
      </c>
      <c r="D106" s="6" t="str">
        <f t="shared" si="122"/>
        <v>20C</v>
      </c>
      <c r="E106" s="10">
        <f>IF(ISBLANK(A104),"",E105+1)</f>
        <v>3</v>
      </c>
      <c r="F106" s="11">
        <f t="shared" si="123"/>
        <v>45477.79306</v>
      </c>
      <c r="G106" s="8">
        <v>2.379</v>
      </c>
    </row>
    <row r="107">
      <c r="A107" s="9" t="str">
        <f t="shared" si="121"/>
        <v>ERIMON</v>
      </c>
      <c r="B107" s="9" t="str">
        <f>IF(ISBLANK(A104),"",LEFT(B106,27)&amp;VALUE(RIGHT(B106,1)+1))</f>
        <v>JKS240702ERIMON_20C_sample_4</v>
      </c>
      <c r="C107" s="6" t="str">
        <f t="shared" ref="C107:D107" si="124">C106</f>
        <v>Erica monsoniana</v>
      </c>
      <c r="D107" s="6" t="str">
        <f t="shared" si="124"/>
        <v>20C</v>
      </c>
      <c r="E107" s="10">
        <f>IF(ISBLANK(A104),"",E106+1)</f>
        <v>4</v>
      </c>
      <c r="F107" s="11">
        <f t="shared" si="123"/>
        <v>45477.79306</v>
      </c>
      <c r="G107" s="8">
        <v>1.541</v>
      </c>
    </row>
    <row r="108">
      <c r="A108" s="9" t="str">
        <f t="shared" si="121"/>
        <v>ERIMON</v>
      </c>
      <c r="B108" s="9" t="str">
        <f>IF(ISBLANK(A104),"",LEFT(B107,27)&amp;VALUE(RIGHT(B107,1)+1))</f>
        <v>JKS240702ERIMON_20C_sample_5</v>
      </c>
      <c r="C108" s="6" t="str">
        <f t="shared" ref="C108:D108" si="125">C107</f>
        <v>Erica monsoniana</v>
      </c>
      <c r="D108" s="6" t="str">
        <f t="shared" si="125"/>
        <v>20C</v>
      </c>
      <c r="E108" s="10">
        <f>IF(ISBLANK(A104),"",E107+1)</f>
        <v>5</v>
      </c>
      <c r="F108" s="11">
        <f t="shared" si="123"/>
        <v>45477.79306</v>
      </c>
      <c r="G108" s="8">
        <v>2.059</v>
      </c>
    </row>
    <row r="109">
      <c r="A109" s="12" t="str">
        <f t="shared" si="121"/>
        <v>ERIMON</v>
      </c>
      <c r="B109" s="12" t="str">
        <f>IF(ISBLANK(A104),"",LEFT(B108,27)&amp;VALUE(RIGHT(B108,1)+1))</f>
        <v>JKS240702ERIMON_20C_sample_6</v>
      </c>
      <c r="C109" s="13" t="str">
        <f t="shared" ref="C109:D109" si="126">C108</f>
        <v>Erica monsoniana</v>
      </c>
      <c r="D109" s="13" t="str">
        <f t="shared" si="126"/>
        <v>20C</v>
      </c>
      <c r="E109" s="14">
        <f>IF(ISBLANK(A104),"",E108+1)</f>
        <v>6</v>
      </c>
      <c r="F109" s="15">
        <f t="shared" si="123"/>
        <v>45477.79306</v>
      </c>
      <c r="G109" s="16">
        <v>0.985</v>
      </c>
    </row>
    <row r="110">
      <c r="A110" s="5" t="s">
        <v>8</v>
      </c>
      <c r="B110" s="6" t="str">
        <f t="array" ref="B110">IF(ISBLANK(A110),"",IF(A110="PROREP (L)",VLOOKUP(LEFT($A110,6),'Data Feed (20C)'!$A$1:$G$10,2,FALSE),IF(A110="PROREP (S)", INDEX('Data Feed (20C)'!B:B, MATCH(LEFT($A110,6), 'Data Feed (20C)'!$A$1:$A$10, 0) + 1), VLOOKUP($A110,'Data Feed (20C)'!$A$1:$G$10,2,FALSE))))</f>
        <v>JKL240702PROREP_20C_sample_1</v>
      </c>
      <c r="C110" s="6" t="str">
        <f t="array" ref="C110">IF(ISBLANK(A110),"",IF(A110="PROREP (L)",VLOOKUP(LEFT($A110,6),'Data Feed (20C)'!$A$1:$G$10,3,FALSE),IF(A110="PROREP (S)", INDEX('Data Feed (20C)'!C:C, MATCH(LEFT($A110,6), 'Data Feed (20C)'!$A$1:$A$10, 0) + 1, +1), VLOOKUP($A110,'Data Feed (20C)'!$A$1:$G$10,3,FALSE))))</f>
        <v>Protea repens</v>
      </c>
      <c r="D110" s="6" t="str">
        <f t="array" ref="D110">IF(ISBLANK(A110),"",IF(A110="PROREP (L)",VLOOKUP(LEFT($A110,6),'Data Feed (20C)'!$A$1:$G$10,4,FALSE),IF(A110="PROREP (S)", INDEX('Data Feed (20C)'!D:D, MATCH(LEFT($A110,6), 'Data Feed (20C)'!$A$1:$A$10, 0) + 1, +1), VLOOKUP($A110,'Data Feed (20C)'!$A$1:$G$10,4,FALSE))))</f>
        <v>20C</v>
      </c>
      <c r="E110" s="6">
        <f t="array" ref="E110">IF(ISBLANK(A110),"",IF(A110="PROREP (L)",VLOOKUP(LEFT($A110,6),'Data Feed (20C)'!$A$1:$G$10,7,FALSE),IF(A110="PROREP (S)", INDEX('Data Feed (20C)'!G:G, MATCH(LEFT($A110,6), 'Data Feed (20C)'!$A$1:$A$10, 0) + 1, +1), VLOOKUP($A110,'Data Feed (20C)'!$A$1:$G$10,7,FALSE))))</f>
        <v>1</v>
      </c>
      <c r="F110" s="7">
        <v>45477.79375</v>
      </c>
      <c r="G110" s="8">
        <v>0.584</v>
      </c>
    </row>
    <row r="111">
      <c r="A111" s="9" t="str">
        <f t="shared" ref="A111:A115" si="128">A110</f>
        <v>PROREP (L)</v>
      </c>
      <c r="B111" s="9" t="str">
        <f>IF(ISBLANK(A110),"",LEFT(B110,27)&amp;VALUE(RIGHT(B110,1)+1))</f>
        <v>JKL240702PROREP_20C_sample_2</v>
      </c>
      <c r="C111" s="6" t="str">
        <f t="shared" ref="C111:D111" si="127">C110</f>
        <v>Protea repens</v>
      </c>
      <c r="D111" s="6" t="str">
        <f t="shared" si="127"/>
        <v>20C</v>
      </c>
      <c r="E111" s="10">
        <f>IF(ISBLANK(A110),"",E110+1)</f>
        <v>2</v>
      </c>
      <c r="F111" s="11">
        <f t="shared" ref="F111:F115" si="130">F110</f>
        <v>45477.79375</v>
      </c>
      <c r="G111" s="8">
        <v>0.436</v>
      </c>
    </row>
    <row r="112">
      <c r="A112" s="9" t="str">
        <f t="shared" si="128"/>
        <v>PROREP (L)</v>
      </c>
      <c r="B112" s="9" t="str">
        <f>IF(ISBLANK(A110),"",LEFT(B111,27)&amp;VALUE(RIGHT(B111,1)+1))</f>
        <v>JKL240702PROREP_20C_sample_3</v>
      </c>
      <c r="C112" s="6" t="str">
        <f t="shared" ref="C112:D112" si="129">C111</f>
        <v>Protea repens</v>
      </c>
      <c r="D112" s="6" t="str">
        <f t="shared" si="129"/>
        <v>20C</v>
      </c>
      <c r="E112" s="10">
        <f>IF(ISBLANK(A110),"",E111+1)</f>
        <v>3</v>
      </c>
      <c r="F112" s="11">
        <f t="shared" si="130"/>
        <v>45477.79375</v>
      </c>
      <c r="G112" s="8">
        <v>0.669</v>
      </c>
    </row>
    <row r="113">
      <c r="A113" s="9" t="str">
        <f t="shared" si="128"/>
        <v>PROREP (L)</v>
      </c>
      <c r="B113" s="9" t="str">
        <f>IF(ISBLANK(A110),"",LEFT(B112,27)&amp;VALUE(RIGHT(B112,1)+1))</f>
        <v>JKL240702PROREP_20C_sample_4</v>
      </c>
      <c r="C113" s="6" t="str">
        <f t="shared" ref="C113:D113" si="131">C112</f>
        <v>Protea repens</v>
      </c>
      <c r="D113" s="6" t="str">
        <f t="shared" si="131"/>
        <v>20C</v>
      </c>
      <c r="E113" s="10">
        <f>IF(ISBLANK(A110),"",E112+1)</f>
        <v>4</v>
      </c>
      <c r="F113" s="11">
        <f t="shared" si="130"/>
        <v>45477.79375</v>
      </c>
      <c r="G113" s="8">
        <v>0.351</v>
      </c>
    </row>
    <row r="114">
      <c r="A114" s="9" t="str">
        <f t="shared" si="128"/>
        <v>PROREP (L)</v>
      </c>
      <c r="B114" s="9" t="str">
        <f>IF(ISBLANK(A110),"",LEFT(B113,27)&amp;VALUE(RIGHT(B113,1)+1))</f>
        <v>JKL240702PROREP_20C_sample_5</v>
      </c>
      <c r="C114" s="6" t="str">
        <f t="shared" ref="C114:D114" si="132">C113</f>
        <v>Protea repens</v>
      </c>
      <c r="D114" s="6" t="str">
        <f t="shared" si="132"/>
        <v>20C</v>
      </c>
      <c r="E114" s="10">
        <f>IF(ISBLANK(A110),"",E113+1)</f>
        <v>5</v>
      </c>
      <c r="F114" s="11">
        <f t="shared" si="130"/>
        <v>45477.79375</v>
      </c>
      <c r="G114" s="8">
        <v>0.509</v>
      </c>
    </row>
    <row r="115">
      <c r="A115" s="12" t="str">
        <f t="shared" si="128"/>
        <v>PROREP (L)</v>
      </c>
      <c r="B115" s="12" t="str">
        <f>IF(ISBLANK(A110),"",LEFT(B114,27)&amp;VALUE(RIGHT(B114,1)+1))</f>
        <v>JKL240702PROREP_20C_sample_6</v>
      </c>
      <c r="C115" s="13" t="str">
        <f t="shared" ref="C115:D115" si="133">C114</f>
        <v>Protea repens</v>
      </c>
      <c r="D115" s="13" t="str">
        <f t="shared" si="133"/>
        <v>20C</v>
      </c>
      <c r="E115" s="14">
        <f>IF(ISBLANK(A110),"",E114+1)</f>
        <v>6</v>
      </c>
      <c r="F115" s="15">
        <f t="shared" si="130"/>
        <v>45477.79375</v>
      </c>
      <c r="G115" s="16">
        <v>0.42</v>
      </c>
    </row>
    <row r="116">
      <c r="A116" s="5" t="s">
        <v>9</v>
      </c>
      <c r="B116" s="6" t="str">
        <f t="array" ref="B116">IF(ISBLANK(A116),"",IF(A116="PROREP (L)",VLOOKUP(LEFT($A116,6),'Data Feed (20C)'!$A$1:$G$10,2,FALSE),IF(A116="PROREP (S)", INDEX('Data Feed (20C)'!B:B, MATCH(LEFT($A116,6), 'Data Feed (20C)'!$A$1:$A$10, 0) + 1), VLOOKUP($A116,'Data Feed (20C)'!$A$1:$G$10,2,FALSE))))</f>
        <v>JKS240702PROREP_20C_sample_1</v>
      </c>
      <c r="C116" s="6" t="str">
        <f t="array" ref="C116">IF(ISBLANK(A116),"",IF(A116="PROREP (L)",VLOOKUP(LEFT($A116,6),'Data Feed (20C)'!$A$1:$G$10,3,FALSE),IF(A116="PROREP (S)", INDEX('Data Feed (20C)'!C:C, MATCH(LEFT($A116,6), 'Data Feed (20C)'!$A$1:$A$10, 0) + 1, +1), VLOOKUP($A116,'Data Feed (20C)'!$A$1:$G$10,3,FALSE))))</f>
        <v>Protea repens</v>
      </c>
      <c r="D116" s="6" t="str">
        <f t="array" ref="D116">IF(ISBLANK(A116),"",IF(A116="PROREP (L)",VLOOKUP(LEFT($A116,6),'Data Feed (20C)'!$A$1:$G$10,4,FALSE),IF(A116="PROREP (S)", INDEX('Data Feed (20C)'!D:D, MATCH(LEFT($A116,6), 'Data Feed (20C)'!$A$1:$A$10, 0) + 1, +1), VLOOKUP($A116,'Data Feed (20C)'!$A$1:$G$10,4,FALSE))))</f>
        <v>20C</v>
      </c>
      <c r="E116" s="6">
        <f t="array" ref="E116">IF(ISBLANK(A116),"",IF(A116="PROREP (L)",VLOOKUP(LEFT($A116,6),'Data Feed (20C)'!$A$1:$G$10,7,FALSE),IF(A116="PROREP (S)", INDEX('Data Feed (20C)'!G:G, MATCH(LEFT($A116,6), 'Data Feed (20C)'!$A$1:$A$10, 0) + 1, +1), VLOOKUP($A116,'Data Feed (20C)'!$A$1:$G$10,7,FALSE))))</f>
        <v>1</v>
      </c>
      <c r="F116" s="7">
        <v>45477.79513888889</v>
      </c>
      <c r="G116" s="8">
        <v>3.469</v>
      </c>
    </row>
    <row r="117">
      <c r="A117" s="9" t="str">
        <f t="shared" ref="A117:A121" si="135">A116</f>
        <v>PROREP (S)</v>
      </c>
      <c r="B117" s="9" t="str">
        <f>IF(ISBLANK(A116),"",LEFT(B116,27)&amp;VALUE(RIGHT(B116,1)+1))</f>
        <v>JKS240702PROREP_20C_sample_2</v>
      </c>
      <c r="C117" s="6" t="str">
        <f t="shared" ref="C117:D117" si="134">C116</f>
        <v>Protea repens</v>
      </c>
      <c r="D117" s="6" t="str">
        <f t="shared" si="134"/>
        <v>20C</v>
      </c>
      <c r="E117" s="10">
        <f>IF(ISBLANK(A116),"",E116+1)</f>
        <v>2</v>
      </c>
      <c r="F117" s="11">
        <f t="shared" ref="F117:F121" si="137">F116</f>
        <v>45477.79514</v>
      </c>
      <c r="G117" s="8">
        <v>12.857</v>
      </c>
    </row>
    <row r="118">
      <c r="A118" s="9" t="str">
        <f t="shared" si="135"/>
        <v>PROREP (S)</v>
      </c>
      <c r="B118" s="9" t="str">
        <f>IF(ISBLANK(A116),"",LEFT(B117,27)&amp;VALUE(RIGHT(B117,1)+1))</f>
        <v>JKS240702PROREP_20C_sample_3</v>
      </c>
      <c r="C118" s="6" t="str">
        <f t="shared" ref="C118:D118" si="136">C117</f>
        <v>Protea repens</v>
      </c>
      <c r="D118" s="6" t="str">
        <f t="shared" si="136"/>
        <v>20C</v>
      </c>
      <c r="E118" s="10">
        <f>IF(ISBLANK(A116),"",E117+1)</f>
        <v>3</v>
      </c>
      <c r="F118" s="11">
        <f t="shared" si="137"/>
        <v>45477.79514</v>
      </c>
      <c r="G118" s="8">
        <v>16.243</v>
      </c>
    </row>
    <row r="119">
      <c r="A119" s="9" t="str">
        <f t="shared" si="135"/>
        <v>PROREP (S)</v>
      </c>
      <c r="B119" s="9" t="str">
        <f>IF(ISBLANK(A116),"",LEFT(B118,27)&amp;VALUE(RIGHT(B118,1)+1))</f>
        <v>JKS240702PROREP_20C_sample_4</v>
      </c>
      <c r="C119" s="6" t="str">
        <f t="shared" ref="C119:D119" si="138">C118</f>
        <v>Protea repens</v>
      </c>
      <c r="D119" s="6" t="str">
        <f t="shared" si="138"/>
        <v>20C</v>
      </c>
      <c r="E119" s="10">
        <f>IF(ISBLANK(A116),"",E118+1)</f>
        <v>4</v>
      </c>
      <c r="F119" s="11">
        <f t="shared" si="137"/>
        <v>45477.79514</v>
      </c>
      <c r="G119" s="8">
        <v>7.488</v>
      </c>
    </row>
    <row r="120">
      <c r="A120" s="9" t="str">
        <f t="shared" si="135"/>
        <v>PROREP (S)</v>
      </c>
      <c r="B120" s="9" t="str">
        <f>IF(ISBLANK(A116),"",LEFT(B119,27)&amp;VALUE(RIGHT(B119,1)+1))</f>
        <v>JKS240702PROREP_20C_sample_5</v>
      </c>
      <c r="C120" s="6" t="str">
        <f t="shared" ref="C120:D120" si="139">C119</f>
        <v>Protea repens</v>
      </c>
      <c r="D120" s="6" t="str">
        <f t="shared" si="139"/>
        <v>20C</v>
      </c>
      <c r="E120" s="10">
        <f>IF(ISBLANK(A116),"",E119+1)</f>
        <v>5</v>
      </c>
      <c r="F120" s="11">
        <f t="shared" si="137"/>
        <v>45477.79514</v>
      </c>
      <c r="G120" s="8">
        <v>7.149</v>
      </c>
    </row>
    <row r="121">
      <c r="A121" s="12" t="str">
        <f t="shared" si="135"/>
        <v>PROREP (S)</v>
      </c>
      <c r="B121" s="12" t="str">
        <f>IF(ISBLANK(A116),"",LEFT(B120,27)&amp;VALUE(RIGHT(B120,1)+1))</f>
        <v>JKS240702PROREP_20C_sample_6</v>
      </c>
      <c r="C121" s="13" t="str">
        <f t="shared" ref="C121:D121" si="140">C120</f>
        <v>Protea repens</v>
      </c>
      <c r="D121" s="13" t="str">
        <f t="shared" si="140"/>
        <v>20C</v>
      </c>
      <c r="E121" s="14">
        <f>IF(ISBLANK(A116),"",E120+1)</f>
        <v>6</v>
      </c>
      <c r="F121" s="15">
        <f t="shared" si="137"/>
        <v>45477.79514</v>
      </c>
      <c r="G121" s="16">
        <v>26.484</v>
      </c>
    </row>
    <row r="122">
      <c r="A122" s="5" t="s">
        <v>10</v>
      </c>
      <c r="B122" s="6" t="str">
        <f t="array" ref="B122">IF(ISBLANK(A122),"",IF(A122="PROREP (L)",VLOOKUP(LEFT($A122,6),'Data Feed (20C)'!$A$1:$G$10,2,FALSE),IF(A122="PROREP (S)", INDEX('Data Feed (20C)'!B:B, MATCH(LEFT($A122,6), 'Data Feed (20C)'!$A$1:$A$10, 0) + 1), VLOOKUP($A122,'Data Feed (20C)'!$A$1:$G$10,2,FALSE))))</f>
        <v>JKS240702CANCON_20C_sample_1</v>
      </c>
      <c r="C122" s="6" t="str">
        <f t="array" ref="C122">IF(ISBLANK(A122),"",IF(A122="PROREP (L)",VLOOKUP(LEFT($A122,6),'Data Feed (20C)'!$A$1:$G$10,3,FALSE),IF(A122="PROREP (S)", INDEX('Data Feed (20C)'!C:C, MATCH(LEFT($A122,6), 'Data Feed (20C)'!$A$1:$A$10, 0) + 1, +1), VLOOKUP($A122,'Data Feed (20C)'!$A$1:$G$10,3,FALSE))))</f>
        <v>Cannomois congesta</v>
      </c>
      <c r="D122" s="6" t="str">
        <f t="array" ref="D122">IF(ISBLANK(A122),"",IF(A122="PROREP (L)",VLOOKUP(LEFT($A122,6),'Data Feed (20C)'!$A$1:$G$10,4,FALSE),IF(A122="PROREP (S)", INDEX('Data Feed (20C)'!D:D, MATCH(LEFT($A122,6), 'Data Feed (20C)'!$A$1:$A$10, 0) + 1, +1), VLOOKUP($A122,'Data Feed (20C)'!$A$1:$G$10,4,FALSE))))</f>
        <v>20C</v>
      </c>
      <c r="E122" s="6">
        <f t="array" ref="E122">IF(ISBLANK(A122),"",IF(A122="PROREP (L)",VLOOKUP(LEFT($A122,6),'Data Feed (20C)'!$A$1:$G$10,7,FALSE),IF(A122="PROREP (S)", INDEX('Data Feed (20C)'!G:G, MATCH(LEFT($A122,6), 'Data Feed (20C)'!$A$1:$A$10, 0) + 1, +1), VLOOKUP($A122,'Data Feed (20C)'!$A$1:$G$10,7,FALSE))))</f>
        <v>1</v>
      </c>
      <c r="F122" s="7">
        <v>45477.79652777778</v>
      </c>
      <c r="G122" s="8">
        <v>2.391</v>
      </c>
    </row>
    <row r="123">
      <c r="A123" s="9" t="str">
        <f t="shared" ref="A123:A127" si="142">A122</f>
        <v>CANCON</v>
      </c>
      <c r="B123" s="9" t="str">
        <f>IF(ISBLANK(A122),"",LEFT(B122,27)&amp;VALUE(RIGHT(B122,1)+1))</f>
        <v>JKS240702CANCON_20C_sample_2</v>
      </c>
      <c r="C123" s="6" t="str">
        <f t="shared" ref="C123:D123" si="141">C122</f>
        <v>Cannomois congesta</v>
      </c>
      <c r="D123" s="6" t="str">
        <f t="shared" si="141"/>
        <v>20C</v>
      </c>
      <c r="E123" s="10">
        <f>IF(ISBLANK(A122),"",E122+1)</f>
        <v>2</v>
      </c>
      <c r="F123" s="11">
        <f t="shared" ref="F123:F127" si="144">F122</f>
        <v>45477.79653</v>
      </c>
      <c r="G123" s="8">
        <v>2.45</v>
      </c>
    </row>
    <row r="124">
      <c r="A124" s="9" t="str">
        <f t="shared" si="142"/>
        <v>CANCON</v>
      </c>
      <c r="B124" s="9" t="str">
        <f>IF(ISBLANK(A122),"",LEFT(B123,27)&amp;VALUE(RIGHT(B123,1)+1))</f>
        <v>JKS240702CANCON_20C_sample_3</v>
      </c>
      <c r="C124" s="6" t="str">
        <f t="shared" ref="C124:D124" si="143">C123</f>
        <v>Cannomois congesta</v>
      </c>
      <c r="D124" s="6" t="str">
        <f t="shared" si="143"/>
        <v>20C</v>
      </c>
      <c r="E124" s="10">
        <f>IF(ISBLANK(A122),"",E123+1)</f>
        <v>3</v>
      </c>
      <c r="F124" s="11">
        <f t="shared" si="144"/>
        <v>45477.79653</v>
      </c>
      <c r="G124" s="8">
        <v>1.221</v>
      </c>
    </row>
    <row r="125">
      <c r="A125" s="9" t="str">
        <f t="shared" si="142"/>
        <v>CANCON</v>
      </c>
      <c r="B125" s="9" t="str">
        <f>IF(ISBLANK(A122),"",LEFT(B124,27)&amp;VALUE(RIGHT(B124,1)+1))</f>
        <v>JKS240702CANCON_20C_sample_4</v>
      </c>
      <c r="C125" s="6" t="str">
        <f t="shared" ref="C125:D125" si="145">C124</f>
        <v>Cannomois congesta</v>
      </c>
      <c r="D125" s="6" t="str">
        <f t="shared" si="145"/>
        <v>20C</v>
      </c>
      <c r="E125" s="10">
        <f>IF(ISBLANK(A122),"",E124+1)</f>
        <v>4</v>
      </c>
      <c r="F125" s="11">
        <f t="shared" si="144"/>
        <v>45477.79653</v>
      </c>
      <c r="G125" s="8">
        <v>2.164</v>
      </c>
    </row>
    <row r="126">
      <c r="A126" s="9" t="str">
        <f t="shared" si="142"/>
        <v>CANCON</v>
      </c>
      <c r="B126" s="9" t="str">
        <f>IF(ISBLANK(A122),"",LEFT(B125,27)&amp;VALUE(RIGHT(B125,1)+1))</f>
        <v>JKS240702CANCON_20C_sample_5</v>
      </c>
      <c r="C126" s="6" t="str">
        <f t="shared" ref="C126:D126" si="146">C125</f>
        <v>Cannomois congesta</v>
      </c>
      <c r="D126" s="6" t="str">
        <f t="shared" si="146"/>
        <v>20C</v>
      </c>
      <c r="E126" s="10">
        <f>IF(ISBLANK(A122),"",E125+1)</f>
        <v>5</v>
      </c>
      <c r="F126" s="11">
        <f t="shared" si="144"/>
        <v>45477.79653</v>
      </c>
      <c r="G126" s="8">
        <v>2.402</v>
      </c>
    </row>
    <row r="127">
      <c r="A127" s="12" t="str">
        <f t="shared" si="142"/>
        <v>CANCON</v>
      </c>
      <c r="B127" s="12" t="str">
        <f>IF(ISBLANK(A122),"",LEFT(B126,27)&amp;VALUE(RIGHT(B126,1)+1))</f>
        <v>JKS240702CANCON_20C_sample_6</v>
      </c>
      <c r="C127" s="13" t="str">
        <f t="shared" ref="C127:D127" si="147">C126</f>
        <v>Cannomois congesta</v>
      </c>
      <c r="D127" s="13" t="str">
        <f t="shared" si="147"/>
        <v>20C</v>
      </c>
      <c r="E127" s="14">
        <f>IF(ISBLANK(A122),"",E126+1)</f>
        <v>6</v>
      </c>
      <c r="F127" s="15">
        <f t="shared" si="144"/>
        <v>45477.79653</v>
      </c>
      <c r="G127" s="16">
        <v>1.817</v>
      </c>
    </row>
    <row r="128">
      <c r="A128" s="5" t="s">
        <v>7</v>
      </c>
      <c r="B128" s="6" t="str">
        <f t="array" ref="B128">IF(ISBLANK(A128),"",IF(A128="PROREP (L)",VLOOKUP(LEFT($A128,6),'Data Feed (20C)'!$A$1:$G$10,2,FALSE),IF(A128="PROREP (S)", INDEX('Data Feed (20C)'!B:B, MATCH(LEFT($A128,6), 'Data Feed (20C)'!$A$1:$A$10, 0) + 1), VLOOKUP($A128,'Data Feed (20C)'!$A$1:$G$10,2,FALSE))))</f>
        <v>JKS240702ERIMON_20C_sample_1</v>
      </c>
      <c r="C128" s="6" t="str">
        <f t="array" ref="C128">IF(ISBLANK(A128),"",IF(A128="PROREP (L)",VLOOKUP(LEFT($A128,6),'Data Feed (20C)'!$A$1:$G$10,3,FALSE),IF(A128="PROREP (S)", INDEX('Data Feed (20C)'!C:C, MATCH(LEFT($A128,6), 'Data Feed (20C)'!$A$1:$A$10, 0) + 1, +1), VLOOKUP($A128,'Data Feed (20C)'!$A$1:$G$10,3,FALSE))))</f>
        <v>Erica monsoniana</v>
      </c>
      <c r="D128" s="6" t="str">
        <f t="array" ref="D128">IF(ISBLANK(A128),"",IF(A128="PROREP (L)",VLOOKUP(LEFT($A128,6),'Data Feed (20C)'!$A$1:$G$10,4,FALSE),IF(A128="PROREP (S)", INDEX('Data Feed (20C)'!D:D, MATCH(LEFT($A128,6), 'Data Feed (20C)'!$A$1:$A$10, 0) + 1, +1), VLOOKUP($A128,'Data Feed (20C)'!$A$1:$G$10,4,FALSE))))</f>
        <v>20C</v>
      </c>
      <c r="E128" s="6">
        <f t="array" ref="E128">IF(ISBLANK(A128),"",IF(A128="PROREP (L)",VLOOKUP(LEFT($A128,6),'Data Feed (20C)'!$A$1:$G$10,7,FALSE),IF(A128="PROREP (S)", INDEX('Data Feed (20C)'!G:G, MATCH(LEFT($A128,6), 'Data Feed (20C)'!$A$1:$A$10, 0) + 1, +1), VLOOKUP($A128,'Data Feed (20C)'!$A$1:$G$10,7,FALSE))))</f>
        <v>1</v>
      </c>
      <c r="F128" s="7">
        <v>45477.830555555556</v>
      </c>
      <c r="G128" s="8">
        <v>2.937</v>
      </c>
    </row>
    <row r="129">
      <c r="A129" s="9" t="str">
        <f t="shared" ref="A129:A133" si="149">A128</f>
        <v>ERIMON</v>
      </c>
      <c r="B129" s="9" t="str">
        <f>IF(ISBLANK(A128),"",LEFT(B128,27)&amp;VALUE(RIGHT(B128,1)+1))</f>
        <v>JKS240702ERIMON_20C_sample_2</v>
      </c>
      <c r="C129" s="6" t="str">
        <f t="shared" ref="C129:D129" si="148">C128</f>
        <v>Erica monsoniana</v>
      </c>
      <c r="D129" s="6" t="str">
        <f t="shared" si="148"/>
        <v>20C</v>
      </c>
      <c r="E129" s="10">
        <f>IF(ISBLANK(A128),"",E128+1)</f>
        <v>2</v>
      </c>
      <c r="F129" s="11">
        <f t="shared" ref="F129:F133" si="151">F128</f>
        <v>45477.83056</v>
      </c>
      <c r="G129" s="8">
        <v>2.425</v>
      </c>
    </row>
    <row r="130">
      <c r="A130" s="9" t="str">
        <f t="shared" si="149"/>
        <v>ERIMON</v>
      </c>
      <c r="B130" s="9" t="str">
        <f>IF(ISBLANK(A128),"",LEFT(B129,27)&amp;VALUE(RIGHT(B129,1)+1))</f>
        <v>JKS240702ERIMON_20C_sample_3</v>
      </c>
      <c r="C130" s="6" t="str">
        <f t="shared" ref="C130:D130" si="150">C129</f>
        <v>Erica monsoniana</v>
      </c>
      <c r="D130" s="6" t="str">
        <f t="shared" si="150"/>
        <v>20C</v>
      </c>
      <c r="E130" s="10">
        <f>IF(ISBLANK(A128),"",E129+1)</f>
        <v>3</v>
      </c>
      <c r="F130" s="11">
        <f t="shared" si="151"/>
        <v>45477.83056</v>
      </c>
      <c r="G130" s="8">
        <v>2.345</v>
      </c>
    </row>
    <row r="131">
      <c r="A131" s="9" t="str">
        <f t="shared" si="149"/>
        <v>ERIMON</v>
      </c>
      <c r="B131" s="9" t="str">
        <f>IF(ISBLANK(A128),"",LEFT(B130,27)&amp;VALUE(RIGHT(B130,1)+1))</f>
        <v>JKS240702ERIMON_20C_sample_4</v>
      </c>
      <c r="C131" s="6" t="str">
        <f t="shared" ref="C131:D131" si="152">C130</f>
        <v>Erica monsoniana</v>
      </c>
      <c r="D131" s="6" t="str">
        <f t="shared" si="152"/>
        <v>20C</v>
      </c>
      <c r="E131" s="10">
        <f>IF(ISBLANK(A128),"",E130+1)</f>
        <v>4</v>
      </c>
      <c r="F131" s="11">
        <f t="shared" si="151"/>
        <v>45477.83056</v>
      </c>
      <c r="G131" s="8">
        <v>1.52</v>
      </c>
    </row>
    <row r="132">
      <c r="A132" s="9" t="str">
        <f t="shared" si="149"/>
        <v>ERIMON</v>
      </c>
      <c r="B132" s="9" t="str">
        <f>IF(ISBLANK(A128),"",LEFT(B131,27)&amp;VALUE(RIGHT(B131,1)+1))</f>
        <v>JKS240702ERIMON_20C_sample_5</v>
      </c>
      <c r="C132" s="6" t="str">
        <f t="shared" ref="C132:D132" si="153">C131</f>
        <v>Erica monsoniana</v>
      </c>
      <c r="D132" s="6" t="str">
        <f t="shared" si="153"/>
        <v>20C</v>
      </c>
      <c r="E132" s="10">
        <f>IF(ISBLANK(A128),"",E131+1)</f>
        <v>5</v>
      </c>
      <c r="F132" s="11">
        <f t="shared" si="151"/>
        <v>45477.83056</v>
      </c>
      <c r="G132" s="8">
        <v>2.039</v>
      </c>
    </row>
    <row r="133">
      <c r="A133" s="12" t="str">
        <f t="shared" si="149"/>
        <v>ERIMON</v>
      </c>
      <c r="B133" s="12" t="str">
        <f>IF(ISBLANK(A128),"",LEFT(B132,27)&amp;VALUE(RIGHT(B132,1)+1))</f>
        <v>JKS240702ERIMON_20C_sample_6</v>
      </c>
      <c r="C133" s="13" t="str">
        <f t="shared" ref="C133:D133" si="154">C132</f>
        <v>Erica monsoniana</v>
      </c>
      <c r="D133" s="13" t="str">
        <f t="shared" si="154"/>
        <v>20C</v>
      </c>
      <c r="E133" s="14">
        <f>IF(ISBLANK(A128),"",E132+1)</f>
        <v>6</v>
      </c>
      <c r="F133" s="15">
        <f t="shared" si="151"/>
        <v>45477.83056</v>
      </c>
      <c r="G133" s="16">
        <v>0.976</v>
      </c>
    </row>
    <row r="134">
      <c r="A134" s="5" t="s">
        <v>8</v>
      </c>
      <c r="B134" s="6" t="str">
        <f t="array" ref="B134">IF(ISBLANK(A134),"",IF(A134="PROREP (L)",VLOOKUP(LEFT($A134,6),'Data Feed (20C)'!$A$1:$G$10,2,FALSE),IF(A134="PROREP (S)", INDEX('Data Feed (20C)'!B:B, MATCH(LEFT($A134,6), 'Data Feed (20C)'!$A$1:$A$10, 0) + 1), VLOOKUP($A134,'Data Feed (20C)'!$A$1:$G$10,2,FALSE))))</f>
        <v>JKL240702PROREP_20C_sample_1</v>
      </c>
      <c r="C134" s="6" t="str">
        <f t="array" ref="C134">IF(ISBLANK(A134),"",IF(A134="PROREP (L)",VLOOKUP(LEFT($A134,6),'Data Feed (20C)'!$A$1:$G$10,3,FALSE),IF(A134="PROREP (S)", INDEX('Data Feed (20C)'!C:C, MATCH(LEFT($A134,6), 'Data Feed (20C)'!$A$1:$A$10, 0) + 1, +1), VLOOKUP($A134,'Data Feed (20C)'!$A$1:$G$10,3,FALSE))))</f>
        <v>Protea repens</v>
      </c>
      <c r="D134" s="6" t="str">
        <f t="array" ref="D134">IF(ISBLANK(A134),"",IF(A134="PROREP (L)",VLOOKUP(LEFT($A134,6),'Data Feed (20C)'!$A$1:$G$10,4,FALSE),IF(A134="PROREP (S)", INDEX('Data Feed (20C)'!D:D, MATCH(LEFT($A134,6), 'Data Feed (20C)'!$A$1:$A$10, 0) + 1, +1), VLOOKUP($A134,'Data Feed (20C)'!$A$1:$G$10,4,FALSE))))</f>
        <v>20C</v>
      </c>
      <c r="E134" s="6">
        <f t="array" ref="E134">IF(ISBLANK(A134),"",IF(A134="PROREP (L)",VLOOKUP(LEFT($A134,6),'Data Feed (20C)'!$A$1:$G$10,7,FALSE),IF(A134="PROREP (S)", INDEX('Data Feed (20C)'!G:G, MATCH(LEFT($A134,6), 'Data Feed (20C)'!$A$1:$A$10, 0) + 1, +1), VLOOKUP($A134,'Data Feed (20C)'!$A$1:$G$10,7,FALSE))))</f>
        <v>1</v>
      </c>
      <c r="F134" s="7">
        <v>45477.83194444444</v>
      </c>
      <c r="G134" s="8">
        <v>0.59</v>
      </c>
    </row>
    <row r="135">
      <c r="A135" s="9" t="str">
        <f t="shared" ref="A135:A139" si="156">A134</f>
        <v>PROREP (L)</v>
      </c>
      <c r="B135" s="9" t="str">
        <f>IF(ISBLANK(A134),"",LEFT(B134,27)&amp;VALUE(RIGHT(B134,1)+1))</f>
        <v>JKL240702PROREP_20C_sample_2</v>
      </c>
      <c r="C135" s="6" t="str">
        <f t="shared" ref="C135:D135" si="155">C134</f>
        <v>Protea repens</v>
      </c>
      <c r="D135" s="6" t="str">
        <f t="shared" si="155"/>
        <v>20C</v>
      </c>
      <c r="E135" s="10">
        <f>IF(ISBLANK(A134),"",E134+1)</f>
        <v>2</v>
      </c>
      <c r="F135" s="11">
        <f t="shared" ref="F135:F139" si="158">F134</f>
        <v>45477.83194</v>
      </c>
      <c r="G135" s="8">
        <v>0.449</v>
      </c>
    </row>
    <row r="136">
      <c r="A136" s="9" t="str">
        <f t="shared" si="156"/>
        <v>PROREP (L)</v>
      </c>
      <c r="B136" s="9" t="str">
        <f>IF(ISBLANK(A134),"",LEFT(B135,27)&amp;VALUE(RIGHT(B135,1)+1))</f>
        <v>JKL240702PROREP_20C_sample_3</v>
      </c>
      <c r="C136" s="6" t="str">
        <f t="shared" ref="C136:D136" si="157">C135</f>
        <v>Protea repens</v>
      </c>
      <c r="D136" s="6" t="str">
        <f t="shared" si="157"/>
        <v>20C</v>
      </c>
      <c r="E136" s="10">
        <f>IF(ISBLANK(A134),"",E135+1)</f>
        <v>3</v>
      </c>
      <c r="F136" s="11">
        <f t="shared" si="158"/>
        <v>45477.83194</v>
      </c>
      <c r="G136" s="8">
        <v>0.674</v>
      </c>
    </row>
    <row r="137">
      <c r="A137" s="9" t="str">
        <f t="shared" si="156"/>
        <v>PROREP (L)</v>
      </c>
      <c r="B137" s="9" t="str">
        <f>IF(ISBLANK(A134),"",LEFT(B136,27)&amp;VALUE(RIGHT(B136,1)+1))</f>
        <v>JKL240702PROREP_20C_sample_4</v>
      </c>
      <c r="C137" s="6" t="str">
        <f t="shared" ref="C137:D137" si="159">C136</f>
        <v>Protea repens</v>
      </c>
      <c r="D137" s="6" t="str">
        <f t="shared" si="159"/>
        <v>20C</v>
      </c>
      <c r="E137" s="10">
        <f>IF(ISBLANK(A134),"",E136+1)</f>
        <v>4</v>
      </c>
      <c r="F137" s="11">
        <f t="shared" si="158"/>
        <v>45477.83194</v>
      </c>
      <c r="G137" s="8">
        <v>0.36</v>
      </c>
    </row>
    <row r="138">
      <c r="A138" s="9" t="str">
        <f t="shared" si="156"/>
        <v>PROREP (L)</v>
      </c>
      <c r="B138" s="9" t="str">
        <f>IF(ISBLANK(A134),"",LEFT(B137,27)&amp;VALUE(RIGHT(B137,1)+1))</f>
        <v>JKL240702PROREP_20C_sample_5</v>
      </c>
      <c r="C138" s="6" t="str">
        <f t="shared" ref="C138:D138" si="160">C137</f>
        <v>Protea repens</v>
      </c>
      <c r="D138" s="6" t="str">
        <f t="shared" si="160"/>
        <v>20C</v>
      </c>
      <c r="E138" s="10">
        <f>IF(ISBLANK(A134),"",E137+1)</f>
        <v>5</v>
      </c>
      <c r="F138" s="11">
        <f t="shared" si="158"/>
        <v>45477.83194</v>
      </c>
      <c r="G138" s="8">
        <v>0.511</v>
      </c>
    </row>
    <row r="139">
      <c r="A139" s="12" t="str">
        <f t="shared" si="156"/>
        <v>PROREP (L)</v>
      </c>
      <c r="B139" s="12" t="str">
        <f>IF(ISBLANK(A134),"",LEFT(B138,27)&amp;VALUE(RIGHT(B138,1)+1))</f>
        <v>JKL240702PROREP_20C_sample_6</v>
      </c>
      <c r="C139" s="13" t="str">
        <f t="shared" ref="C139:D139" si="161">C138</f>
        <v>Protea repens</v>
      </c>
      <c r="D139" s="13" t="str">
        <f t="shared" si="161"/>
        <v>20C</v>
      </c>
      <c r="E139" s="14">
        <f>IF(ISBLANK(A134),"",E138+1)</f>
        <v>6</v>
      </c>
      <c r="F139" s="15">
        <f t="shared" si="158"/>
        <v>45477.83194</v>
      </c>
      <c r="G139" s="16">
        <v>0.427</v>
      </c>
    </row>
    <row r="140">
      <c r="A140" s="5" t="s">
        <v>9</v>
      </c>
      <c r="B140" s="6" t="str">
        <f t="array" ref="B140">IF(ISBLANK(A140),"",IF(A140="PROREP (L)",VLOOKUP(LEFT($A140,6),'Data Feed (20C)'!$A$1:$G$10,2,FALSE),IF(A140="PROREP (S)", INDEX('Data Feed (20C)'!B:B, MATCH(LEFT($A140,6), 'Data Feed (20C)'!$A$1:$A$10, 0) + 1), VLOOKUP($A140,'Data Feed (20C)'!$A$1:$G$10,2,FALSE))))</f>
        <v>JKS240702PROREP_20C_sample_1</v>
      </c>
      <c r="C140" s="6" t="str">
        <f t="array" ref="C140">IF(ISBLANK(A140),"",IF(A140="PROREP (L)",VLOOKUP(LEFT($A140,6),'Data Feed (20C)'!$A$1:$G$10,3,FALSE),IF(A140="PROREP (S)", INDEX('Data Feed (20C)'!C:C, MATCH(LEFT($A140,6), 'Data Feed (20C)'!$A$1:$A$10, 0) + 1, +1), VLOOKUP($A140,'Data Feed (20C)'!$A$1:$G$10,3,FALSE))))</f>
        <v>Protea repens</v>
      </c>
      <c r="D140" s="6" t="str">
        <f t="array" ref="D140">IF(ISBLANK(A140),"",IF(A140="PROREP (L)",VLOOKUP(LEFT($A140,6),'Data Feed (20C)'!$A$1:$G$10,4,FALSE),IF(A140="PROREP (S)", INDEX('Data Feed (20C)'!D:D, MATCH(LEFT($A140,6), 'Data Feed (20C)'!$A$1:$A$10, 0) + 1, +1), VLOOKUP($A140,'Data Feed (20C)'!$A$1:$G$10,4,FALSE))))</f>
        <v>20C</v>
      </c>
      <c r="E140" s="6">
        <f t="array" ref="E140">IF(ISBLANK(A140),"",IF(A140="PROREP (L)",VLOOKUP(LEFT($A140,6),'Data Feed (20C)'!$A$1:$G$10,7,FALSE),IF(A140="PROREP (S)", INDEX('Data Feed (20C)'!G:G, MATCH(LEFT($A140,6), 'Data Feed (20C)'!$A$1:$A$10, 0) + 1, +1), VLOOKUP($A140,'Data Feed (20C)'!$A$1:$G$10,7,FALSE))))</f>
        <v>1</v>
      </c>
      <c r="F140" s="7">
        <v>45477.83263888889</v>
      </c>
      <c r="G140" s="8">
        <v>3.455</v>
      </c>
    </row>
    <row r="141">
      <c r="A141" s="9" t="str">
        <f t="shared" ref="A141:A145" si="163">A140</f>
        <v>PROREP (S)</v>
      </c>
      <c r="B141" s="9" t="str">
        <f>IF(ISBLANK(A140),"",LEFT(B140,27)&amp;VALUE(RIGHT(B140,1)+1))</f>
        <v>JKS240702PROREP_20C_sample_2</v>
      </c>
      <c r="C141" s="6" t="str">
        <f t="shared" ref="C141:D141" si="162">C140</f>
        <v>Protea repens</v>
      </c>
      <c r="D141" s="6" t="str">
        <f t="shared" si="162"/>
        <v>20C</v>
      </c>
      <c r="E141" s="10">
        <f>IF(ISBLANK(A140),"",E140+1)</f>
        <v>2</v>
      </c>
      <c r="F141" s="11">
        <f t="shared" ref="F141:F145" si="165">F140</f>
        <v>45477.83264</v>
      </c>
      <c r="G141" s="8">
        <v>12.82</v>
      </c>
    </row>
    <row r="142">
      <c r="A142" s="9" t="str">
        <f t="shared" si="163"/>
        <v>PROREP (S)</v>
      </c>
      <c r="B142" s="9" t="str">
        <f>IF(ISBLANK(A140),"",LEFT(B141,27)&amp;VALUE(RIGHT(B141,1)+1))</f>
        <v>JKS240702PROREP_20C_sample_3</v>
      </c>
      <c r="C142" s="6" t="str">
        <f t="shared" ref="C142:D142" si="164">C141</f>
        <v>Protea repens</v>
      </c>
      <c r="D142" s="6" t="str">
        <f t="shared" si="164"/>
        <v>20C</v>
      </c>
      <c r="E142" s="10">
        <f>IF(ISBLANK(A140),"",E141+1)</f>
        <v>3</v>
      </c>
      <c r="F142" s="11">
        <f t="shared" si="165"/>
        <v>45477.83264</v>
      </c>
      <c r="G142" s="8">
        <v>16.173</v>
      </c>
    </row>
    <row r="143">
      <c r="A143" s="9" t="str">
        <f t="shared" si="163"/>
        <v>PROREP (S)</v>
      </c>
      <c r="B143" s="9" t="str">
        <f>IF(ISBLANK(A140),"",LEFT(B142,27)&amp;VALUE(RIGHT(B142,1)+1))</f>
        <v>JKS240702PROREP_20C_sample_4</v>
      </c>
      <c r="C143" s="6" t="str">
        <f t="shared" ref="C143:D143" si="166">C142</f>
        <v>Protea repens</v>
      </c>
      <c r="D143" s="6" t="str">
        <f t="shared" si="166"/>
        <v>20C</v>
      </c>
      <c r="E143" s="10">
        <f>IF(ISBLANK(A140),"",E142+1)</f>
        <v>4</v>
      </c>
      <c r="F143" s="11">
        <f t="shared" si="165"/>
        <v>45477.83264</v>
      </c>
      <c r="G143" s="8">
        <v>7.464</v>
      </c>
    </row>
    <row r="144">
      <c r="A144" s="9" t="str">
        <f t="shared" si="163"/>
        <v>PROREP (S)</v>
      </c>
      <c r="B144" s="9" t="str">
        <f>IF(ISBLANK(A140),"",LEFT(B143,27)&amp;VALUE(RIGHT(B143,1)+1))</f>
        <v>JKS240702PROREP_20C_sample_5</v>
      </c>
      <c r="C144" s="6" t="str">
        <f t="shared" ref="C144:D144" si="167">C143</f>
        <v>Protea repens</v>
      </c>
      <c r="D144" s="6" t="str">
        <f t="shared" si="167"/>
        <v>20C</v>
      </c>
      <c r="E144" s="10">
        <f>IF(ISBLANK(A140),"",E143+1)</f>
        <v>5</v>
      </c>
      <c r="F144" s="11">
        <f t="shared" si="165"/>
        <v>45477.83264</v>
      </c>
      <c r="G144" s="8">
        <v>7.126</v>
      </c>
    </row>
    <row r="145">
      <c r="A145" s="12" t="str">
        <f t="shared" si="163"/>
        <v>PROREP (S)</v>
      </c>
      <c r="B145" s="12" t="str">
        <f>IF(ISBLANK(A140),"",LEFT(B144,27)&amp;VALUE(RIGHT(B144,1)+1))</f>
        <v>JKS240702PROREP_20C_sample_6</v>
      </c>
      <c r="C145" s="13" t="str">
        <f t="shared" ref="C145:D145" si="168">C144</f>
        <v>Protea repens</v>
      </c>
      <c r="D145" s="13" t="str">
        <f t="shared" si="168"/>
        <v>20C</v>
      </c>
      <c r="E145" s="14">
        <f>IF(ISBLANK(A140),"",E144+1)</f>
        <v>6</v>
      </c>
      <c r="F145" s="15">
        <f t="shared" si="165"/>
        <v>45477.83264</v>
      </c>
      <c r="G145" s="16">
        <v>26.4</v>
      </c>
    </row>
    <row r="146">
      <c r="A146" s="5" t="s">
        <v>10</v>
      </c>
      <c r="B146" s="6" t="str">
        <f t="array" ref="B146">IF(ISBLANK(A146),"",IF(A146="PROREP (L)",VLOOKUP(LEFT($A146,6),'Data Feed (20C)'!$A$1:$G$10,2,FALSE),IF(A146="PROREP (S)", INDEX('Data Feed (20C)'!B:B, MATCH(LEFT($A146,6), 'Data Feed (20C)'!$A$1:$A$10, 0) + 1), VLOOKUP($A146,'Data Feed (20C)'!$A$1:$G$10,2,FALSE))))</f>
        <v>JKS240702CANCON_20C_sample_1</v>
      </c>
      <c r="C146" s="6" t="str">
        <f t="array" ref="C146">IF(ISBLANK(A146),"",IF(A146="PROREP (L)",VLOOKUP(LEFT($A146,6),'Data Feed (20C)'!$A$1:$G$10,3,FALSE),IF(A146="PROREP (S)", INDEX('Data Feed (20C)'!C:C, MATCH(LEFT($A146,6), 'Data Feed (20C)'!$A$1:$A$10, 0) + 1, +1), VLOOKUP($A146,'Data Feed (20C)'!$A$1:$G$10,3,FALSE))))</f>
        <v>Cannomois congesta</v>
      </c>
      <c r="D146" s="6" t="str">
        <f t="array" ref="D146">IF(ISBLANK(A146),"",IF(A146="PROREP (L)",VLOOKUP(LEFT($A146,6),'Data Feed (20C)'!$A$1:$G$10,4,FALSE),IF(A146="PROREP (S)", INDEX('Data Feed (20C)'!D:D, MATCH(LEFT($A146,6), 'Data Feed (20C)'!$A$1:$A$10, 0) + 1, +1), VLOOKUP($A146,'Data Feed (20C)'!$A$1:$G$10,4,FALSE))))</f>
        <v>20C</v>
      </c>
      <c r="E146" s="6">
        <f t="array" ref="E146">IF(ISBLANK(A146),"",IF(A146="PROREP (L)",VLOOKUP(LEFT($A146,6),'Data Feed (20C)'!$A$1:$G$10,7,FALSE),IF(A146="PROREP (S)", INDEX('Data Feed (20C)'!G:G, MATCH(LEFT($A146,6), 'Data Feed (20C)'!$A$1:$A$10, 0) + 1, +1), VLOOKUP($A146,'Data Feed (20C)'!$A$1:$G$10,7,FALSE))))</f>
        <v>1</v>
      </c>
      <c r="F146" s="7">
        <v>45477.834027777775</v>
      </c>
      <c r="G146" s="8">
        <v>2.362</v>
      </c>
    </row>
    <row r="147">
      <c r="A147" s="9" t="str">
        <f t="shared" ref="A147:A151" si="170">A146</f>
        <v>CANCON</v>
      </c>
      <c r="B147" s="9" t="str">
        <f>IF(ISBLANK(A146),"",LEFT(B146,27)&amp;VALUE(RIGHT(B146,1)+1))</f>
        <v>JKS240702CANCON_20C_sample_2</v>
      </c>
      <c r="C147" s="6" t="str">
        <f t="shared" ref="C147:D147" si="169">C146</f>
        <v>Cannomois congesta</v>
      </c>
      <c r="D147" s="6" t="str">
        <f t="shared" si="169"/>
        <v>20C</v>
      </c>
      <c r="E147" s="10">
        <f>IF(ISBLANK(A146),"",E146+1)</f>
        <v>2</v>
      </c>
      <c r="F147" s="11">
        <f t="shared" ref="F147:F151" si="172">F146</f>
        <v>45477.83403</v>
      </c>
      <c r="G147" s="8">
        <v>2.43</v>
      </c>
    </row>
    <row r="148">
      <c r="A148" s="9" t="str">
        <f t="shared" si="170"/>
        <v>CANCON</v>
      </c>
      <c r="B148" s="9" t="str">
        <f>IF(ISBLANK(A146),"",LEFT(B147,27)&amp;VALUE(RIGHT(B147,1)+1))</f>
        <v>JKS240702CANCON_20C_sample_3</v>
      </c>
      <c r="C148" s="6" t="str">
        <f t="shared" ref="C148:D148" si="171">C147</f>
        <v>Cannomois congesta</v>
      </c>
      <c r="D148" s="6" t="str">
        <f t="shared" si="171"/>
        <v>20C</v>
      </c>
      <c r="E148" s="10">
        <f>IF(ISBLANK(A146),"",E147+1)</f>
        <v>3</v>
      </c>
      <c r="F148" s="11">
        <f t="shared" si="172"/>
        <v>45477.83403</v>
      </c>
      <c r="G148" s="8">
        <v>1.207</v>
      </c>
    </row>
    <row r="149">
      <c r="A149" s="9" t="str">
        <f t="shared" si="170"/>
        <v>CANCON</v>
      </c>
      <c r="B149" s="9" t="str">
        <f>IF(ISBLANK(A146),"",LEFT(B148,27)&amp;VALUE(RIGHT(B148,1)+1))</f>
        <v>JKS240702CANCON_20C_sample_4</v>
      </c>
      <c r="C149" s="6" t="str">
        <f t="shared" ref="C149:D149" si="173">C148</f>
        <v>Cannomois congesta</v>
      </c>
      <c r="D149" s="6" t="str">
        <f t="shared" si="173"/>
        <v>20C</v>
      </c>
      <c r="E149" s="10">
        <f>IF(ISBLANK(A146),"",E148+1)</f>
        <v>4</v>
      </c>
      <c r="F149" s="11">
        <f t="shared" si="172"/>
        <v>45477.83403</v>
      </c>
      <c r="G149" s="8">
        <v>2.15</v>
      </c>
    </row>
    <row r="150">
      <c r="A150" s="9" t="str">
        <f t="shared" si="170"/>
        <v>CANCON</v>
      </c>
      <c r="B150" s="9" t="str">
        <f>IF(ISBLANK(A146),"",LEFT(B149,27)&amp;VALUE(RIGHT(B149,1)+1))</f>
        <v>JKS240702CANCON_20C_sample_5</v>
      </c>
      <c r="C150" s="6" t="str">
        <f t="shared" ref="C150:D150" si="174">C149</f>
        <v>Cannomois congesta</v>
      </c>
      <c r="D150" s="6" t="str">
        <f t="shared" si="174"/>
        <v>20C</v>
      </c>
      <c r="E150" s="10">
        <f>IF(ISBLANK(A146),"",E149+1)</f>
        <v>5</v>
      </c>
      <c r="F150" s="11">
        <f t="shared" si="172"/>
        <v>45477.83403</v>
      </c>
      <c r="G150" s="8">
        <v>2.375</v>
      </c>
    </row>
    <row r="151">
      <c r="A151" s="12" t="str">
        <f t="shared" si="170"/>
        <v>CANCON</v>
      </c>
      <c r="B151" s="12" t="str">
        <f>IF(ISBLANK(A146),"",LEFT(B150,27)&amp;VALUE(RIGHT(B150,1)+1))</f>
        <v>JKS240702CANCON_20C_sample_6</v>
      </c>
      <c r="C151" s="13" t="str">
        <f t="shared" ref="C151:D151" si="175">C150</f>
        <v>Cannomois congesta</v>
      </c>
      <c r="D151" s="13" t="str">
        <f t="shared" si="175"/>
        <v>20C</v>
      </c>
      <c r="E151" s="14">
        <f>IF(ISBLANK(A146),"",E150+1)</f>
        <v>6</v>
      </c>
      <c r="F151" s="15">
        <f t="shared" si="172"/>
        <v>45477.83403</v>
      </c>
      <c r="G151" s="16">
        <v>1.79</v>
      </c>
    </row>
    <row r="152">
      <c r="A152" s="5" t="s">
        <v>7</v>
      </c>
      <c r="B152" s="6" t="str">
        <f t="array" ref="B152">IF(ISBLANK(A152),"",IF(A152="PROREP (L)",VLOOKUP(LEFT($A152,6),'Data Feed (20C)'!$A$1:$G$10,2,FALSE),IF(A152="PROREP (S)", INDEX('Data Feed (20C)'!B:B, MATCH(LEFT($A152,6), 'Data Feed (20C)'!$A$1:$A$10, 0) + 1), VLOOKUP($A152,'Data Feed (20C)'!$A$1:$G$10,2,FALSE))))</f>
        <v>JKS240702ERIMON_20C_sample_1</v>
      </c>
      <c r="C152" s="6" t="str">
        <f t="array" ref="C152">IF(ISBLANK(A152),"",IF(A152="PROREP (L)",VLOOKUP(LEFT($A152,6),'Data Feed (20C)'!$A$1:$G$10,3,FALSE),IF(A152="PROREP (S)", INDEX('Data Feed (20C)'!C:C, MATCH(LEFT($A152,6), 'Data Feed (20C)'!$A$1:$A$10, 0) + 1, +1), VLOOKUP($A152,'Data Feed (20C)'!$A$1:$G$10,3,FALSE))))</f>
        <v>Erica monsoniana</v>
      </c>
      <c r="D152" s="6" t="str">
        <f t="array" ref="D152">IF(ISBLANK(A152),"",IF(A152="PROREP (L)",VLOOKUP(LEFT($A152,6),'Data Feed (20C)'!$A$1:$G$10,4,FALSE),IF(A152="PROREP (S)", INDEX('Data Feed (20C)'!D:D, MATCH(LEFT($A152,6), 'Data Feed (20C)'!$A$1:$A$10, 0) + 1, +1), VLOOKUP($A152,'Data Feed (20C)'!$A$1:$G$10,4,FALSE))))</f>
        <v>20C</v>
      </c>
      <c r="E152" s="6">
        <f t="array" ref="E152">IF(ISBLANK(A152),"",IF(A152="PROREP (L)",VLOOKUP(LEFT($A152,6),'Data Feed (20C)'!$A$1:$G$10,7,FALSE),IF(A152="PROREP (S)", INDEX('Data Feed (20C)'!G:G, MATCH(LEFT($A152,6), 'Data Feed (20C)'!$A$1:$A$10, 0) + 1, +1), VLOOKUP($A152,'Data Feed (20C)'!$A$1:$G$10,7,FALSE))))</f>
        <v>1</v>
      </c>
      <c r="F152" s="7">
        <v>45477.87847222222</v>
      </c>
      <c r="G152" s="8">
        <v>2.886</v>
      </c>
    </row>
    <row r="153">
      <c r="A153" s="9" t="str">
        <f t="shared" ref="A153:A157" si="177">A152</f>
        <v>ERIMON</v>
      </c>
      <c r="B153" s="9" t="str">
        <f>IF(ISBLANK(A152),"",LEFT(B152,27)&amp;VALUE(RIGHT(B152,1)+1))</f>
        <v>JKS240702ERIMON_20C_sample_2</v>
      </c>
      <c r="C153" s="6" t="str">
        <f t="shared" ref="C153:D153" si="176">C152</f>
        <v>Erica monsoniana</v>
      </c>
      <c r="D153" s="6" t="str">
        <f t="shared" si="176"/>
        <v>20C</v>
      </c>
      <c r="E153" s="10">
        <f>IF(ISBLANK(A152),"",E152+1)</f>
        <v>2</v>
      </c>
      <c r="F153" s="11">
        <f t="shared" ref="F153:F157" si="179">F152</f>
        <v>45477.87847</v>
      </c>
      <c r="G153" s="8">
        <v>2.39</v>
      </c>
    </row>
    <row r="154">
      <c r="A154" s="9" t="str">
        <f t="shared" si="177"/>
        <v>ERIMON</v>
      </c>
      <c r="B154" s="9" t="str">
        <f>IF(ISBLANK(A152),"",LEFT(B153,27)&amp;VALUE(RIGHT(B153,1)+1))</f>
        <v>JKS240702ERIMON_20C_sample_3</v>
      </c>
      <c r="C154" s="6" t="str">
        <f t="shared" ref="C154:D154" si="178">C153</f>
        <v>Erica monsoniana</v>
      </c>
      <c r="D154" s="6" t="str">
        <f t="shared" si="178"/>
        <v>20C</v>
      </c>
      <c r="E154" s="10">
        <f>IF(ISBLANK(A152),"",E153+1)</f>
        <v>3</v>
      </c>
      <c r="F154" s="11">
        <f t="shared" si="179"/>
        <v>45477.87847</v>
      </c>
      <c r="G154" s="8">
        <v>2.301</v>
      </c>
    </row>
    <row r="155">
      <c r="A155" s="9" t="str">
        <f t="shared" si="177"/>
        <v>ERIMON</v>
      </c>
      <c r="B155" s="9" t="str">
        <f>IF(ISBLANK(A152),"",LEFT(B154,27)&amp;VALUE(RIGHT(B154,1)+1))</f>
        <v>JKS240702ERIMON_20C_sample_4</v>
      </c>
      <c r="C155" s="6" t="str">
        <f t="shared" ref="C155:D155" si="180">C154</f>
        <v>Erica monsoniana</v>
      </c>
      <c r="D155" s="6" t="str">
        <f t="shared" si="180"/>
        <v>20C</v>
      </c>
      <c r="E155" s="10">
        <f>IF(ISBLANK(A152),"",E154+1)</f>
        <v>4</v>
      </c>
      <c r="F155" s="11">
        <f t="shared" si="179"/>
        <v>45477.87847</v>
      </c>
      <c r="G155" s="8">
        <v>1.487</v>
      </c>
    </row>
    <row r="156">
      <c r="A156" s="9" t="str">
        <f t="shared" si="177"/>
        <v>ERIMON</v>
      </c>
      <c r="B156" s="9" t="str">
        <f>IF(ISBLANK(A152),"",LEFT(B155,27)&amp;VALUE(RIGHT(B155,1)+1))</f>
        <v>JKS240702ERIMON_20C_sample_5</v>
      </c>
      <c r="C156" s="6" t="str">
        <f t="shared" ref="C156:D156" si="181">C155</f>
        <v>Erica monsoniana</v>
      </c>
      <c r="D156" s="6" t="str">
        <f t="shared" si="181"/>
        <v>20C</v>
      </c>
      <c r="E156" s="10">
        <f>IF(ISBLANK(A152),"",E155+1)</f>
        <v>5</v>
      </c>
      <c r="F156" s="11">
        <f t="shared" si="179"/>
        <v>45477.87847</v>
      </c>
      <c r="G156" s="8">
        <v>2.002</v>
      </c>
    </row>
    <row r="157">
      <c r="A157" s="12" t="str">
        <f t="shared" si="177"/>
        <v>ERIMON</v>
      </c>
      <c r="B157" s="12" t="str">
        <f>IF(ISBLANK(A152),"",LEFT(B156,27)&amp;VALUE(RIGHT(B156,1)+1))</f>
        <v>JKS240702ERIMON_20C_sample_6</v>
      </c>
      <c r="C157" s="13" t="str">
        <f t="shared" ref="C157:D157" si="182">C156</f>
        <v>Erica monsoniana</v>
      </c>
      <c r="D157" s="13" t="str">
        <f t="shared" si="182"/>
        <v>20C</v>
      </c>
      <c r="E157" s="14">
        <f>IF(ISBLANK(A152),"",E156+1)</f>
        <v>6</v>
      </c>
      <c r="F157" s="15">
        <f t="shared" si="179"/>
        <v>45477.87847</v>
      </c>
      <c r="G157" s="16">
        <v>0.956</v>
      </c>
    </row>
    <row r="158">
      <c r="A158" s="5" t="s">
        <v>8</v>
      </c>
      <c r="B158" s="6" t="str">
        <f t="array" ref="B158">IF(ISBLANK(A158),"",IF(A158="PROREP (L)",VLOOKUP(LEFT($A158,6),'Data Feed (20C)'!$A$1:$G$10,2,FALSE),IF(A158="PROREP (S)", INDEX('Data Feed (20C)'!B:B, MATCH(LEFT($A158,6), 'Data Feed (20C)'!$A$1:$A$10, 0) + 1), VLOOKUP($A158,'Data Feed (20C)'!$A$1:$G$10,2,FALSE))))</f>
        <v>JKL240702PROREP_20C_sample_1</v>
      </c>
      <c r="C158" s="6" t="str">
        <f t="array" ref="C158">IF(ISBLANK(A158),"",IF(A158="PROREP (L)",VLOOKUP(LEFT($A158,6),'Data Feed (20C)'!$A$1:$G$10,3,FALSE),IF(A158="PROREP (S)", INDEX('Data Feed (20C)'!C:C, MATCH(LEFT($A158,6), 'Data Feed (20C)'!$A$1:$A$10, 0) + 1, +1), VLOOKUP($A158,'Data Feed (20C)'!$A$1:$G$10,3,FALSE))))</f>
        <v>Protea repens</v>
      </c>
      <c r="D158" s="6" t="str">
        <f t="array" ref="D158">IF(ISBLANK(A158),"",IF(A158="PROREP (L)",VLOOKUP(LEFT($A158,6),'Data Feed (20C)'!$A$1:$G$10,4,FALSE),IF(A158="PROREP (S)", INDEX('Data Feed (20C)'!D:D, MATCH(LEFT($A158,6), 'Data Feed (20C)'!$A$1:$A$10, 0) + 1, +1), VLOOKUP($A158,'Data Feed (20C)'!$A$1:$G$10,4,FALSE))))</f>
        <v>20C</v>
      </c>
      <c r="E158" s="6">
        <f t="array" ref="E158">IF(ISBLANK(A158),"",IF(A158="PROREP (L)",VLOOKUP(LEFT($A158,6),'Data Feed (20C)'!$A$1:$G$10,7,FALSE),IF(A158="PROREP (S)", INDEX('Data Feed (20C)'!G:G, MATCH(LEFT($A158,6), 'Data Feed (20C)'!$A$1:$A$10, 0) + 1, +1), VLOOKUP($A158,'Data Feed (20C)'!$A$1:$G$10,7,FALSE))))</f>
        <v>1</v>
      </c>
      <c r="F158" s="7">
        <v>45477.879166666666</v>
      </c>
      <c r="G158" s="8">
        <v>0.587</v>
      </c>
    </row>
    <row r="159">
      <c r="A159" s="9" t="str">
        <f t="shared" ref="A159:A163" si="184">A158</f>
        <v>PROREP (L)</v>
      </c>
      <c r="B159" s="9" t="str">
        <f>IF(ISBLANK(A158),"",LEFT(B158,27)&amp;VALUE(RIGHT(B158,1)+1))</f>
        <v>JKL240702PROREP_20C_sample_2</v>
      </c>
      <c r="C159" s="6" t="str">
        <f t="shared" ref="C159:D159" si="183">C158</f>
        <v>Protea repens</v>
      </c>
      <c r="D159" s="6" t="str">
        <f t="shared" si="183"/>
        <v>20C</v>
      </c>
      <c r="E159" s="10">
        <f>IF(ISBLANK(A158),"",E158+1)</f>
        <v>2</v>
      </c>
      <c r="F159" s="11">
        <f t="shared" ref="F159:F163" si="186">F158</f>
        <v>45477.87917</v>
      </c>
      <c r="G159" s="8">
        <v>0.447</v>
      </c>
    </row>
    <row r="160">
      <c r="A160" s="9" t="str">
        <f t="shared" si="184"/>
        <v>PROREP (L)</v>
      </c>
      <c r="B160" s="9" t="str">
        <f>IF(ISBLANK(A158),"",LEFT(B159,27)&amp;VALUE(RIGHT(B159,1)+1))</f>
        <v>JKL240702PROREP_20C_sample_3</v>
      </c>
      <c r="C160" s="6" t="str">
        <f t="shared" ref="C160:D160" si="185">C159</f>
        <v>Protea repens</v>
      </c>
      <c r="D160" s="6" t="str">
        <f t="shared" si="185"/>
        <v>20C</v>
      </c>
      <c r="E160" s="10">
        <f>IF(ISBLANK(A158),"",E159+1)</f>
        <v>3</v>
      </c>
      <c r="F160" s="11">
        <f t="shared" si="186"/>
        <v>45477.87917</v>
      </c>
      <c r="G160" s="8">
        <v>0.674</v>
      </c>
    </row>
    <row r="161">
      <c r="A161" s="9" t="str">
        <f t="shared" si="184"/>
        <v>PROREP (L)</v>
      </c>
      <c r="B161" s="9" t="str">
        <f>IF(ISBLANK(A158),"",LEFT(B160,27)&amp;VALUE(RIGHT(B160,1)+1))</f>
        <v>JKL240702PROREP_20C_sample_4</v>
      </c>
      <c r="C161" s="6" t="str">
        <f t="shared" ref="C161:D161" si="187">C160</f>
        <v>Protea repens</v>
      </c>
      <c r="D161" s="6" t="str">
        <f t="shared" si="187"/>
        <v>20C</v>
      </c>
      <c r="E161" s="10">
        <f>IF(ISBLANK(A158),"",E160+1)</f>
        <v>4</v>
      </c>
      <c r="F161" s="11">
        <f t="shared" si="186"/>
        <v>45477.87917</v>
      </c>
      <c r="G161" s="8">
        <v>0.356</v>
      </c>
    </row>
    <row r="162">
      <c r="A162" s="9" t="str">
        <f t="shared" si="184"/>
        <v>PROREP (L)</v>
      </c>
      <c r="B162" s="9" t="str">
        <f>IF(ISBLANK(A158),"",LEFT(B161,27)&amp;VALUE(RIGHT(B161,1)+1))</f>
        <v>JKL240702PROREP_20C_sample_5</v>
      </c>
      <c r="C162" s="6" t="str">
        <f t="shared" ref="C162:D162" si="188">C161</f>
        <v>Protea repens</v>
      </c>
      <c r="D162" s="6" t="str">
        <f t="shared" si="188"/>
        <v>20C</v>
      </c>
      <c r="E162" s="10">
        <f>IF(ISBLANK(A158),"",E161+1)</f>
        <v>5</v>
      </c>
      <c r="F162" s="11">
        <f t="shared" si="186"/>
        <v>45477.87917</v>
      </c>
      <c r="G162" s="8">
        <v>0.507</v>
      </c>
    </row>
    <row r="163">
      <c r="A163" s="12" t="str">
        <f t="shared" si="184"/>
        <v>PROREP (L)</v>
      </c>
      <c r="B163" s="12" t="str">
        <f>IF(ISBLANK(A158),"",LEFT(B162,27)&amp;VALUE(RIGHT(B162,1)+1))</f>
        <v>JKL240702PROREP_20C_sample_6</v>
      </c>
      <c r="C163" s="13" t="str">
        <f t="shared" ref="C163:D163" si="189">C162</f>
        <v>Protea repens</v>
      </c>
      <c r="D163" s="13" t="str">
        <f t="shared" si="189"/>
        <v>20C</v>
      </c>
      <c r="E163" s="14">
        <f>IF(ISBLANK(A158),"",E162+1)</f>
        <v>6</v>
      </c>
      <c r="F163" s="15">
        <f t="shared" si="186"/>
        <v>45477.87917</v>
      </c>
      <c r="G163" s="16">
        <v>0.425</v>
      </c>
    </row>
    <row r="164">
      <c r="A164" s="5" t="s">
        <v>9</v>
      </c>
      <c r="B164" s="6" t="str">
        <f t="array" ref="B164">IF(ISBLANK(A164),"",IF(A164="PROREP (L)",VLOOKUP(LEFT($A164,6),'Data Feed (20C)'!$A$1:$G$10,2,FALSE),IF(A164="PROREP (S)", INDEX('Data Feed (20C)'!B:B, MATCH(LEFT($A164,6), 'Data Feed (20C)'!$A$1:$A$10, 0) + 1), VLOOKUP($A164,'Data Feed (20C)'!$A$1:$G$10,2,FALSE))))</f>
        <v>JKS240702PROREP_20C_sample_1</v>
      </c>
      <c r="C164" s="6" t="str">
        <f t="array" ref="C164">IF(ISBLANK(A164),"",IF(A164="PROREP (L)",VLOOKUP(LEFT($A164,6),'Data Feed (20C)'!$A$1:$G$10,3,FALSE),IF(A164="PROREP (S)", INDEX('Data Feed (20C)'!C:C, MATCH(LEFT($A164,6), 'Data Feed (20C)'!$A$1:$A$10, 0) + 1, +1), VLOOKUP($A164,'Data Feed (20C)'!$A$1:$G$10,3,FALSE))))</f>
        <v>Protea repens</v>
      </c>
      <c r="D164" s="6" t="str">
        <f t="array" ref="D164">IF(ISBLANK(A164),"",IF(A164="PROREP (L)",VLOOKUP(LEFT($A164,6),'Data Feed (20C)'!$A$1:$G$10,4,FALSE),IF(A164="PROREP (S)", INDEX('Data Feed (20C)'!D:D, MATCH(LEFT($A164,6), 'Data Feed (20C)'!$A$1:$A$10, 0) + 1, +1), VLOOKUP($A164,'Data Feed (20C)'!$A$1:$G$10,4,FALSE))))</f>
        <v>20C</v>
      </c>
      <c r="E164" s="6">
        <f t="array" ref="E164">IF(ISBLANK(A164),"",IF(A164="PROREP (L)",VLOOKUP(LEFT($A164,6),'Data Feed (20C)'!$A$1:$G$10,7,FALSE),IF(A164="PROREP (S)", INDEX('Data Feed (20C)'!G:G, MATCH(LEFT($A164,6), 'Data Feed (20C)'!$A$1:$A$10, 0) + 1, +1), VLOOKUP($A164,'Data Feed (20C)'!$A$1:$G$10,7,FALSE))))</f>
        <v>1</v>
      </c>
      <c r="F164" s="7">
        <v>45477.88055555556</v>
      </c>
      <c r="G164" s="8">
        <v>3.446</v>
      </c>
    </row>
    <row r="165">
      <c r="A165" s="9" t="str">
        <f t="shared" ref="A165:A169" si="191">A164</f>
        <v>PROREP (S)</v>
      </c>
      <c r="B165" s="9" t="str">
        <f>IF(ISBLANK(A164),"",LEFT(B164,27)&amp;VALUE(RIGHT(B164,1)+1))</f>
        <v>JKS240702PROREP_20C_sample_2</v>
      </c>
      <c r="C165" s="6" t="str">
        <f t="shared" ref="C165:D165" si="190">C164</f>
        <v>Protea repens</v>
      </c>
      <c r="D165" s="6" t="str">
        <f t="shared" si="190"/>
        <v>20C</v>
      </c>
      <c r="E165" s="10">
        <f>IF(ISBLANK(A164),"",E164+1)</f>
        <v>2</v>
      </c>
      <c r="F165" s="11">
        <f t="shared" ref="F165:F169" si="193">F164</f>
        <v>45477.88056</v>
      </c>
      <c r="G165" s="8">
        <v>12.785</v>
      </c>
    </row>
    <row r="166">
      <c r="A166" s="9" t="str">
        <f t="shared" si="191"/>
        <v>PROREP (S)</v>
      </c>
      <c r="B166" s="9" t="str">
        <f>IF(ISBLANK(A164),"",LEFT(B165,27)&amp;VALUE(RIGHT(B165,1)+1))</f>
        <v>JKS240702PROREP_20C_sample_3</v>
      </c>
      <c r="C166" s="6" t="str">
        <f t="shared" ref="C166:D166" si="192">C165</f>
        <v>Protea repens</v>
      </c>
      <c r="D166" s="6" t="str">
        <f t="shared" si="192"/>
        <v>20C</v>
      </c>
      <c r="E166" s="10">
        <f>IF(ISBLANK(A164),"",E165+1)</f>
        <v>3</v>
      </c>
      <c r="F166" s="11">
        <f t="shared" si="193"/>
        <v>45477.88056</v>
      </c>
      <c r="G166" s="8">
        <v>16.077</v>
      </c>
    </row>
    <row r="167">
      <c r="A167" s="9" t="str">
        <f t="shared" si="191"/>
        <v>PROREP (S)</v>
      </c>
      <c r="B167" s="9" t="str">
        <f>IF(ISBLANK(A164),"",LEFT(B166,27)&amp;VALUE(RIGHT(B166,1)+1))</f>
        <v>JKS240702PROREP_20C_sample_4</v>
      </c>
      <c r="C167" s="6" t="str">
        <f t="shared" ref="C167:D167" si="194">C166</f>
        <v>Protea repens</v>
      </c>
      <c r="D167" s="6" t="str">
        <f t="shared" si="194"/>
        <v>20C</v>
      </c>
      <c r="E167" s="10">
        <f>IF(ISBLANK(A164),"",E166+1)</f>
        <v>4</v>
      </c>
      <c r="F167" s="11">
        <f t="shared" si="193"/>
        <v>45477.88056</v>
      </c>
      <c r="G167" s="8">
        <v>7.436</v>
      </c>
    </row>
    <row r="168">
      <c r="A168" s="9" t="str">
        <f t="shared" si="191"/>
        <v>PROREP (S)</v>
      </c>
      <c r="B168" s="9" t="str">
        <f>IF(ISBLANK(A164),"",LEFT(B167,27)&amp;VALUE(RIGHT(B167,1)+1))</f>
        <v>JKS240702PROREP_20C_sample_5</v>
      </c>
      <c r="C168" s="6" t="str">
        <f t="shared" ref="C168:D168" si="195">C167</f>
        <v>Protea repens</v>
      </c>
      <c r="D168" s="6" t="str">
        <f t="shared" si="195"/>
        <v>20C</v>
      </c>
      <c r="E168" s="10">
        <f>IF(ISBLANK(A164),"",E167+1)</f>
        <v>5</v>
      </c>
      <c r="F168" s="11">
        <f t="shared" si="193"/>
        <v>45477.88056</v>
      </c>
      <c r="G168" s="8">
        <v>7.1</v>
      </c>
    </row>
    <row r="169">
      <c r="A169" s="12" t="str">
        <f t="shared" si="191"/>
        <v>PROREP (S)</v>
      </c>
      <c r="B169" s="12" t="str">
        <f>IF(ISBLANK(A164),"",LEFT(B168,27)&amp;VALUE(RIGHT(B168,1)+1))</f>
        <v>JKS240702PROREP_20C_sample_6</v>
      </c>
      <c r="C169" s="13" t="str">
        <f t="shared" ref="C169:D169" si="196">C168</f>
        <v>Protea repens</v>
      </c>
      <c r="D169" s="13" t="str">
        <f t="shared" si="196"/>
        <v>20C</v>
      </c>
      <c r="E169" s="14">
        <f>IF(ISBLANK(A164),"",E168+1)</f>
        <v>6</v>
      </c>
      <c r="F169" s="15">
        <f t="shared" si="193"/>
        <v>45477.88056</v>
      </c>
      <c r="G169" s="16">
        <v>26.295</v>
      </c>
    </row>
    <row r="170">
      <c r="A170" s="5" t="s">
        <v>10</v>
      </c>
      <c r="B170" s="6" t="str">
        <f t="array" ref="B170">IF(ISBLANK(A170),"",IF(A170="PROREP (L)",VLOOKUP(LEFT($A170,6),'Data Feed (20C)'!$A$1:$G$10,2,FALSE),IF(A170="PROREP (S)", INDEX('Data Feed (20C)'!B:B, MATCH(LEFT($A170,6), 'Data Feed (20C)'!$A$1:$A$10, 0) + 1), VLOOKUP($A170,'Data Feed (20C)'!$A$1:$G$10,2,FALSE))))</f>
        <v>JKS240702CANCON_20C_sample_1</v>
      </c>
      <c r="C170" s="6" t="str">
        <f t="array" ref="C170">IF(ISBLANK(A170),"",IF(A170="PROREP (L)",VLOOKUP(LEFT($A170,6),'Data Feed (20C)'!$A$1:$G$10,3,FALSE),IF(A170="PROREP (S)", INDEX('Data Feed (20C)'!C:C, MATCH(LEFT($A170,6), 'Data Feed (20C)'!$A$1:$A$10, 0) + 1, +1), VLOOKUP($A170,'Data Feed (20C)'!$A$1:$G$10,3,FALSE))))</f>
        <v>Cannomois congesta</v>
      </c>
      <c r="D170" s="6" t="str">
        <f t="array" ref="D170">IF(ISBLANK(A170),"",IF(A170="PROREP (L)",VLOOKUP(LEFT($A170,6),'Data Feed (20C)'!$A$1:$G$10,4,FALSE),IF(A170="PROREP (S)", INDEX('Data Feed (20C)'!D:D, MATCH(LEFT($A170,6), 'Data Feed (20C)'!$A$1:$A$10, 0) + 1, +1), VLOOKUP($A170,'Data Feed (20C)'!$A$1:$G$10,4,FALSE))))</f>
        <v>20C</v>
      </c>
      <c r="E170" s="6">
        <f t="array" ref="E170">IF(ISBLANK(A170),"",IF(A170="PROREP (L)",VLOOKUP(LEFT($A170,6),'Data Feed (20C)'!$A$1:$G$10,7,FALSE),IF(A170="PROREP (S)", INDEX('Data Feed (20C)'!G:G, MATCH(LEFT($A170,6), 'Data Feed (20C)'!$A$1:$A$10, 0) + 1, +1), VLOOKUP($A170,'Data Feed (20C)'!$A$1:$G$10,7,FALSE))))</f>
        <v>1</v>
      </c>
      <c r="F170" s="7">
        <v>45477.881944444445</v>
      </c>
      <c r="G170" s="8">
        <v>2.333</v>
      </c>
    </row>
    <row r="171">
      <c r="A171" s="9" t="str">
        <f t="shared" ref="A171:A175" si="198">A170</f>
        <v>CANCON</v>
      </c>
      <c r="B171" s="9" t="str">
        <f>IF(ISBLANK(A170),"",LEFT(B170,27)&amp;VALUE(RIGHT(B170,1)+1))</f>
        <v>JKS240702CANCON_20C_sample_2</v>
      </c>
      <c r="C171" s="6" t="str">
        <f t="shared" ref="C171:D171" si="197">C170</f>
        <v>Cannomois congesta</v>
      </c>
      <c r="D171" s="6" t="str">
        <f t="shared" si="197"/>
        <v>20C</v>
      </c>
      <c r="E171" s="10">
        <f>IF(ISBLANK(A170),"",E170+1)</f>
        <v>2</v>
      </c>
      <c r="F171" s="11">
        <f t="shared" ref="F171:F175" si="200">F170</f>
        <v>45477.88194</v>
      </c>
      <c r="G171" s="8">
        <v>2.414</v>
      </c>
    </row>
    <row r="172">
      <c r="A172" s="9" t="str">
        <f t="shared" si="198"/>
        <v>CANCON</v>
      </c>
      <c r="B172" s="9" t="str">
        <f>IF(ISBLANK(A170),"",LEFT(B171,27)&amp;VALUE(RIGHT(B171,1)+1))</f>
        <v>JKS240702CANCON_20C_sample_3</v>
      </c>
      <c r="C172" s="6" t="str">
        <f t="shared" ref="C172:D172" si="199">C171</f>
        <v>Cannomois congesta</v>
      </c>
      <c r="D172" s="6" t="str">
        <f t="shared" si="199"/>
        <v>20C</v>
      </c>
      <c r="E172" s="10">
        <f>IF(ISBLANK(A170),"",E171+1)</f>
        <v>3</v>
      </c>
      <c r="F172" s="11">
        <f t="shared" si="200"/>
        <v>45477.88194</v>
      </c>
      <c r="G172" s="8">
        <v>1.197</v>
      </c>
    </row>
    <row r="173">
      <c r="A173" s="9" t="str">
        <f t="shared" si="198"/>
        <v>CANCON</v>
      </c>
      <c r="B173" s="9" t="str">
        <f>IF(ISBLANK(A170),"",LEFT(B172,27)&amp;VALUE(RIGHT(B172,1)+1))</f>
        <v>JKS240702CANCON_20C_sample_4</v>
      </c>
      <c r="C173" s="6" t="str">
        <f t="shared" ref="C173:D173" si="201">C172</f>
        <v>Cannomois congesta</v>
      </c>
      <c r="D173" s="6" t="str">
        <f t="shared" si="201"/>
        <v>20C</v>
      </c>
      <c r="E173" s="10">
        <f>IF(ISBLANK(A170),"",E172+1)</f>
        <v>4</v>
      </c>
      <c r="F173" s="11">
        <f t="shared" si="200"/>
        <v>45477.88194</v>
      </c>
      <c r="G173" s="8">
        <v>2.137</v>
      </c>
    </row>
    <row r="174">
      <c r="A174" s="9" t="str">
        <f t="shared" si="198"/>
        <v>CANCON</v>
      </c>
      <c r="B174" s="9" t="str">
        <f>IF(ISBLANK(A170),"",LEFT(B173,27)&amp;VALUE(RIGHT(B173,1)+1))</f>
        <v>JKS240702CANCON_20C_sample_5</v>
      </c>
      <c r="C174" s="6" t="str">
        <f t="shared" ref="C174:D174" si="202">C173</f>
        <v>Cannomois congesta</v>
      </c>
      <c r="D174" s="6" t="str">
        <f t="shared" si="202"/>
        <v>20C</v>
      </c>
      <c r="E174" s="10">
        <f>IF(ISBLANK(A170),"",E173+1)</f>
        <v>5</v>
      </c>
      <c r="F174" s="11">
        <f t="shared" si="200"/>
        <v>45477.88194</v>
      </c>
      <c r="G174" s="8">
        <v>2.349</v>
      </c>
    </row>
    <row r="175">
      <c r="A175" s="12" t="str">
        <f t="shared" si="198"/>
        <v>CANCON</v>
      </c>
      <c r="B175" s="12" t="str">
        <f>IF(ISBLANK(A170),"",LEFT(B174,27)&amp;VALUE(RIGHT(B174,1)+1))</f>
        <v>JKS240702CANCON_20C_sample_6</v>
      </c>
      <c r="C175" s="13" t="str">
        <f t="shared" ref="C175:D175" si="203">C174</f>
        <v>Cannomois congesta</v>
      </c>
      <c r="D175" s="13" t="str">
        <f t="shared" si="203"/>
        <v>20C</v>
      </c>
      <c r="E175" s="14">
        <f>IF(ISBLANK(A170),"",E174+1)</f>
        <v>6</v>
      </c>
      <c r="F175" s="15">
        <f t="shared" si="200"/>
        <v>45477.88194</v>
      </c>
      <c r="G175" s="16">
        <v>1.766</v>
      </c>
    </row>
    <row r="176">
      <c r="A176" s="5" t="s">
        <v>7</v>
      </c>
      <c r="B176" s="6" t="str">
        <f t="array" ref="B176">IF(ISBLANK(A176),"",IF(A176="PROREP (L)",VLOOKUP(LEFT($A176,6),'Data Feed (20C)'!$A$1:$G$10,2,FALSE),IF(A176="PROREP (S)", INDEX('Data Feed (20C)'!B:B, MATCH(LEFT($A176,6), 'Data Feed (20C)'!$A$1:$A$10, 0) + 1), VLOOKUP($A176,'Data Feed (20C)'!$A$1:$G$10,2,FALSE))))</f>
        <v>JKS240702ERIMON_20C_sample_1</v>
      </c>
      <c r="C176" s="6" t="str">
        <f t="array" ref="C176">IF(ISBLANK(A176),"",IF(A176="PROREP (L)",VLOOKUP(LEFT($A176,6),'Data Feed (20C)'!$A$1:$G$10,3,FALSE),IF(A176="PROREP (S)", INDEX('Data Feed (20C)'!C:C, MATCH(LEFT($A176,6), 'Data Feed (20C)'!$A$1:$A$10, 0) + 1, +1), VLOOKUP($A176,'Data Feed (20C)'!$A$1:$G$10,3,FALSE))))</f>
        <v>Erica monsoniana</v>
      </c>
      <c r="D176" s="6" t="str">
        <f t="array" ref="D176">IF(ISBLANK(A176),"",IF(A176="PROREP (L)",VLOOKUP(LEFT($A176,6),'Data Feed (20C)'!$A$1:$G$10,4,FALSE),IF(A176="PROREP (S)", INDEX('Data Feed (20C)'!D:D, MATCH(LEFT($A176,6), 'Data Feed (20C)'!$A$1:$A$10, 0) + 1, +1), VLOOKUP($A176,'Data Feed (20C)'!$A$1:$G$10,4,FALSE))))</f>
        <v>20C</v>
      </c>
      <c r="E176" s="6">
        <f t="array" ref="E176">IF(ISBLANK(A176),"",IF(A176="PROREP (L)",VLOOKUP(LEFT($A176,6),'Data Feed (20C)'!$A$1:$G$10,7,FALSE),IF(A176="PROREP (S)", INDEX('Data Feed (20C)'!G:G, MATCH(LEFT($A176,6), 'Data Feed (20C)'!$A$1:$A$10, 0) + 1, +1), VLOOKUP($A176,'Data Feed (20C)'!$A$1:$G$10,7,FALSE))))</f>
        <v>1</v>
      </c>
      <c r="F176" s="7">
        <v>45477.93541666667</v>
      </c>
      <c r="G176" s="8">
        <v>2.828</v>
      </c>
    </row>
    <row r="177">
      <c r="A177" s="9" t="str">
        <f t="shared" ref="A177:A181" si="205">A176</f>
        <v>ERIMON</v>
      </c>
      <c r="B177" s="9" t="str">
        <f>IF(ISBLANK(A176),"",LEFT(B176,27)&amp;VALUE(RIGHT(B176,1)+1))</f>
        <v>JKS240702ERIMON_20C_sample_2</v>
      </c>
      <c r="C177" s="6" t="str">
        <f t="shared" ref="C177:D177" si="204">C176</f>
        <v>Erica monsoniana</v>
      </c>
      <c r="D177" s="6" t="str">
        <f t="shared" si="204"/>
        <v>20C</v>
      </c>
      <c r="E177" s="10">
        <f>IF(ISBLANK(A176),"",E176+1)</f>
        <v>2</v>
      </c>
      <c r="F177" s="11">
        <f t="shared" ref="F177:F181" si="207">F176</f>
        <v>45477.93542</v>
      </c>
      <c r="G177" s="8">
        <v>2.348</v>
      </c>
    </row>
    <row r="178">
      <c r="A178" s="9" t="str">
        <f t="shared" si="205"/>
        <v>ERIMON</v>
      </c>
      <c r="B178" s="9" t="str">
        <f>IF(ISBLANK(A176),"",LEFT(B177,27)&amp;VALUE(RIGHT(B177,1)+1))</f>
        <v>JKS240702ERIMON_20C_sample_3</v>
      </c>
      <c r="C178" s="6" t="str">
        <f t="shared" ref="C178:D178" si="206">C177</f>
        <v>Erica monsoniana</v>
      </c>
      <c r="D178" s="6" t="str">
        <f t="shared" si="206"/>
        <v>20C</v>
      </c>
      <c r="E178" s="10">
        <f>IF(ISBLANK(A176),"",E177+1)</f>
        <v>3</v>
      </c>
      <c r="F178" s="11">
        <f t="shared" si="207"/>
        <v>45477.93542</v>
      </c>
      <c r="G178" s="8">
        <v>2.251</v>
      </c>
    </row>
    <row r="179">
      <c r="A179" s="9" t="str">
        <f t="shared" si="205"/>
        <v>ERIMON</v>
      </c>
      <c r="B179" s="9" t="str">
        <f>IF(ISBLANK(A176),"",LEFT(B178,27)&amp;VALUE(RIGHT(B178,1)+1))</f>
        <v>JKS240702ERIMON_20C_sample_4</v>
      </c>
      <c r="C179" s="6" t="str">
        <f t="shared" ref="C179:D179" si="208">C178</f>
        <v>Erica monsoniana</v>
      </c>
      <c r="D179" s="6" t="str">
        <f t="shared" si="208"/>
        <v>20C</v>
      </c>
      <c r="E179" s="10">
        <f>IF(ISBLANK(A176),"",E178+1)</f>
        <v>4</v>
      </c>
      <c r="F179" s="11">
        <f t="shared" si="207"/>
        <v>45477.93542</v>
      </c>
      <c r="G179" s="8">
        <v>1.457</v>
      </c>
    </row>
    <row r="180">
      <c r="A180" s="9" t="str">
        <f t="shared" si="205"/>
        <v>ERIMON</v>
      </c>
      <c r="B180" s="9" t="str">
        <f>IF(ISBLANK(A176),"",LEFT(B179,27)&amp;VALUE(RIGHT(B179,1)+1))</f>
        <v>JKS240702ERIMON_20C_sample_5</v>
      </c>
      <c r="C180" s="6" t="str">
        <f t="shared" ref="C180:D180" si="209">C179</f>
        <v>Erica monsoniana</v>
      </c>
      <c r="D180" s="6" t="str">
        <f t="shared" si="209"/>
        <v>20C</v>
      </c>
      <c r="E180" s="10">
        <f>IF(ISBLANK(A176),"",E179+1)</f>
        <v>5</v>
      </c>
      <c r="F180" s="11">
        <f t="shared" si="207"/>
        <v>45477.93542</v>
      </c>
      <c r="G180" s="8">
        <v>1.963</v>
      </c>
    </row>
    <row r="181">
      <c r="A181" s="12" t="str">
        <f t="shared" si="205"/>
        <v>ERIMON</v>
      </c>
      <c r="B181" s="12" t="str">
        <f>IF(ISBLANK(A176),"",LEFT(B180,27)&amp;VALUE(RIGHT(B180,1)+1))</f>
        <v>JKS240702ERIMON_20C_sample_6</v>
      </c>
      <c r="C181" s="13" t="str">
        <f t="shared" ref="C181:D181" si="210">C180</f>
        <v>Erica monsoniana</v>
      </c>
      <c r="D181" s="13" t="str">
        <f t="shared" si="210"/>
        <v>20C</v>
      </c>
      <c r="E181" s="14">
        <f>IF(ISBLANK(A176),"",E180+1)</f>
        <v>6</v>
      </c>
      <c r="F181" s="15">
        <f t="shared" si="207"/>
        <v>45477.93542</v>
      </c>
      <c r="G181" s="16">
        <v>0.941</v>
      </c>
    </row>
    <row r="182">
      <c r="A182" s="5" t="s">
        <v>8</v>
      </c>
      <c r="B182" s="6" t="str">
        <f t="array" ref="B182">IF(ISBLANK(A182),"",IF(A182="PROREP (L)",VLOOKUP(LEFT($A182,6),'Data Feed (20C)'!$A$1:$G$10,2,FALSE),IF(A182="PROREP (S)", INDEX('Data Feed (20C)'!B:B, MATCH(LEFT($A182,6), 'Data Feed (20C)'!$A$1:$A$10, 0) + 1), VLOOKUP($A182,'Data Feed (20C)'!$A$1:$G$10,2,FALSE))))</f>
        <v>JKL240702PROREP_20C_sample_1</v>
      </c>
      <c r="C182" s="6" t="str">
        <f t="array" ref="C182">IF(ISBLANK(A182),"",IF(A182="PROREP (L)",VLOOKUP(LEFT($A182,6),'Data Feed (20C)'!$A$1:$G$10,3,FALSE),IF(A182="PROREP (S)", INDEX('Data Feed (20C)'!C:C, MATCH(LEFT($A182,6), 'Data Feed (20C)'!$A$1:$A$10, 0) + 1, +1), VLOOKUP($A182,'Data Feed (20C)'!$A$1:$G$10,3,FALSE))))</f>
        <v>Protea repens</v>
      </c>
      <c r="D182" s="6" t="str">
        <f t="array" ref="D182">IF(ISBLANK(A182),"",IF(A182="PROREP (L)",VLOOKUP(LEFT($A182,6),'Data Feed (20C)'!$A$1:$G$10,4,FALSE),IF(A182="PROREP (S)", INDEX('Data Feed (20C)'!D:D, MATCH(LEFT($A182,6), 'Data Feed (20C)'!$A$1:$A$10, 0) + 1, +1), VLOOKUP($A182,'Data Feed (20C)'!$A$1:$G$10,4,FALSE))))</f>
        <v>20C</v>
      </c>
      <c r="E182" s="6">
        <f t="array" ref="E182">IF(ISBLANK(A182),"",IF(A182="PROREP (L)",VLOOKUP(LEFT($A182,6),'Data Feed (20C)'!$A$1:$G$10,7,FALSE),IF(A182="PROREP (S)", INDEX('Data Feed (20C)'!G:G, MATCH(LEFT($A182,6), 'Data Feed (20C)'!$A$1:$A$10, 0) + 1, +1), VLOOKUP($A182,'Data Feed (20C)'!$A$1:$G$10,7,FALSE))))</f>
        <v>1</v>
      </c>
      <c r="F182" s="7">
        <v>45477.93680555555</v>
      </c>
      <c r="G182" s="8">
        <v>0.585</v>
      </c>
    </row>
    <row r="183">
      <c r="A183" s="9" t="str">
        <f t="shared" ref="A183:A187" si="212">A182</f>
        <v>PROREP (L)</v>
      </c>
      <c r="B183" s="9" t="str">
        <f>IF(ISBLANK(A182),"",LEFT(B182,27)&amp;VALUE(RIGHT(B182,1)+1))</f>
        <v>JKL240702PROREP_20C_sample_2</v>
      </c>
      <c r="C183" s="6" t="str">
        <f t="shared" ref="C183:D183" si="211">C182</f>
        <v>Protea repens</v>
      </c>
      <c r="D183" s="6" t="str">
        <f t="shared" si="211"/>
        <v>20C</v>
      </c>
      <c r="E183" s="10">
        <f>IF(ISBLANK(A182),"",E182+1)</f>
        <v>2</v>
      </c>
      <c r="F183" s="11">
        <f t="shared" ref="F183:F187" si="214">F182</f>
        <v>45477.93681</v>
      </c>
      <c r="G183" s="8">
        <v>0.445</v>
      </c>
    </row>
    <row r="184">
      <c r="A184" s="9" t="str">
        <f t="shared" si="212"/>
        <v>PROREP (L)</v>
      </c>
      <c r="B184" s="9" t="str">
        <f>IF(ISBLANK(A182),"",LEFT(B183,27)&amp;VALUE(RIGHT(B183,1)+1))</f>
        <v>JKL240702PROREP_20C_sample_3</v>
      </c>
      <c r="C184" s="6" t="str">
        <f t="shared" ref="C184:D184" si="213">C183</f>
        <v>Protea repens</v>
      </c>
      <c r="D184" s="6" t="str">
        <f t="shared" si="213"/>
        <v>20C</v>
      </c>
      <c r="E184" s="10">
        <f>IF(ISBLANK(A182),"",E183+1)</f>
        <v>3</v>
      </c>
      <c r="F184" s="11">
        <f t="shared" si="214"/>
        <v>45477.93681</v>
      </c>
      <c r="G184" s="8">
        <v>0.667</v>
      </c>
    </row>
    <row r="185">
      <c r="A185" s="9" t="str">
        <f t="shared" si="212"/>
        <v>PROREP (L)</v>
      </c>
      <c r="B185" s="9" t="str">
        <f>IF(ISBLANK(A182),"",LEFT(B184,27)&amp;VALUE(RIGHT(B184,1)+1))</f>
        <v>JKL240702PROREP_20C_sample_4</v>
      </c>
      <c r="C185" s="6" t="str">
        <f t="shared" ref="C185:D185" si="215">C184</f>
        <v>Protea repens</v>
      </c>
      <c r="D185" s="6" t="str">
        <f t="shared" si="215"/>
        <v>20C</v>
      </c>
      <c r="E185" s="10">
        <f>IF(ISBLANK(A182),"",E184+1)</f>
        <v>4</v>
      </c>
      <c r="F185" s="11">
        <f t="shared" si="214"/>
        <v>45477.93681</v>
      </c>
      <c r="G185" s="8">
        <v>0.356</v>
      </c>
    </row>
    <row r="186">
      <c r="A186" s="9" t="str">
        <f t="shared" si="212"/>
        <v>PROREP (L)</v>
      </c>
      <c r="B186" s="9" t="str">
        <f>IF(ISBLANK(A182),"",LEFT(B185,27)&amp;VALUE(RIGHT(B185,1)+1))</f>
        <v>JKL240702PROREP_20C_sample_5</v>
      </c>
      <c r="C186" s="6" t="str">
        <f t="shared" ref="C186:D186" si="216">C185</f>
        <v>Protea repens</v>
      </c>
      <c r="D186" s="6" t="str">
        <f t="shared" si="216"/>
        <v>20C</v>
      </c>
      <c r="E186" s="10">
        <f>IF(ISBLANK(A182),"",E185+1)</f>
        <v>5</v>
      </c>
      <c r="F186" s="11">
        <f t="shared" si="214"/>
        <v>45477.93681</v>
      </c>
      <c r="G186" s="8">
        <v>0.502</v>
      </c>
    </row>
    <row r="187">
      <c r="A187" s="12" t="str">
        <f t="shared" si="212"/>
        <v>PROREP (L)</v>
      </c>
      <c r="B187" s="12" t="str">
        <f>IF(ISBLANK(A182),"",LEFT(B186,27)&amp;VALUE(RIGHT(B186,1)+1))</f>
        <v>JKL240702PROREP_20C_sample_6</v>
      </c>
      <c r="C187" s="13" t="str">
        <f t="shared" ref="C187:D187" si="217">C186</f>
        <v>Protea repens</v>
      </c>
      <c r="D187" s="13" t="str">
        <f t="shared" si="217"/>
        <v>20C</v>
      </c>
      <c r="E187" s="14">
        <f>IF(ISBLANK(A182),"",E186+1)</f>
        <v>6</v>
      </c>
      <c r="F187" s="15">
        <f t="shared" si="214"/>
        <v>45477.93681</v>
      </c>
      <c r="G187" s="16">
        <v>0.422</v>
      </c>
    </row>
    <row r="188">
      <c r="A188" s="5" t="s">
        <v>9</v>
      </c>
      <c r="B188" s="6" t="str">
        <f t="array" ref="B188">IF(ISBLANK(A188),"",IF(A188="PROREP (L)",VLOOKUP(LEFT($A188,6),'Data Feed (20C)'!$A$1:$G$10,2,FALSE),IF(A188="PROREP (S)", INDEX('Data Feed (20C)'!B:B, MATCH(LEFT($A188,6), 'Data Feed (20C)'!$A$1:$A$10, 0) + 1), VLOOKUP($A188,'Data Feed (20C)'!$A$1:$G$10,2,FALSE))))</f>
        <v>JKS240702PROREP_20C_sample_1</v>
      </c>
      <c r="C188" s="6" t="str">
        <f t="array" ref="C188">IF(ISBLANK(A188),"",IF(A188="PROREP (L)",VLOOKUP(LEFT($A188,6),'Data Feed (20C)'!$A$1:$G$10,3,FALSE),IF(A188="PROREP (S)", INDEX('Data Feed (20C)'!C:C, MATCH(LEFT($A188,6), 'Data Feed (20C)'!$A$1:$A$10, 0) + 1, +1), VLOOKUP($A188,'Data Feed (20C)'!$A$1:$G$10,3,FALSE))))</f>
        <v>Protea repens</v>
      </c>
      <c r="D188" s="6" t="str">
        <f t="array" ref="D188">IF(ISBLANK(A188),"",IF(A188="PROREP (L)",VLOOKUP(LEFT($A188,6),'Data Feed (20C)'!$A$1:$G$10,4,FALSE),IF(A188="PROREP (S)", INDEX('Data Feed (20C)'!D:D, MATCH(LEFT($A188,6), 'Data Feed (20C)'!$A$1:$A$10, 0) + 1, +1), VLOOKUP($A188,'Data Feed (20C)'!$A$1:$G$10,4,FALSE))))</f>
        <v>20C</v>
      </c>
      <c r="E188" s="6">
        <f t="array" ref="E188">IF(ISBLANK(A188),"",IF(A188="PROREP (L)",VLOOKUP(LEFT($A188,6),'Data Feed (20C)'!$A$1:$G$10,7,FALSE),IF(A188="PROREP (S)", INDEX('Data Feed (20C)'!G:G, MATCH(LEFT($A188,6), 'Data Feed (20C)'!$A$1:$A$10, 0) + 1, +1), VLOOKUP($A188,'Data Feed (20C)'!$A$1:$G$10,7,FALSE))))</f>
        <v>1</v>
      </c>
      <c r="F188" s="7">
        <v>45477.93819444445</v>
      </c>
      <c r="G188" s="8">
        <v>3.437</v>
      </c>
    </row>
    <row r="189">
      <c r="A189" s="9" t="str">
        <f t="shared" ref="A189:A193" si="219">A188</f>
        <v>PROREP (S)</v>
      </c>
      <c r="B189" s="9" t="str">
        <f>IF(ISBLANK(A188),"",LEFT(B188,27)&amp;VALUE(RIGHT(B188,1)+1))</f>
        <v>JKS240702PROREP_20C_sample_2</v>
      </c>
      <c r="C189" s="6" t="str">
        <f t="shared" ref="C189:D189" si="218">C188</f>
        <v>Protea repens</v>
      </c>
      <c r="D189" s="6" t="str">
        <f t="shared" si="218"/>
        <v>20C</v>
      </c>
      <c r="E189" s="10">
        <f>IF(ISBLANK(A188),"",E188+1)</f>
        <v>2</v>
      </c>
      <c r="F189" s="11">
        <f t="shared" ref="F189:F193" si="221">F188</f>
        <v>45477.93819</v>
      </c>
      <c r="G189" s="8">
        <v>12.74</v>
      </c>
    </row>
    <row r="190">
      <c r="A190" s="9" t="str">
        <f t="shared" si="219"/>
        <v>PROREP (S)</v>
      </c>
      <c r="B190" s="9" t="str">
        <f>IF(ISBLANK(A188),"",LEFT(B189,27)&amp;VALUE(RIGHT(B189,1)+1))</f>
        <v>JKS240702PROREP_20C_sample_3</v>
      </c>
      <c r="C190" s="6" t="str">
        <f t="shared" ref="C190:D190" si="220">C189</f>
        <v>Protea repens</v>
      </c>
      <c r="D190" s="6" t="str">
        <f t="shared" si="220"/>
        <v>20C</v>
      </c>
      <c r="E190" s="10">
        <f>IF(ISBLANK(A188),"",E189+1)</f>
        <v>3</v>
      </c>
      <c r="F190" s="11">
        <f t="shared" si="221"/>
        <v>45477.93819</v>
      </c>
      <c r="G190" s="8">
        <v>15.935</v>
      </c>
    </row>
    <row r="191">
      <c r="A191" s="9" t="str">
        <f t="shared" si="219"/>
        <v>PROREP (S)</v>
      </c>
      <c r="B191" s="9" t="str">
        <f>IF(ISBLANK(A188),"",LEFT(B190,27)&amp;VALUE(RIGHT(B190,1)+1))</f>
        <v>JKS240702PROREP_20C_sample_4</v>
      </c>
      <c r="C191" s="6" t="str">
        <f t="shared" ref="C191:D191" si="222">C190</f>
        <v>Protea repens</v>
      </c>
      <c r="D191" s="6" t="str">
        <f t="shared" si="222"/>
        <v>20C</v>
      </c>
      <c r="E191" s="10">
        <f>IF(ISBLANK(A188),"",E190+1)</f>
        <v>4</v>
      </c>
      <c r="F191" s="11">
        <f t="shared" si="221"/>
        <v>45477.93819</v>
      </c>
      <c r="G191" s="8"/>
    </row>
    <row r="192">
      <c r="A192" s="9" t="str">
        <f t="shared" si="219"/>
        <v>PROREP (S)</v>
      </c>
      <c r="B192" s="9" t="str">
        <f>IF(ISBLANK(A188),"",LEFT(B191,27)&amp;VALUE(RIGHT(B191,1)+1))</f>
        <v>JKS240702PROREP_20C_sample_5</v>
      </c>
      <c r="C192" s="6" t="str">
        <f t="shared" ref="C192:D192" si="223">C191</f>
        <v>Protea repens</v>
      </c>
      <c r="D192" s="6" t="str">
        <f t="shared" si="223"/>
        <v>20C</v>
      </c>
      <c r="E192" s="10">
        <f>IF(ISBLANK(A188),"",E191+1)</f>
        <v>5</v>
      </c>
      <c r="F192" s="11">
        <f t="shared" si="221"/>
        <v>45477.93819</v>
      </c>
      <c r="G192" s="8">
        <v>7.068</v>
      </c>
    </row>
    <row r="193">
      <c r="A193" s="12" t="str">
        <f t="shared" si="219"/>
        <v>PROREP (S)</v>
      </c>
      <c r="B193" s="12" t="str">
        <f>IF(ISBLANK(A188),"",LEFT(B192,27)&amp;VALUE(RIGHT(B192,1)+1))</f>
        <v>JKS240702PROREP_20C_sample_6</v>
      </c>
      <c r="C193" s="13" t="str">
        <f t="shared" ref="C193:D193" si="224">C192</f>
        <v>Protea repens</v>
      </c>
      <c r="D193" s="13" t="str">
        <f t="shared" si="224"/>
        <v>20C</v>
      </c>
      <c r="E193" s="14">
        <f>IF(ISBLANK(A188),"",E192+1)</f>
        <v>6</v>
      </c>
      <c r="F193" s="15">
        <f t="shared" si="221"/>
        <v>45477.93819</v>
      </c>
      <c r="G193" s="16">
        <v>26.165</v>
      </c>
    </row>
    <row r="194">
      <c r="A194" s="5" t="s">
        <v>10</v>
      </c>
      <c r="B194" s="6" t="str">
        <f t="array" ref="B194">IF(ISBLANK(A194),"",IF(A194="PROREP (L)",VLOOKUP(LEFT($A194,6),'Data Feed (20C)'!$A$1:$G$10,2,FALSE),IF(A194="PROREP (S)", INDEX('Data Feed (20C)'!B:B, MATCH(LEFT($A194,6), 'Data Feed (20C)'!$A$1:$A$10, 0) + 1), VLOOKUP($A194,'Data Feed (20C)'!$A$1:$G$10,2,FALSE))))</f>
        <v>JKS240702CANCON_20C_sample_1</v>
      </c>
      <c r="C194" s="6" t="str">
        <f t="array" ref="C194">IF(ISBLANK(A194),"",IF(A194="PROREP (L)",VLOOKUP(LEFT($A194,6),'Data Feed (20C)'!$A$1:$G$10,3,FALSE),IF(A194="PROREP (S)", INDEX('Data Feed (20C)'!C:C, MATCH(LEFT($A194,6), 'Data Feed (20C)'!$A$1:$A$10, 0) + 1, +1), VLOOKUP($A194,'Data Feed (20C)'!$A$1:$G$10,3,FALSE))))</f>
        <v>Cannomois congesta</v>
      </c>
      <c r="D194" s="6" t="str">
        <f t="array" ref="D194">IF(ISBLANK(A194),"",IF(A194="PROREP (L)",VLOOKUP(LEFT($A194,6),'Data Feed (20C)'!$A$1:$G$10,4,FALSE),IF(A194="PROREP (S)", INDEX('Data Feed (20C)'!D:D, MATCH(LEFT($A194,6), 'Data Feed (20C)'!$A$1:$A$10, 0) + 1, +1), VLOOKUP($A194,'Data Feed (20C)'!$A$1:$G$10,4,FALSE))))</f>
        <v>20C</v>
      </c>
      <c r="E194" s="6">
        <f t="array" ref="E194">IF(ISBLANK(A194),"",IF(A194="PROREP (L)",VLOOKUP(LEFT($A194,6),'Data Feed (20C)'!$A$1:$G$10,7,FALSE),IF(A194="PROREP (S)", INDEX('Data Feed (20C)'!G:G, MATCH(LEFT($A194,6), 'Data Feed (20C)'!$A$1:$A$10, 0) + 1, +1), VLOOKUP($A194,'Data Feed (20C)'!$A$1:$G$10,7,FALSE))))</f>
        <v>1</v>
      </c>
      <c r="F194" s="7">
        <v>45477.93958333333</v>
      </c>
      <c r="G194" s="8">
        <v>2.292</v>
      </c>
    </row>
    <row r="195">
      <c r="A195" s="9" t="str">
        <f t="shared" ref="A195:A199" si="226">A194</f>
        <v>CANCON</v>
      </c>
      <c r="B195" s="9" t="str">
        <f>IF(ISBLANK(A194),"",LEFT(B194,27)&amp;VALUE(RIGHT(B194,1)+1))</f>
        <v>JKS240702CANCON_20C_sample_2</v>
      </c>
      <c r="C195" s="6" t="str">
        <f t="shared" ref="C195:D195" si="225">C194</f>
        <v>Cannomois congesta</v>
      </c>
      <c r="D195" s="6" t="str">
        <f t="shared" si="225"/>
        <v>20C</v>
      </c>
      <c r="E195" s="10">
        <f>IF(ISBLANK(A194),"",E194+1)</f>
        <v>2</v>
      </c>
      <c r="F195" s="11">
        <f t="shared" ref="F195:F199" si="228">F194</f>
        <v>45477.93958</v>
      </c>
      <c r="G195" s="8">
        <v>2.392</v>
      </c>
    </row>
    <row r="196">
      <c r="A196" s="9" t="str">
        <f t="shared" si="226"/>
        <v>CANCON</v>
      </c>
      <c r="B196" s="9" t="str">
        <f>IF(ISBLANK(A194),"",LEFT(B195,27)&amp;VALUE(RIGHT(B195,1)+1))</f>
        <v>JKS240702CANCON_20C_sample_3</v>
      </c>
      <c r="C196" s="6" t="str">
        <f t="shared" ref="C196:D196" si="227">C195</f>
        <v>Cannomois congesta</v>
      </c>
      <c r="D196" s="6" t="str">
        <f t="shared" si="227"/>
        <v>20C</v>
      </c>
      <c r="E196" s="10">
        <f>IF(ISBLANK(A194),"",E195+1)</f>
        <v>3</v>
      </c>
      <c r="F196" s="11">
        <f t="shared" si="228"/>
        <v>45477.93958</v>
      </c>
      <c r="G196" s="8">
        <v>1.18</v>
      </c>
    </row>
    <row r="197">
      <c r="A197" s="9" t="str">
        <f t="shared" si="226"/>
        <v>CANCON</v>
      </c>
      <c r="B197" s="9" t="str">
        <f>IF(ISBLANK(A194),"",LEFT(B196,27)&amp;VALUE(RIGHT(B196,1)+1))</f>
        <v>JKS240702CANCON_20C_sample_4</v>
      </c>
      <c r="C197" s="6" t="str">
        <f t="shared" ref="C197:D197" si="229">C196</f>
        <v>Cannomois congesta</v>
      </c>
      <c r="D197" s="6" t="str">
        <f t="shared" si="229"/>
        <v>20C</v>
      </c>
      <c r="E197" s="10">
        <f>IF(ISBLANK(A194),"",E196+1)</f>
        <v>4</v>
      </c>
      <c r="F197" s="11">
        <f t="shared" si="228"/>
        <v>45477.93958</v>
      </c>
      <c r="G197" s="8">
        <v>2.115</v>
      </c>
    </row>
    <row r="198">
      <c r="A198" s="9" t="str">
        <f t="shared" si="226"/>
        <v>CANCON</v>
      </c>
      <c r="B198" s="9" t="str">
        <f>IF(ISBLANK(A194),"",LEFT(B197,27)&amp;VALUE(RIGHT(B197,1)+1))</f>
        <v>JKS240702CANCON_20C_sample_5</v>
      </c>
      <c r="C198" s="6" t="str">
        <f t="shared" ref="C198:D198" si="230">C197</f>
        <v>Cannomois congesta</v>
      </c>
      <c r="D198" s="6" t="str">
        <f t="shared" si="230"/>
        <v>20C</v>
      </c>
      <c r="E198" s="10">
        <f>IF(ISBLANK(A194),"",E197+1)</f>
        <v>5</v>
      </c>
      <c r="F198" s="11">
        <f t="shared" si="228"/>
        <v>45477.93958</v>
      </c>
      <c r="G198" s="8">
        <v>2.329</v>
      </c>
    </row>
    <row r="199">
      <c r="A199" s="12" t="str">
        <f t="shared" si="226"/>
        <v>CANCON</v>
      </c>
      <c r="B199" s="12" t="str">
        <f>IF(ISBLANK(A194),"",LEFT(B198,27)&amp;VALUE(RIGHT(B198,1)+1))</f>
        <v>JKS240702CANCON_20C_sample_6</v>
      </c>
      <c r="C199" s="13" t="str">
        <f t="shared" ref="C199:D199" si="231">C198</f>
        <v>Cannomois congesta</v>
      </c>
      <c r="D199" s="13" t="str">
        <f t="shared" si="231"/>
        <v>20C</v>
      </c>
      <c r="E199" s="14">
        <f>IF(ISBLANK(A194),"",E198+1)</f>
        <v>6</v>
      </c>
      <c r="F199" s="15">
        <f t="shared" si="228"/>
        <v>45477.93958</v>
      </c>
      <c r="G199" s="16">
        <v>1.737</v>
      </c>
    </row>
    <row r="200">
      <c r="A200" s="5" t="s">
        <v>7</v>
      </c>
      <c r="B200" s="6" t="str">
        <f t="array" ref="B200">IF(ISBLANK(A200),"",IF(A200="PROREP (L)",VLOOKUP(LEFT($A200,6),'Data Feed (20C)'!$A$1:$G$10,2,FALSE),IF(A200="PROREP (S)", INDEX('Data Feed (20C)'!B:B, MATCH(LEFT($A200,6), 'Data Feed (20C)'!$A$1:$A$10, 0) + 1), VLOOKUP($A200,'Data Feed (20C)'!$A$1:$G$10,2,FALSE))))</f>
        <v>JKS240702ERIMON_20C_sample_1</v>
      </c>
      <c r="C200" s="6" t="str">
        <f t="array" ref="C200">IF(ISBLANK(A200),"",IF(A200="PROREP (L)",VLOOKUP(LEFT($A200,6),'Data Feed (20C)'!$A$1:$G$10,3,FALSE),IF(A200="PROREP (S)", INDEX('Data Feed (20C)'!C:C, MATCH(LEFT($A200,6), 'Data Feed (20C)'!$A$1:$A$10, 0) + 1, +1), VLOOKUP($A200,'Data Feed (20C)'!$A$1:$G$10,3,FALSE))))</f>
        <v>Erica monsoniana</v>
      </c>
      <c r="D200" s="6" t="str">
        <f t="array" ref="D200">IF(ISBLANK(A200),"",IF(A200="PROREP (L)",VLOOKUP(LEFT($A200,6),'Data Feed (20C)'!$A$1:$G$10,4,FALSE),IF(A200="PROREP (S)", INDEX('Data Feed (20C)'!D:D, MATCH(LEFT($A200,6), 'Data Feed (20C)'!$A$1:$A$10, 0) + 1, +1), VLOOKUP($A200,'Data Feed (20C)'!$A$1:$G$10,4,FALSE))))</f>
        <v>20C</v>
      </c>
      <c r="E200" s="6">
        <f t="array" ref="E200">IF(ISBLANK(A200),"",IF(A200="PROREP (L)",VLOOKUP(LEFT($A200,6),'Data Feed (20C)'!$A$1:$G$10,7,FALSE),IF(A200="PROREP (S)", INDEX('Data Feed (20C)'!G:G, MATCH(LEFT($A200,6), 'Data Feed (20C)'!$A$1:$A$10, 0) + 1, +1), VLOOKUP($A200,'Data Feed (20C)'!$A$1:$G$10,7,FALSE))))</f>
        <v>1</v>
      </c>
      <c r="F200" s="7">
        <v>45478.00277777778</v>
      </c>
      <c r="G200" s="8">
        <v>2.76</v>
      </c>
    </row>
    <row r="201">
      <c r="A201" s="9" t="str">
        <f t="shared" ref="A201:A205" si="233">A200</f>
        <v>ERIMON</v>
      </c>
      <c r="B201" s="9" t="str">
        <f>IF(ISBLANK(A200),"",LEFT(B200,27)&amp;VALUE(RIGHT(B200,1)+1))</f>
        <v>JKS240702ERIMON_20C_sample_2</v>
      </c>
      <c r="C201" s="6" t="str">
        <f t="shared" ref="C201:D201" si="232">C200</f>
        <v>Erica monsoniana</v>
      </c>
      <c r="D201" s="6" t="str">
        <f t="shared" si="232"/>
        <v>20C</v>
      </c>
      <c r="E201" s="10">
        <f>IF(ISBLANK(A200),"",E200+1)</f>
        <v>2</v>
      </c>
      <c r="F201" s="11">
        <f t="shared" ref="F201:F205" si="235">F200</f>
        <v>45478.00278</v>
      </c>
      <c r="G201" s="8">
        <v>2.301</v>
      </c>
    </row>
    <row r="202">
      <c r="A202" s="9" t="str">
        <f t="shared" si="233"/>
        <v>ERIMON</v>
      </c>
      <c r="B202" s="9" t="str">
        <f>IF(ISBLANK(A200),"",LEFT(B201,27)&amp;VALUE(RIGHT(B201,1)+1))</f>
        <v>JKS240702ERIMON_20C_sample_3</v>
      </c>
      <c r="C202" s="6" t="str">
        <f t="shared" ref="C202:D202" si="234">C201</f>
        <v>Erica monsoniana</v>
      </c>
      <c r="D202" s="6" t="str">
        <f t="shared" si="234"/>
        <v>20C</v>
      </c>
      <c r="E202" s="10">
        <f>IF(ISBLANK(A200),"",E201+1)</f>
        <v>3</v>
      </c>
      <c r="F202" s="11">
        <f t="shared" si="235"/>
        <v>45478.00278</v>
      </c>
      <c r="G202" s="8">
        <v>2.193</v>
      </c>
    </row>
    <row r="203">
      <c r="A203" s="9" t="str">
        <f t="shared" si="233"/>
        <v>ERIMON</v>
      </c>
      <c r="B203" s="9" t="str">
        <f>IF(ISBLANK(A200),"",LEFT(B202,27)&amp;VALUE(RIGHT(B202,1)+1))</f>
        <v>JKS240702ERIMON_20C_sample_4</v>
      </c>
      <c r="C203" s="6" t="str">
        <f t="shared" ref="C203:D203" si="236">C202</f>
        <v>Erica monsoniana</v>
      </c>
      <c r="D203" s="6" t="str">
        <f t="shared" si="236"/>
        <v>20C</v>
      </c>
      <c r="E203" s="10">
        <f>IF(ISBLANK(A200),"",E202+1)</f>
        <v>4</v>
      </c>
      <c r="F203" s="11">
        <f t="shared" si="235"/>
        <v>45478.00278</v>
      </c>
      <c r="G203" s="8">
        <v>1.413</v>
      </c>
    </row>
    <row r="204">
      <c r="A204" s="9" t="str">
        <f t="shared" si="233"/>
        <v>ERIMON</v>
      </c>
      <c r="B204" s="9" t="str">
        <f>IF(ISBLANK(A200),"",LEFT(B203,27)&amp;VALUE(RIGHT(B203,1)+1))</f>
        <v>JKS240702ERIMON_20C_sample_5</v>
      </c>
      <c r="C204" s="6" t="str">
        <f t="shared" ref="C204:D204" si="237">C203</f>
        <v>Erica monsoniana</v>
      </c>
      <c r="D204" s="6" t="str">
        <f t="shared" si="237"/>
        <v>20C</v>
      </c>
      <c r="E204" s="10">
        <f>IF(ISBLANK(A200),"",E203+1)</f>
        <v>5</v>
      </c>
      <c r="F204" s="11">
        <f t="shared" si="235"/>
        <v>45478.00278</v>
      </c>
      <c r="G204" s="8">
        <v>1.92</v>
      </c>
    </row>
    <row r="205">
      <c r="A205" s="12" t="str">
        <f t="shared" si="233"/>
        <v>ERIMON</v>
      </c>
      <c r="B205" s="12" t="str">
        <f>IF(ISBLANK(A200),"",LEFT(B204,27)&amp;VALUE(RIGHT(B204,1)+1))</f>
        <v>JKS240702ERIMON_20C_sample_6</v>
      </c>
      <c r="C205" s="13" t="str">
        <f t="shared" ref="C205:D205" si="238">C204</f>
        <v>Erica monsoniana</v>
      </c>
      <c r="D205" s="13" t="str">
        <f t="shared" si="238"/>
        <v>20C</v>
      </c>
      <c r="E205" s="14">
        <f>IF(ISBLANK(A200),"",E204+1)</f>
        <v>6</v>
      </c>
      <c r="F205" s="15">
        <f t="shared" si="235"/>
        <v>45478.00278</v>
      </c>
      <c r="G205" s="16">
        <v>0.917</v>
      </c>
    </row>
    <row r="206">
      <c r="A206" s="5" t="s">
        <v>8</v>
      </c>
      <c r="B206" s="6" t="str">
        <f t="array" ref="B206">IF(ISBLANK(A206),"",IF(A206="PROREP (L)",VLOOKUP(LEFT($A206,6),'Data Feed (20C)'!$A$1:$G$10,2,FALSE),IF(A206="PROREP (S)", INDEX('Data Feed (20C)'!B:B, MATCH(LEFT($A206,6), 'Data Feed (20C)'!$A$1:$A$10, 0) + 1), VLOOKUP($A206,'Data Feed (20C)'!$A$1:$G$10,2,FALSE))))</f>
        <v>JKL240702PROREP_20C_sample_1</v>
      </c>
      <c r="C206" s="6" t="str">
        <f t="array" ref="C206">IF(ISBLANK(A206),"",IF(A206="PROREP (L)",VLOOKUP(LEFT($A206,6),'Data Feed (20C)'!$A$1:$G$10,3,FALSE),IF(A206="PROREP (S)", INDEX('Data Feed (20C)'!C:C, MATCH(LEFT($A206,6), 'Data Feed (20C)'!$A$1:$A$10, 0) + 1, +1), VLOOKUP($A206,'Data Feed (20C)'!$A$1:$G$10,3,FALSE))))</f>
        <v>Protea repens</v>
      </c>
      <c r="D206" s="6" t="str">
        <f t="array" ref="D206">IF(ISBLANK(A206),"",IF(A206="PROREP (L)",VLOOKUP(LEFT($A206,6),'Data Feed (20C)'!$A$1:$G$10,4,FALSE),IF(A206="PROREP (S)", INDEX('Data Feed (20C)'!D:D, MATCH(LEFT($A206,6), 'Data Feed (20C)'!$A$1:$A$10, 0) + 1, +1), VLOOKUP($A206,'Data Feed (20C)'!$A$1:$G$10,4,FALSE))))</f>
        <v>20C</v>
      </c>
      <c r="E206" s="6">
        <f t="array" ref="E206">IF(ISBLANK(A206),"",IF(A206="PROREP (L)",VLOOKUP(LEFT($A206,6),'Data Feed (20C)'!$A$1:$G$10,7,FALSE),IF(A206="PROREP (S)", INDEX('Data Feed (20C)'!G:G, MATCH(LEFT($A206,6), 'Data Feed (20C)'!$A$1:$A$10, 0) + 1, +1), VLOOKUP($A206,'Data Feed (20C)'!$A$1:$G$10,7,FALSE))))</f>
        <v>1</v>
      </c>
      <c r="F206" s="7">
        <v>45478.004166666666</v>
      </c>
      <c r="G206" s="8">
        <v>0.585</v>
      </c>
    </row>
    <row r="207">
      <c r="A207" s="9" t="str">
        <f t="shared" ref="A207:A211" si="240">A206</f>
        <v>PROREP (L)</v>
      </c>
      <c r="B207" s="9" t="str">
        <f>IF(ISBLANK(A206),"",LEFT(B206,27)&amp;VALUE(RIGHT(B206,1)+1))</f>
        <v>JKL240702PROREP_20C_sample_2</v>
      </c>
      <c r="C207" s="6" t="str">
        <f t="shared" ref="C207:D207" si="239">C206</f>
        <v>Protea repens</v>
      </c>
      <c r="D207" s="6" t="str">
        <f t="shared" si="239"/>
        <v>20C</v>
      </c>
      <c r="E207" s="10">
        <f>IF(ISBLANK(A206),"",E206+1)</f>
        <v>2</v>
      </c>
      <c r="F207" s="11">
        <f t="shared" ref="F207:F211" si="242">F206</f>
        <v>45478.00417</v>
      </c>
      <c r="G207" s="8">
        <v>0.445</v>
      </c>
    </row>
    <row r="208">
      <c r="A208" s="9" t="str">
        <f t="shared" si="240"/>
        <v>PROREP (L)</v>
      </c>
      <c r="B208" s="9" t="str">
        <f>IF(ISBLANK(A206),"",LEFT(B207,27)&amp;VALUE(RIGHT(B207,1)+1))</f>
        <v>JKL240702PROREP_20C_sample_3</v>
      </c>
      <c r="C208" s="6" t="str">
        <f t="shared" ref="C208:D208" si="241">C207</f>
        <v>Protea repens</v>
      </c>
      <c r="D208" s="6" t="str">
        <f t="shared" si="241"/>
        <v>20C</v>
      </c>
      <c r="E208" s="10">
        <f>IF(ISBLANK(A206),"",E207+1)</f>
        <v>3</v>
      </c>
      <c r="F208" s="11">
        <f t="shared" si="242"/>
        <v>45478.00417</v>
      </c>
      <c r="G208" s="8">
        <v>0.673</v>
      </c>
    </row>
    <row r="209">
      <c r="A209" s="9" t="str">
        <f t="shared" si="240"/>
        <v>PROREP (L)</v>
      </c>
      <c r="B209" s="9" t="str">
        <f>IF(ISBLANK(A206),"",LEFT(B208,27)&amp;VALUE(RIGHT(B208,1)+1))</f>
        <v>JKL240702PROREP_20C_sample_4</v>
      </c>
      <c r="C209" s="6" t="str">
        <f t="shared" ref="C209:D209" si="243">C208</f>
        <v>Protea repens</v>
      </c>
      <c r="D209" s="6" t="str">
        <f t="shared" si="243"/>
        <v>20C</v>
      </c>
      <c r="E209" s="10">
        <f>IF(ISBLANK(A206),"",E208+1)</f>
        <v>4</v>
      </c>
      <c r="F209" s="11">
        <f t="shared" si="242"/>
        <v>45478.00417</v>
      </c>
      <c r="G209" s="8">
        <v>0.355</v>
      </c>
    </row>
    <row r="210">
      <c r="A210" s="9" t="str">
        <f t="shared" si="240"/>
        <v>PROREP (L)</v>
      </c>
      <c r="B210" s="9" t="str">
        <f>IF(ISBLANK(A206),"",LEFT(B209,27)&amp;VALUE(RIGHT(B209,1)+1))</f>
        <v>JKL240702PROREP_20C_sample_5</v>
      </c>
      <c r="C210" s="6" t="str">
        <f t="shared" ref="C210:D210" si="244">C209</f>
        <v>Protea repens</v>
      </c>
      <c r="D210" s="6" t="str">
        <f t="shared" si="244"/>
        <v>20C</v>
      </c>
      <c r="E210" s="10">
        <f>IF(ISBLANK(A206),"",E209+1)</f>
        <v>5</v>
      </c>
      <c r="F210" s="11">
        <f t="shared" si="242"/>
        <v>45478.00417</v>
      </c>
      <c r="G210" s="8">
        <v>0.504</v>
      </c>
    </row>
    <row r="211">
      <c r="A211" s="12" t="str">
        <f t="shared" si="240"/>
        <v>PROREP (L)</v>
      </c>
      <c r="B211" s="12" t="str">
        <f>IF(ISBLANK(A206),"",LEFT(B210,27)&amp;VALUE(RIGHT(B210,1)+1))</f>
        <v>JKL240702PROREP_20C_sample_6</v>
      </c>
      <c r="C211" s="13" t="str">
        <f t="shared" ref="C211:D211" si="245">C210</f>
        <v>Protea repens</v>
      </c>
      <c r="D211" s="13" t="str">
        <f t="shared" si="245"/>
        <v>20C</v>
      </c>
      <c r="E211" s="14">
        <f>IF(ISBLANK(A206),"",E210+1)</f>
        <v>6</v>
      </c>
      <c r="F211" s="15">
        <f t="shared" si="242"/>
        <v>45478.00417</v>
      </c>
      <c r="G211" s="16">
        <v>0.422</v>
      </c>
    </row>
    <row r="212">
      <c r="A212" s="5" t="s">
        <v>9</v>
      </c>
      <c r="B212" s="6" t="str">
        <f t="array" ref="B212">IF(ISBLANK(A212),"",IF(A212="PROREP (L)",VLOOKUP(LEFT($A212,6),'Data Feed (20C)'!$A$1:$G$10,2,FALSE),IF(A212="PROREP (S)", INDEX('Data Feed (20C)'!B:B, MATCH(LEFT($A212,6), 'Data Feed (20C)'!$A$1:$A$10, 0) + 1), VLOOKUP($A212,'Data Feed (20C)'!$A$1:$G$10,2,FALSE))))</f>
        <v>JKS240702PROREP_20C_sample_1</v>
      </c>
      <c r="C212" s="6" t="str">
        <f t="array" ref="C212">IF(ISBLANK(A212),"",IF(A212="PROREP (L)",VLOOKUP(LEFT($A212,6),'Data Feed (20C)'!$A$1:$G$10,3,FALSE),IF(A212="PROREP (S)", INDEX('Data Feed (20C)'!C:C, MATCH(LEFT($A212,6), 'Data Feed (20C)'!$A$1:$A$10, 0) + 1, +1), VLOOKUP($A212,'Data Feed (20C)'!$A$1:$G$10,3,FALSE))))</f>
        <v>Protea repens</v>
      </c>
      <c r="D212" s="6" t="str">
        <f t="array" ref="D212">IF(ISBLANK(A212),"",IF(A212="PROREP (L)",VLOOKUP(LEFT($A212,6),'Data Feed (20C)'!$A$1:$G$10,4,FALSE),IF(A212="PROREP (S)", INDEX('Data Feed (20C)'!D:D, MATCH(LEFT($A212,6), 'Data Feed (20C)'!$A$1:$A$10, 0) + 1, +1), VLOOKUP($A212,'Data Feed (20C)'!$A$1:$G$10,4,FALSE))))</f>
        <v>20C</v>
      </c>
      <c r="E212" s="6">
        <f t="array" ref="E212">IF(ISBLANK(A212),"",IF(A212="PROREP (L)",VLOOKUP(LEFT($A212,6),'Data Feed (20C)'!$A$1:$G$10,7,FALSE),IF(A212="PROREP (S)", INDEX('Data Feed (20C)'!G:G, MATCH(LEFT($A212,6), 'Data Feed (20C)'!$A$1:$A$10, 0) + 1, +1), VLOOKUP($A212,'Data Feed (20C)'!$A$1:$G$10,7,FALSE))))</f>
        <v>1</v>
      </c>
      <c r="F212" s="7">
        <v>45478.00555555556</v>
      </c>
      <c r="G212" s="8">
        <v>3.418</v>
      </c>
    </row>
    <row r="213">
      <c r="A213" s="9" t="str">
        <f t="shared" ref="A213:A217" si="247">A212</f>
        <v>PROREP (S)</v>
      </c>
      <c r="B213" s="9" t="str">
        <f>IF(ISBLANK(A212),"",LEFT(B212,27)&amp;VALUE(RIGHT(B212,1)+1))</f>
        <v>JKS240702PROREP_20C_sample_2</v>
      </c>
      <c r="C213" s="6" t="str">
        <f t="shared" ref="C213:D213" si="246">C212</f>
        <v>Protea repens</v>
      </c>
      <c r="D213" s="6" t="str">
        <f t="shared" si="246"/>
        <v>20C</v>
      </c>
      <c r="E213" s="10">
        <f>IF(ISBLANK(A212),"",E212+1)</f>
        <v>2</v>
      </c>
      <c r="F213" s="11">
        <f t="shared" ref="F213:F217" si="249">F212</f>
        <v>45478.00556</v>
      </c>
      <c r="G213" s="8">
        <v>12.688</v>
      </c>
    </row>
    <row r="214">
      <c r="A214" s="9" t="str">
        <f t="shared" si="247"/>
        <v>PROREP (S)</v>
      </c>
      <c r="B214" s="9" t="str">
        <f>IF(ISBLANK(A212),"",LEFT(B213,27)&amp;VALUE(RIGHT(B213,1)+1))</f>
        <v>JKS240702PROREP_20C_sample_3</v>
      </c>
      <c r="C214" s="6" t="str">
        <f t="shared" ref="C214:D214" si="248">C213</f>
        <v>Protea repens</v>
      </c>
      <c r="D214" s="6" t="str">
        <f t="shared" si="248"/>
        <v>20C</v>
      </c>
      <c r="E214" s="10">
        <f>IF(ISBLANK(A212),"",E213+1)</f>
        <v>3</v>
      </c>
      <c r="F214" s="11">
        <f t="shared" si="249"/>
        <v>45478.00556</v>
      </c>
      <c r="G214" s="8">
        <v>15.751</v>
      </c>
    </row>
    <row r="215">
      <c r="A215" s="9" t="str">
        <f t="shared" si="247"/>
        <v>PROREP (S)</v>
      </c>
      <c r="B215" s="9" t="str">
        <f>IF(ISBLANK(A212),"",LEFT(B214,27)&amp;VALUE(RIGHT(B214,1)+1))</f>
        <v>JKS240702PROREP_20C_sample_4</v>
      </c>
      <c r="C215" s="6" t="str">
        <f t="shared" ref="C215:D215" si="250">C214</f>
        <v>Protea repens</v>
      </c>
      <c r="D215" s="6" t="str">
        <f t="shared" si="250"/>
        <v>20C</v>
      </c>
      <c r="E215" s="10">
        <f>IF(ISBLANK(A212),"",E214+1)</f>
        <v>4</v>
      </c>
      <c r="F215" s="11">
        <f t="shared" si="249"/>
        <v>45478.00556</v>
      </c>
      <c r="G215" s="8">
        <v>7.36</v>
      </c>
    </row>
    <row r="216">
      <c r="A216" s="9" t="str">
        <f t="shared" si="247"/>
        <v>PROREP (S)</v>
      </c>
      <c r="B216" s="9" t="str">
        <f>IF(ISBLANK(A212),"",LEFT(B215,27)&amp;VALUE(RIGHT(B215,1)+1))</f>
        <v>JKS240702PROREP_20C_sample_5</v>
      </c>
      <c r="C216" s="6" t="str">
        <f t="shared" ref="C216:D216" si="251">C215</f>
        <v>Protea repens</v>
      </c>
      <c r="D216" s="6" t="str">
        <f t="shared" si="251"/>
        <v>20C</v>
      </c>
      <c r="E216" s="10">
        <f>IF(ISBLANK(A212),"",E215+1)</f>
        <v>5</v>
      </c>
      <c r="F216" s="11">
        <f t="shared" si="249"/>
        <v>45478.00556</v>
      </c>
      <c r="G216" s="8">
        <v>7.033</v>
      </c>
    </row>
    <row r="217">
      <c r="A217" s="12" t="str">
        <f t="shared" si="247"/>
        <v>PROREP (S)</v>
      </c>
      <c r="B217" s="12" t="str">
        <f>IF(ISBLANK(A212),"",LEFT(B216,27)&amp;VALUE(RIGHT(B216,1)+1))</f>
        <v>JKS240702PROREP_20C_sample_6</v>
      </c>
      <c r="C217" s="13" t="str">
        <f t="shared" ref="C217:D217" si="252">C216</f>
        <v>Protea repens</v>
      </c>
      <c r="D217" s="13" t="str">
        <f t="shared" si="252"/>
        <v>20C</v>
      </c>
      <c r="E217" s="14">
        <f>IF(ISBLANK(A212),"",E216+1)</f>
        <v>6</v>
      </c>
      <c r="F217" s="15">
        <f t="shared" si="249"/>
        <v>45478.00556</v>
      </c>
      <c r="G217" s="16">
        <v>26.006</v>
      </c>
    </row>
    <row r="218">
      <c r="A218" s="5" t="s">
        <v>10</v>
      </c>
      <c r="B218" s="6" t="str">
        <f t="array" ref="B218">IF(ISBLANK(A218),"",IF(A218="PROREP (L)",VLOOKUP(LEFT($A218,6),'Data Feed (20C)'!$A$1:$G$10,2,FALSE),IF(A218="PROREP (S)", INDEX('Data Feed (20C)'!B:B, MATCH(LEFT($A218,6), 'Data Feed (20C)'!$A$1:$A$10, 0) + 1), VLOOKUP($A218,'Data Feed (20C)'!$A$1:$G$10,2,FALSE))))</f>
        <v>JKS240702CANCON_20C_sample_1</v>
      </c>
      <c r="C218" s="6" t="str">
        <f t="array" ref="C218">IF(ISBLANK(A218),"",IF(A218="PROREP (L)",VLOOKUP(LEFT($A218,6),'Data Feed (20C)'!$A$1:$G$10,3,FALSE),IF(A218="PROREP (S)", INDEX('Data Feed (20C)'!C:C, MATCH(LEFT($A218,6), 'Data Feed (20C)'!$A$1:$A$10, 0) + 1, +1), VLOOKUP($A218,'Data Feed (20C)'!$A$1:$G$10,3,FALSE))))</f>
        <v>Cannomois congesta</v>
      </c>
      <c r="D218" s="6" t="str">
        <f t="array" ref="D218">IF(ISBLANK(A218),"",IF(A218="PROREP (L)",VLOOKUP(LEFT($A218,6),'Data Feed (20C)'!$A$1:$G$10,4,FALSE),IF(A218="PROREP (S)", INDEX('Data Feed (20C)'!D:D, MATCH(LEFT($A218,6), 'Data Feed (20C)'!$A$1:$A$10, 0) + 1, +1), VLOOKUP($A218,'Data Feed (20C)'!$A$1:$G$10,4,FALSE))))</f>
        <v>20C</v>
      </c>
      <c r="E218" s="6">
        <f t="array" ref="E218">IF(ISBLANK(A218),"",IF(A218="PROREP (L)",VLOOKUP(LEFT($A218,6),'Data Feed (20C)'!$A$1:$G$10,7,FALSE),IF(A218="PROREP (S)", INDEX('Data Feed (20C)'!G:G, MATCH(LEFT($A218,6), 'Data Feed (20C)'!$A$1:$A$10, 0) + 1, +1), VLOOKUP($A218,'Data Feed (20C)'!$A$1:$G$10,7,FALSE))))</f>
        <v>1</v>
      </c>
      <c r="F218" s="7">
        <v>45478.006944444445</v>
      </c>
      <c r="G218" s="8">
        <v>2.255</v>
      </c>
    </row>
    <row r="219">
      <c r="A219" s="9" t="str">
        <f t="shared" ref="A219:A223" si="254">A218</f>
        <v>CANCON</v>
      </c>
      <c r="B219" s="9" t="str">
        <f>IF(ISBLANK(A218),"",LEFT(B218,27)&amp;VALUE(RIGHT(B218,1)+1))</f>
        <v>JKS240702CANCON_20C_sample_2</v>
      </c>
      <c r="C219" s="6" t="str">
        <f t="shared" ref="C219:D219" si="253">C218</f>
        <v>Cannomois congesta</v>
      </c>
      <c r="D219" s="6" t="str">
        <f t="shared" si="253"/>
        <v>20C</v>
      </c>
      <c r="E219" s="10">
        <f>IF(ISBLANK(A218),"",E218+1)</f>
        <v>2</v>
      </c>
      <c r="F219" s="11">
        <f t="shared" ref="F219:F223" si="256">F218</f>
        <v>45478.00694</v>
      </c>
      <c r="G219" s="8">
        <v>2.371</v>
      </c>
    </row>
    <row r="220">
      <c r="A220" s="9" t="str">
        <f t="shared" si="254"/>
        <v>CANCON</v>
      </c>
      <c r="B220" s="9" t="str">
        <f>IF(ISBLANK(A218),"",LEFT(B219,27)&amp;VALUE(RIGHT(B219,1)+1))</f>
        <v>JKS240702CANCON_20C_sample_3</v>
      </c>
      <c r="C220" s="6" t="str">
        <f t="shared" ref="C220:D220" si="255">C219</f>
        <v>Cannomois congesta</v>
      </c>
      <c r="D220" s="6" t="str">
        <f t="shared" si="255"/>
        <v>20C</v>
      </c>
      <c r="E220" s="10">
        <f>IF(ISBLANK(A218),"",E219+1)</f>
        <v>3</v>
      </c>
      <c r="F220" s="11">
        <f t="shared" si="256"/>
        <v>45478.00694</v>
      </c>
      <c r="G220" s="8">
        <v>1.172</v>
      </c>
    </row>
    <row r="221">
      <c r="A221" s="9" t="str">
        <f t="shared" si="254"/>
        <v>CANCON</v>
      </c>
      <c r="B221" s="9" t="str">
        <f>IF(ISBLANK(A218),"",LEFT(B220,27)&amp;VALUE(RIGHT(B220,1)+1))</f>
        <v>JKS240702CANCON_20C_sample_4</v>
      </c>
      <c r="C221" s="6" t="str">
        <f t="shared" ref="C221:D221" si="257">C220</f>
        <v>Cannomois congesta</v>
      </c>
      <c r="D221" s="6" t="str">
        <f t="shared" si="257"/>
        <v>20C</v>
      </c>
      <c r="E221" s="10">
        <f>IF(ISBLANK(A218),"",E220+1)</f>
        <v>4</v>
      </c>
      <c r="F221" s="11">
        <f t="shared" si="256"/>
        <v>45478.00694</v>
      </c>
      <c r="G221" s="8">
        <v>2.095</v>
      </c>
    </row>
    <row r="222">
      <c r="A222" s="9" t="str">
        <f t="shared" si="254"/>
        <v>CANCON</v>
      </c>
      <c r="B222" s="9" t="str">
        <f>IF(ISBLANK(A218),"",LEFT(B221,27)&amp;VALUE(RIGHT(B221,1)+1))</f>
        <v>JKS240702CANCON_20C_sample_5</v>
      </c>
      <c r="C222" s="6" t="str">
        <f t="shared" ref="C222:D222" si="258">C221</f>
        <v>Cannomois congesta</v>
      </c>
      <c r="D222" s="6" t="str">
        <f t="shared" si="258"/>
        <v>20C</v>
      </c>
      <c r="E222" s="10">
        <f>IF(ISBLANK(A218),"",E221+1)</f>
        <v>5</v>
      </c>
      <c r="F222" s="11">
        <f t="shared" si="256"/>
        <v>45478.00694</v>
      </c>
      <c r="G222" s="8">
        <v>2.303</v>
      </c>
    </row>
    <row r="223">
      <c r="A223" s="12" t="str">
        <f t="shared" si="254"/>
        <v>CANCON</v>
      </c>
      <c r="B223" s="12" t="str">
        <f>IF(ISBLANK(A218),"",LEFT(B222,27)&amp;VALUE(RIGHT(B222,1)+1))</f>
        <v>JKS240702CANCON_20C_sample_6</v>
      </c>
      <c r="C223" s="13" t="str">
        <f t="shared" ref="C223:D223" si="259">C222</f>
        <v>Cannomois congesta</v>
      </c>
      <c r="D223" s="13" t="str">
        <f t="shared" si="259"/>
        <v>20C</v>
      </c>
      <c r="E223" s="14">
        <f>IF(ISBLANK(A218),"",E222+1)</f>
        <v>6</v>
      </c>
      <c r="F223" s="15">
        <f t="shared" si="256"/>
        <v>45478.00694</v>
      </c>
      <c r="G223" s="16">
        <v>1.707</v>
      </c>
    </row>
    <row r="224">
      <c r="A224" s="5" t="s">
        <v>7</v>
      </c>
      <c r="B224" s="6" t="str">
        <f t="array" ref="B224">IF(ISBLANK(A224),"",IF(A224="PROREP (L)",VLOOKUP(LEFT($A224,6),'Data Feed (20C)'!$A$1:$G$10,2,FALSE),IF(A224="PROREP (S)", INDEX('Data Feed (20C)'!B:B, MATCH(LEFT($A224,6), 'Data Feed (20C)'!$A$1:$A$10, 0) + 1), VLOOKUP($A224,'Data Feed (20C)'!$A$1:$G$10,2,FALSE))))</f>
        <v>JKS240702ERIMON_20C_sample_1</v>
      </c>
      <c r="C224" s="6" t="str">
        <f t="array" ref="C224">IF(ISBLANK(A224),"",IF(A224="PROREP (L)",VLOOKUP(LEFT($A224,6),'Data Feed (20C)'!$A$1:$G$10,3,FALSE),IF(A224="PROREP (S)", INDEX('Data Feed (20C)'!C:C, MATCH(LEFT($A224,6), 'Data Feed (20C)'!$A$1:$A$10, 0) + 1, +1), VLOOKUP($A224,'Data Feed (20C)'!$A$1:$G$10,3,FALSE))))</f>
        <v>Erica monsoniana</v>
      </c>
      <c r="D224" s="6" t="str">
        <f t="array" ref="D224">IF(ISBLANK(A224),"",IF(A224="PROREP (L)",VLOOKUP(LEFT($A224,6),'Data Feed (20C)'!$A$1:$G$10,4,FALSE),IF(A224="PROREP (S)", INDEX('Data Feed (20C)'!D:D, MATCH(LEFT($A224,6), 'Data Feed (20C)'!$A$1:$A$10, 0) + 1, +1), VLOOKUP($A224,'Data Feed (20C)'!$A$1:$G$10,4,FALSE))))</f>
        <v>20C</v>
      </c>
      <c r="E224" s="6">
        <f t="array" ref="E224">IF(ISBLANK(A224),"",IF(A224="PROREP (L)",VLOOKUP(LEFT($A224,6),'Data Feed (20C)'!$A$1:$G$10,7,FALSE),IF(A224="PROREP (S)", INDEX('Data Feed (20C)'!G:G, MATCH(LEFT($A224,6), 'Data Feed (20C)'!$A$1:$A$10, 0) + 1, +1), VLOOKUP($A224,'Data Feed (20C)'!$A$1:$G$10,7,FALSE))))</f>
        <v>1</v>
      </c>
      <c r="F224" s="7">
        <v>45478.09166666667</v>
      </c>
      <c r="G224" s="8">
        <v>2.676</v>
      </c>
    </row>
    <row r="225">
      <c r="A225" s="9" t="str">
        <f t="shared" ref="A225:A229" si="261">A224</f>
        <v>ERIMON</v>
      </c>
      <c r="B225" s="9" t="str">
        <f>IF(ISBLANK(A224),"",LEFT(B224,27)&amp;VALUE(RIGHT(B224,1)+1))</f>
        <v>JKS240702ERIMON_20C_sample_2</v>
      </c>
      <c r="C225" s="6" t="str">
        <f t="shared" ref="C225:D225" si="260">C224</f>
        <v>Erica monsoniana</v>
      </c>
      <c r="D225" s="6" t="str">
        <f t="shared" si="260"/>
        <v>20C</v>
      </c>
      <c r="E225" s="10">
        <f>IF(ISBLANK(A224),"",E224+1)</f>
        <v>2</v>
      </c>
      <c r="F225" s="11">
        <f t="shared" ref="F225:F229" si="263">F224</f>
        <v>45478.09167</v>
      </c>
      <c r="G225" s="8">
        <v>2.244</v>
      </c>
    </row>
    <row r="226">
      <c r="A226" s="9" t="str">
        <f t="shared" si="261"/>
        <v>ERIMON</v>
      </c>
      <c r="B226" s="9" t="str">
        <f>IF(ISBLANK(A224),"",LEFT(B225,27)&amp;VALUE(RIGHT(B225,1)+1))</f>
        <v>JKS240702ERIMON_20C_sample_3</v>
      </c>
      <c r="C226" s="6" t="str">
        <f t="shared" ref="C226:D226" si="262">C225</f>
        <v>Erica monsoniana</v>
      </c>
      <c r="D226" s="6" t="str">
        <f t="shared" si="262"/>
        <v>20C</v>
      </c>
      <c r="E226" s="10">
        <f>IF(ISBLANK(A224),"",E225+1)</f>
        <v>3</v>
      </c>
      <c r="F226" s="11">
        <f t="shared" si="263"/>
        <v>45478.09167</v>
      </c>
      <c r="G226" s="8">
        <v>2.123</v>
      </c>
    </row>
    <row r="227">
      <c r="A227" s="9" t="str">
        <f t="shared" si="261"/>
        <v>ERIMON</v>
      </c>
      <c r="B227" s="9" t="str">
        <f>IF(ISBLANK(A224),"",LEFT(B226,27)&amp;VALUE(RIGHT(B226,1)+1))</f>
        <v>JKS240702ERIMON_20C_sample_4</v>
      </c>
      <c r="C227" s="6" t="str">
        <f t="shared" ref="C227:D227" si="264">C226</f>
        <v>Erica monsoniana</v>
      </c>
      <c r="D227" s="6" t="str">
        <f t="shared" si="264"/>
        <v>20C</v>
      </c>
      <c r="E227" s="10">
        <f>IF(ISBLANK(A224),"",E226+1)</f>
        <v>4</v>
      </c>
      <c r="F227" s="11">
        <f t="shared" si="263"/>
        <v>45478.09167</v>
      </c>
      <c r="G227" s="8">
        <v>1.362</v>
      </c>
    </row>
    <row r="228">
      <c r="A228" s="9" t="str">
        <f t="shared" si="261"/>
        <v>ERIMON</v>
      </c>
      <c r="B228" s="9" t="str">
        <f>IF(ISBLANK(A224),"",LEFT(B227,27)&amp;VALUE(RIGHT(B227,1)+1))</f>
        <v>JKS240702ERIMON_20C_sample_5</v>
      </c>
      <c r="C228" s="6" t="str">
        <f t="shared" ref="C228:D228" si="265">C227</f>
        <v>Erica monsoniana</v>
      </c>
      <c r="D228" s="6" t="str">
        <f t="shared" si="265"/>
        <v>20C</v>
      </c>
      <c r="E228" s="10">
        <f>IF(ISBLANK(A224),"",E227+1)</f>
        <v>5</v>
      </c>
      <c r="F228" s="11">
        <f t="shared" si="263"/>
        <v>45478.09167</v>
      </c>
      <c r="G228" s="8">
        <v>1.859</v>
      </c>
    </row>
    <row r="229">
      <c r="A229" s="12" t="str">
        <f t="shared" si="261"/>
        <v>ERIMON</v>
      </c>
      <c r="B229" s="12" t="str">
        <f>IF(ISBLANK(A224),"",LEFT(B228,27)&amp;VALUE(RIGHT(B228,1)+1))</f>
        <v>JKS240702ERIMON_20C_sample_6</v>
      </c>
      <c r="C229" s="13" t="str">
        <f t="shared" ref="C229:D229" si="266">C228</f>
        <v>Erica monsoniana</v>
      </c>
      <c r="D229" s="13" t="str">
        <f t="shared" si="266"/>
        <v>20C</v>
      </c>
      <c r="E229" s="14">
        <f>IF(ISBLANK(A224),"",E228+1)</f>
        <v>6</v>
      </c>
      <c r="F229" s="15">
        <f t="shared" si="263"/>
        <v>45478.09167</v>
      </c>
      <c r="G229" s="16">
        <v>0.887</v>
      </c>
    </row>
    <row r="230">
      <c r="A230" s="5" t="s">
        <v>8</v>
      </c>
      <c r="B230" s="6" t="str">
        <f t="array" ref="B230">IF(ISBLANK(A230),"",IF(A230="PROREP (L)",VLOOKUP(LEFT($A230,6),'Data Feed (20C)'!$A$1:$G$10,2,FALSE),IF(A230="PROREP (S)", INDEX('Data Feed (20C)'!B:B, MATCH(LEFT($A230,6), 'Data Feed (20C)'!$A$1:$A$10, 0) + 1), VLOOKUP($A230,'Data Feed (20C)'!$A$1:$G$10,2,FALSE))))</f>
        <v>JKL240702PROREP_20C_sample_1</v>
      </c>
      <c r="C230" s="6" t="str">
        <f t="array" ref="C230">IF(ISBLANK(A230),"",IF(A230="PROREP (L)",VLOOKUP(LEFT($A230,6),'Data Feed (20C)'!$A$1:$G$10,3,FALSE),IF(A230="PROREP (S)", INDEX('Data Feed (20C)'!C:C, MATCH(LEFT($A230,6), 'Data Feed (20C)'!$A$1:$A$10, 0) + 1, +1), VLOOKUP($A230,'Data Feed (20C)'!$A$1:$G$10,3,FALSE))))</f>
        <v>Protea repens</v>
      </c>
      <c r="D230" s="6" t="str">
        <f t="array" ref="D230">IF(ISBLANK(A230),"",IF(A230="PROREP (L)",VLOOKUP(LEFT($A230,6),'Data Feed (20C)'!$A$1:$G$10,4,FALSE),IF(A230="PROREP (S)", INDEX('Data Feed (20C)'!D:D, MATCH(LEFT($A230,6), 'Data Feed (20C)'!$A$1:$A$10, 0) + 1, +1), VLOOKUP($A230,'Data Feed (20C)'!$A$1:$G$10,4,FALSE))))</f>
        <v>20C</v>
      </c>
      <c r="E230" s="6">
        <f t="array" ref="E230">IF(ISBLANK(A230),"",IF(A230="PROREP (L)",VLOOKUP(LEFT($A230,6),'Data Feed (20C)'!$A$1:$G$10,7,FALSE),IF(A230="PROREP (S)", INDEX('Data Feed (20C)'!G:G, MATCH(LEFT($A230,6), 'Data Feed (20C)'!$A$1:$A$10, 0) + 1, +1), VLOOKUP($A230,'Data Feed (20C)'!$A$1:$G$10,7,FALSE))))</f>
        <v>1</v>
      </c>
      <c r="F230" s="7">
        <v>45478.092361111114</v>
      </c>
      <c r="G230" s="8">
        <v>0.58</v>
      </c>
    </row>
    <row r="231">
      <c r="A231" s="9" t="str">
        <f t="shared" ref="A231:A235" si="268">A230</f>
        <v>PROREP (L)</v>
      </c>
      <c r="B231" s="9" t="str">
        <f>IF(ISBLANK(A230),"",LEFT(B230,27)&amp;VALUE(RIGHT(B230,1)+1))</f>
        <v>JKL240702PROREP_20C_sample_2</v>
      </c>
      <c r="C231" s="6" t="str">
        <f t="shared" ref="C231:D231" si="267">C230</f>
        <v>Protea repens</v>
      </c>
      <c r="D231" s="6" t="str">
        <f t="shared" si="267"/>
        <v>20C</v>
      </c>
      <c r="E231" s="10">
        <f>IF(ISBLANK(A230),"",E230+1)</f>
        <v>2</v>
      </c>
      <c r="F231" s="11">
        <f t="shared" ref="F231:F235" si="270">F230</f>
        <v>45478.09236</v>
      </c>
      <c r="G231" s="8">
        <v>0.438</v>
      </c>
    </row>
    <row r="232">
      <c r="A232" s="9" t="str">
        <f t="shared" si="268"/>
        <v>PROREP (L)</v>
      </c>
      <c r="B232" s="9" t="str">
        <f>IF(ISBLANK(A230),"",LEFT(B231,27)&amp;VALUE(RIGHT(B231,1)+1))</f>
        <v>JKL240702PROREP_20C_sample_3</v>
      </c>
      <c r="C232" s="6" t="str">
        <f t="shared" ref="C232:D232" si="269">C231</f>
        <v>Protea repens</v>
      </c>
      <c r="D232" s="6" t="str">
        <f t="shared" si="269"/>
        <v>20C</v>
      </c>
      <c r="E232" s="10">
        <f>IF(ISBLANK(A230),"",E231+1)</f>
        <v>3</v>
      </c>
      <c r="F232" s="11">
        <f t="shared" si="270"/>
        <v>45478.09236</v>
      </c>
      <c r="G232" s="8">
        <v>0.669</v>
      </c>
    </row>
    <row r="233">
      <c r="A233" s="9" t="str">
        <f t="shared" si="268"/>
        <v>PROREP (L)</v>
      </c>
      <c r="B233" s="9" t="str">
        <f>IF(ISBLANK(A230),"",LEFT(B232,27)&amp;VALUE(RIGHT(B232,1)+1))</f>
        <v>JKL240702PROREP_20C_sample_4</v>
      </c>
      <c r="C233" s="6" t="str">
        <f t="shared" ref="C233:D233" si="271">C232</f>
        <v>Protea repens</v>
      </c>
      <c r="D233" s="6" t="str">
        <f t="shared" si="271"/>
        <v>20C</v>
      </c>
      <c r="E233" s="10">
        <f>IF(ISBLANK(A230),"",E232+1)</f>
        <v>4</v>
      </c>
      <c r="F233" s="11">
        <f t="shared" si="270"/>
        <v>45478.09236</v>
      </c>
      <c r="G233" s="8">
        <v>0.352</v>
      </c>
    </row>
    <row r="234">
      <c r="A234" s="9" t="str">
        <f t="shared" si="268"/>
        <v>PROREP (L)</v>
      </c>
      <c r="B234" s="9" t="str">
        <f>IF(ISBLANK(A230),"",LEFT(B233,27)&amp;VALUE(RIGHT(B233,1)+1))</f>
        <v>JKL240702PROREP_20C_sample_5</v>
      </c>
      <c r="C234" s="6" t="str">
        <f t="shared" ref="C234:D234" si="272">C233</f>
        <v>Protea repens</v>
      </c>
      <c r="D234" s="6" t="str">
        <f t="shared" si="272"/>
        <v>20C</v>
      </c>
      <c r="E234" s="10">
        <f>IF(ISBLANK(A230),"",E233+1)</f>
        <v>5</v>
      </c>
      <c r="F234" s="11">
        <f t="shared" si="270"/>
        <v>45478.09236</v>
      </c>
      <c r="G234" s="8">
        <v>0.497</v>
      </c>
    </row>
    <row r="235">
      <c r="A235" s="12" t="str">
        <f t="shared" si="268"/>
        <v>PROREP (L)</v>
      </c>
      <c r="B235" s="12" t="str">
        <f>IF(ISBLANK(A230),"",LEFT(B234,27)&amp;VALUE(RIGHT(B234,1)+1))</f>
        <v>JKL240702PROREP_20C_sample_6</v>
      </c>
      <c r="C235" s="13" t="str">
        <f t="shared" ref="C235:D235" si="273">C234</f>
        <v>Protea repens</v>
      </c>
      <c r="D235" s="13" t="str">
        <f t="shared" si="273"/>
        <v>20C</v>
      </c>
      <c r="E235" s="14">
        <f>IF(ISBLANK(A230),"",E234+1)</f>
        <v>6</v>
      </c>
      <c r="F235" s="15">
        <f t="shared" si="270"/>
        <v>45478.09236</v>
      </c>
      <c r="G235" s="16">
        <v>0.417</v>
      </c>
    </row>
    <row r="236">
      <c r="A236" s="5" t="s">
        <v>9</v>
      </c>
      <c r="B236" s="6" t="str">
        <f t="array" ref="B236">IF(ISBLANK(A236),"",IF(A236="PROREP (L)",VLOOKUP(LEFT($A236,6),'Data Feed (20C)'!$A$1:$G$10,2,FALSE),IF(A236="PROREP (S)", INDEX('Data Feed (20C)'!B:B, MATCH(LEFT($A236,6), 'Data Feed (20C)'!$A$1:$A$10, 0) + 1), VLOOKUP($A236,'Data Feed (20C)'!$A$1:$G$10,2,FALSE))))</f>
        <v>JKS240702PROREP_20C_sample_1</v>
      </c>
      <c r="C236" s="6" t="str">
        <f t="array" ref="C236">IF(ISBLANK(A236),"",IF(A236="PROREP (L)",VLOOKUP(LEFT($A236,6),'Data Feed (20C)'!$A$1:$G$10,3,FALSE),IF(A236="PROREP (S)", INDEX('Data Feed (20C)'!C:C, MATCH(LEFT($A236,6), 'Data Feed (20C)'!$A$1:$A$10, 0) + 1, +1), VLOOKUP($A236,'Data Feed (20C)'!$A$1:$G$10,3,FALSE))))</f>
        <v>Protea repens</v>
      </c>
      <c r="D236" s="6" t="str">
        <f t="array" ref="D236">IF(ISBLANK(A236),"",IF(A236="PROREP (L)",VLOOKUP(LEFT($A236,6),'Data Feed (20C)'!$A$1:$G$10,4,FALSE),IF(A236="PROREP (S)", INDEX('Data Feed (20C)'!D:D, MATCH(LEFT($A236,6), 'Data Feed (20C)'!$A$1:$A$10, 0) + 1, +1), VLOOKUP($A236,'Data Feed (20C)'!$A$1:$G$10,4,FALSE))))</f>
        <v>20C</v>
      </c>
      <c r="E236" s="6">
        <f t="array" ref="E236">IF(ISBLANK(A236),"",IF(A236="PROREP (L)",VLOOKUP(LEFT($A236,6),'Data Feed (20C)'!$A$1:$G$10,7,FALSE),IF(A236="PROREP (S)", INDEX('Data Feed (20C)'!G:G, MATCH(LEFT($A236,6), 'Data Feed (20C)'!$A$1:$A$10, 0) + 1, +1), VLOOKUP($A236,'Data Feed (20C)'!$A$1:$G$10,7,FALSE))))</f>
        <v>1</v>
      </c>
      <c r="F236" s="7">
        <v>45478.09375</v>
      </c>
      <c r="G236" s="8">
        <v>3.4</v>
      </c>
    </row>
    <row r="237">
      <c r="A237" s="9" t="str">
        <f t="shared" ref="A237:A241" si="275">A236</f>
        <v>PROREP (S)</v>
      </c>
      <c r="B237" s="9" t="str">
        <f>IF(ISBLANK(A236),"",LEFT(B236,27)&amp;VALUE(RIGHT(B236,1)+1))</f>
        <v>JKS240702PROREP_20C_sample_2</v>
      </c>
      <c r="C237" s="6" t="str">
        <f t="shared" ref="C237:D237" si="274">C236</f>
        <v>Protea repens</v>
      </c>
      <c r="D237" s="6" t="str">
        <f t="shared" si="274"/>
        <v>20C</v>
      </c>
      <c r="E237" s="10">
        <f>IF(ISBLANK(A236),"",E236+1)</f>
        <v>2</v>
      </c>
      <c r="F237" s="11">
        <f t="shared" ref="F237:F241" si="277">F236</f>
        <v>45478.09375</v>
      </c>
      <c r="G237" s="8">
        <v>12.63</v>
      </c>
    </row>
    <row r="238">
      <c r="A238" s="9" t="str">
        <f t="shared" si="275"/>
        <v>PROREP (S)</v>
      </c>
      <c r="B238" s="9" t="str">
        <f>IF(ISBLANK(A236),"",LEFT(B237,27)&amp;VALUE(RIGHT(B237,1)+1))</f>
        <v>JKS240702PROREP_20C_sample_3</v>
      </c>
      <c r="C238" s="6" t="str">
        <f t="shared" ref="C238:D238" si="276">C237</f>
        <v>Protea repens</v>
      </c>
      <c r="D238" s="6" t="str">
        <f t="shared" si="276"/>
        <v>20C</v>
      </c>
      <c r="E238" s="10">
        <f>IF(ISBLANK(A236),"",E237+1)</f>
        <v>3</v>
      </c>
      <c r="F238" s="11">
        <f t="shared" si="277"/>
        <v>45478.09375</v>
      </c>
      <c r="G238" s="8">
        <v>15.374</v>
      </c>
    </row>
    <row r="239">
      <c r="A239" s="9" t="str">
        <f t="shared" si="275"/>
        <v>PROREP (S)</v>
      </c>
      <c r="B239" s="9" t="str">
        <f>IF(ISBLANK(A236),"",LEFT(B238,27)&amp;VALUE(RIGHT(B238,1)+1))</f>
        <v>JKS240702PROREP_20C_sample_4</v>
      </c>
      <c r="C239" s="6" t="str">
        <f t="shared" ref="C239:D239" si="278">C238</f>
        <v>Protea repens</v>
      </c>
      <c r="D239" s="6" t="str">
        <f t="shared" si="278"/>
        <v>20C</v>
      </c>
      <c r="E239" s="10">
        <f>IF(ISBLANK(A236),"",E238+1)</f>
        <v>4</v>
      </c>
      <c r="F239" s="11">
        <f t="shared" si="277"/>
        <v>45478.09375</v>
      </c>
      <c r="G239" s="8">
        <v>7.317</v>
      </c>
    </row>
    <row r="240">
      <c r="A240" s="9" t="str">
        <f t="shared" si="275"/>
        <v>PROREP (S)</v>
      </c>
      <c r="B240" s="9" t="str">
        <f>IF(ISBLANK(A236),"",LEFT(B239,27)&amp;VALUE(RIGHT(B239,1)+1))</f>
        <v>JKS240702PROREP_20C_sample_5</v>
      </c>
      <c r="C240" s="6" t="str">
        <f t="shared" ref="C240:D240" si="279">C239</f>
        <v>Protea repens</v>
      </c>
      <c r="D240" s="6" t="str">
        <f t="shared" si="279"/>
        <v>20C</v>
      </c>
      <c r="E240" s="10">
        <f>IF(ISBLANK(A236),"",E239+1)</f>
        <v>5</v>
      </c>
      <c r="F240" s="11">
        <f t="shared" si="277"/>
        <v>45478.09375</v>
      </c>
      <c r="G240" s="8">
        <v>6.99</v>
      </c>
    </row>
    <row r="241">
      <c r="A241" s="12" t="str">
        <f t="shared" si="275"/>
        <v>PROREP (S)</v>
      </c>
      <c r="B241" s="12" t="str">
        <f>IF(ISBLANK(A236),"",LEFT(B240,27)&amp;VALUE(RIGHT(B240,1)+1))</f>
        <v>JKS240702PROREP_20C_sample_6</v>
      </c>
      <c r="C241" s="13" t="str">
        <f t="shared" ref="C241:D241" si="280">C240</f>
        <v>Protea repens</v>
      </c>
      <c r="D241" s="13" t="str">
        <f t="shared" si="280"/>
        <v>20C</v>
      </c>
      <c r="E241" s="14">
        <f>IF(ISBLANK(A236),"",E240+1)</f>
        <v>6</v>
      </c>
      <c r="F241" s="15">
        <f t="shared" si="277"/>
        <v>45478.09375</v>
      </c>
      <c r="G241" s="16">
        <v>25.827</v>
      </c>
    </row>
    <row r="242">
      <c r="A242" s="5" t="s">
        <v>10</v>
      </c>
      <c r="B242" s="6" t="str">
        <f t="array" ref="B242">IF(ISBLANK(A242),"",IF(A242="PROREP (L)",VLOOKUP(LEFT($A242,6),'Data Feed (20C)'!$A$1:$G$10,2,FALSE),IF(A242="PROREP (S)", INDEX('Data Feed (20C)'!B:B, MATCH(LEFT($A242,6), 'Data Feed (20C)'!$A$1:$A$10, 0) + 1), VLOOKUP($A242,'Data Feed (20C)'!$A$1:$G$10,2,FALSE))))</f>
        <v>JKS240702CANCON_20C_sample_1</v>
      </c>
      <c r="C242" s="6" t="str">
        <f t="array" ref="C242">IF(ISBLANK(A242),"",IF(A242="PROREP (L)",VLOOKUP(LEFT($A242,6),'Data Feed (20C)'!$A$1:$G$10,3,FALSE),IF(A242="PROREP (S)", INDEX('Data Feed (20C)'!C:C, MATCH(LEFT($A242,6), 'Data Feed (20C)'!$A$1:$A$10, 0) + 1, +1), VLOOKUP($A242,'Data Feed (20C)'!$A$1:$G$10,3,FALSE))))</f>
        <v>Cannomois congesta</v>
      </c>
      <c r="D242" s="6" t="str">
        <f t="array" ref="D242">IF(ISBLANK(A242),"",IF(A242="PROREP (L)",VLOOKUP(LEFT($A242,6),'Data Feed (20C)'!$A$1:$G$10,4,FALSE),IF(A242="PROREP (S)", INDEX('Data Feed (20C)'!D:D, MATCH(LEFT($A242,6), 'Data Feed (20C)'!$A$1:$A$10, 0) + 1, +1), VLOOKUP($A242,'Data Feed (20C)'!$A$1:$G$10,4,FALSE))))</f>
        <v>20C</v>
      </c>
      <c r="E242" s="6">
        <f t="array" ref="E242">IF(ISBLANK(A242),"",IF(A242="PROREP (L)",VLOOKUP(LEFT($A242,6),'Data Feed (20C)'!$A$1:$G$10,7,FALSE),IF(A242="PROREP (S)", INDEX('Data Feed (20C)'!G:G, MATCH(LEFT($A242,6), 'Data Feed (20C)'!$A$1:$A$10, 0) + 1, +1), VLOOKUP($A242,'Data Feed (20C)'!$A$1:$G$10,7,FALSE))))</f>
        <v>1</v>
      </c>
      <c r="F242" s="7">
        <v>45478.095138888886</v>
      </c>
      <c r="G242" s="8">
        <v>2.203</v>
      </c>
    </row>
    <row r="243">
      <c r="A243" s="9" t="str">
        <f t="shared" ref="A243:A247" si="282">A242</f>
        <v>CANCON</v>
      </c>
      <c r="B243" s="9" t="str">
        <f>IF(ISBLANK(A242),"",LEFT(B242,27)&amp;VALUE(RIGHT(B242,1)+1))</f>
        <v>JKS240702CANCON_20C_sample_2</v>
      </c>
      <c r="C243" s="6" t="str">
        <f t="shared" ref="C243:D243" si="281">C242</f>
        <v>Cannomois congesta</v>
      </c>
      <c r="D243" s="6" t="str">
        <f t="shared" si="281"/>
        <v>20C</v>
      </c>
      <c r="E243" s="10">
        <f>IF(ISBLANK(A242),"",E242+1)</f>
        <v>2</v>
      </c>
      <c r="F243" s="11">
        <f t="shared" ref="F243:F247" si="284">F242</f>
        <v>45478.09514</v>
      </c>
      <c r="G243" s="8">
        <v>2.339</v>
      </c>
    </row>
    <row r="244">
      <c r="A244" s="9" t="str">
        <f t="shared" si="282"/>
        <v>CANCON</v>
      </c>
      <c r="B244" s="9" t="str">
        <f>IF(ISBLANK(A242),"",LEFT(B243,27)&amp;VALUE(RIGHT(B243,1)+1))</f>
        <v>JKS240702CANCON_20C_sample_3</v>
      </c>
      <c r="C244" s="6" t="str">
        <f t="shared" ref="C244:D244" si="283">C243</f>
        <v>Cannomois congesta</v>
      </c>
      <c r="D244" s="6" t="str">
        <f t="shared" si="283"/>
        <v>20C</v>
      </c>
      <c r="E244" s="10">
        <f>IF(ISBLANK(A242),"",E243+1)</f>
        <v>3</v>
      </c>
      <c r="F244" s="11">
        <f t="shared" si="284"/>
        <v>45478.09514</v>
      </c>
      <c r="G244" s="8">
        <v>1.152</v>
      </c>
    </row>
    <row r="245">
      <c r="A245" s="9" t="str">
        <f t="shared" si="282"/>
        <v>CANCON</v>
      </c>
      <c r="B245" s="9" t="str">
        <f>IF(ISBLANK(A242),"",LEFT(B244,27)&amp;VALUE(RIGHT(B244,1)+1))</f>
        <v>JKS240702CANCON_20C_sample_4</v>
      </c>
      <c r="C245" s="6" t="str">
        <f t="shared" ref="C245:D245" si="285">C244</f>
        <v>Cannomois congesta</v>
      </c>
      <c r="D245" s="6" t="str">
        <f t="shared" si="285"/>
        <v>20C</v>
      </c>
      <c r="E245" s="10">
        <f>IF(ISBLANK(A242),"",E244+1)</f>
        <v>4</v>
      </c>
      <c r="F245" s="11">
        <f t="shared" si="284"/>
        <v>45478.09514</v>
      </c>
      <c r="G245" s="8">
        <v>2.063</v>
      </c>
    </row>
    <row r="246">
      <c r="A246" s="9" t="str">
        <f t="shared" si="282"/>
        <v>CANCON</v>
      </c>
      <c r="B246" s="9" t="str">
        <f>IF(ISBLANK(A242),"",LEFT(B245,27)&amp;VALUE(RIGHT(B245,1)+1))</f>
        <v>JKS240702CANCON_20C_sample_5</v>
      </c>
      <c r="C246" s="6" t="str">
        <f t="shared" ref="C246:D246" si="286">C245</f>
        <v>Cannomois congesta</v>
      </c>
      <c r="D246" s="6" t="str">
        <f t="shared" si="286"/>
        <v>20C</v>
      </c>
      <c r="E246" s="10">
        <f>IF(ISBLANK(A242),"",E245+1)</f>
        <v>5</v>
      </c>
      <c r="F246" s="11">
        <f t="shared" si="284"/>
        <v>45478.09514</v>
      </c>
      <c r="G246" s="8">
        <v>2.255</v>
      </c>
    </row>
    <row r="247">
      <c r="A247" s="12" t="str">
        <f t="shared" si="282"/>
        <v>CANCON</v>
      </c>
      <c r="B247" s="12" t="str">
        <f>IF(ISBLANK(A242),"",LEFT(B246,27)&amp;VALUE(RIGHT(B246,1)+1))</f>
        <v>JKS240702CANCON_20C_sample_6</v>
      </c>
      <c r="C247" s="13" t="str">
        <f t="shared" ref="C247:D247" si="287">C246</f>
        <v>Cannomois congesta</v>
      </c>
      <c r="D247" s="13" t="str">
        <f t="shared" si="287"/>
        <v>20C</v>
      </c>
      <c r="E247" s="14">
        <f>IF(ISBLANK(A242),"",E246+1)</f>
        <v>6</v>
      </c>
      <c r="F247" s="15">
        <f t="shared" si="284"/>
        <v>45478.09514</v>
      </c>
      <c r="G247" s="16">
        <v>1.661</v>
      </c>
    </row>
    <row r="248">
      <c r="A248" s="5" t="s">
        <v>7</v>
      </c>
      <c r="B248" s="6" t="str">
        <f t="array" ref="B248">IF(ISBLANK(A248),"",IF(A248="PROREP (L)",VLOOKUP(LEFT($A248,6),'Data Feed (20C)'!$A$1:$G$10,2,FALSE),IF(A248="PROREP (S)", INDEX('Data Feed (20C)'!B:B, MATCH(LEFT($A248,6), 'Data Feed (20C)'!$A$1:$A$10, 0) + 1), VLOOKUP($A248,'Data Feed (20C)'!$A$1:$G$10,2,FALSE))))</f>
        <v>JKS240702ERIMON_20C_sample_1</v>
      </c>
      <c r="C248" s="6" t="str">
        <f t="array" ref="C248">IF(ISBLANK(A248),"",IF(A248="PROREP (L)",VLOOKUP(LEFT($A248,6),'Data Feed (20C)'!$A$1:$G$10,3,FALSE),IF(A248="PROREP (S)", INDEX('Data Feed (20C)'!C:C, MATCH(LEFT($A248,6), 'Data Feed (20C)'!$A$1:$A$10, 0) + 1, +1), VLOOKUP($A248,'Data Feed (20C)'!$A$1:$G$10,3,FALSE))))</f>
        <v>Erica monsoniana</v>
      </c>
      <c r="D248" s="6" t="str">
        <f t="array" ref="D248">IF(ISBLANK(A248),"",IF(A248="PROREP (L)",VLOOKUP(LEFT($A248,6),'Data Feed (20C)'!$A$1:$G$10,4,FALSE),IF(A248="PROREP (S)", INDEX('Data Feed (20C)'!D:D, MATCH(LEFT($A248,6), 'Data Feed (20C)'!$A$1:$A$10, 0) + 1, +1), VLOOKUP($A248,'Data Feed (20C)'!$A$1:$G$10,4,FALSE))))</f>
        <v>20C</v>
      </c>
      <c r="E248" s="6">
        <f t="array" ref="E248">IF(ISBLANK(A248),"",IF(A248="PROREP (L)",VLOOKUP(LEFT($A248,6),'Data Feed (20C)'!$A$1:$G$10,7,FALSE),IF(A248="PROREP (S)", INDEX('Data Feed (20C)'!G:G, MATCH(LEFT($A248,6), 'Data Feed (20C)'!$A$1:$A$10, 0) + 1, +1), VLOOKUP($A248,'Data Feed (20C)'!$A$1:$G$10,7,FALSE))))</f>
        <v>1</v>
      </c>
      <c r="F248" s="7">
        <v>45478.214583333334</v>
      </c>
      <c r="G248" s="8">
        <v>2.557</v>
      </c>
    </row>
    <row r="249">
      <c r="A249" s="9" t="str">
        <f t="shared" ref="A249:A253" si="289">A248</f>
        <v>ERIMON</v>
      </c>
      <c r="B249" s="9" t="str">
        <f>IF(ISBLANK(A248),"",LEFT(B248,27)&amp;VALUE(RIGHT(B248,1)+1))</f>
        <v>JKS240702ERIMON_20C_sample_2</v>
      </c>
      <c r="C249" s="6" t="str">
        <f t="shared" ref="C249:D249" si="288">C248</f>
        <v>Erica monsoniana</v>
      </c>
      <c r="D249" s="6" t="str">
        <f t="shared" si="288"/>
        <v>20C</v>
      </c>
      <c r="E249" s="10">
        <f>IF(ISBLANK(A248),"",E248+1)</f>
        <v>2</v>
      </c>
      <c r="F249" s="11">
        <f t="shared" ref="F249:F253" si="291">F248</f>
        <v>45478.21458</v>
      </c>
      <c r="G249" s="8">
        <v>2.164</v>
      </c>
    </row>
    <row r="250">
      <c r="A250" s="9" t="str">
        <f t="shared" si="289"/>
        <v>ERIMON</v>
      </c>
      <c r="B250" s="9" t="str">
        <f>IF(ISBLANK(A248),"",LEFT(B249,27)&amp;VALUE(RIGHT(B249,1)+1))</f>
        <v>JKS240702ERIMON_20C_sample_3</v>
      </c>
      <c r="C250" s="6" t="str">
        <f t="shared" ref="C250:D250" si="290">C249</f>
        <v>Erica monsoniana</v>
      </c>
      <c r="D250" s="6" t="str">
        <f t="shared" si="290"/>
        <v>20C</v>
      </c>
      <c r="E250" s="10">
        <f>IF(ISBLANK(A248),"",E249+1)</f>
        <v>3</v>
      </c>
      <c r="F250" s="11">
        <f t="shared" si="291"/>
        <v>45478.21458</v>
      </c>
      <c r="G250" s="8">
        <v>2.025</v>
      </c>
    </row>
    <row r="251">
      <c r="A251" s="9" t="str">
        <f t="shared" si="289"/>
        <v>ERIMON</v>
      </c>
      <c r="B251" s="9" t="str">
        <f>IF(ISBLANK(A248),"",LEFT(B250,27)&amp;VALUE(RIGHT(B250,1)+1))</f>
        <v>JKS240702ERIMON_20C_sample_4</v>
      </c>
      <c r="C251" s="6" t="str">
        <f t="shared" ref="C251:D251" si="292">C250</f>
        <v>Erica monsoniana</v>
      </c>
      <c r="D251" s="6" t="str">
        <f t="shared" si="292"/>
        <v>20C</v>
      </c>
      <c r="E251" s="10">
        <f>IF(ISBLANK(A248),"",E250+1)</f>
        <v>4</v>
      </c>
      <c r="F251" s="11">
        <f t="shared" si="291"/>
        <v>45478.21458</v>
      </c>
      <c r="G251" s="8">
        <v>1.301</v>
      </c>
    </row>
    <row r="252">
      <c r="A252" s="9" t="str">
        <f t="shared" si="289"/>
        <v>ERIMON</v>
      </c>
      <c r="B252" s="9" t="str">
        <f>IF(ISBLANK(A248),"",LEFT(B251,27)&amp;VALUE(RIGHT(B251,1)+1))</f>
        <v>JKS240702ERIMON_20C_sample_5</v>
      </c>
      <c r="C252" s="6" t="str">
        <f t="shared" ref="C252:D252" si="293">C251</f>
        <v>Erica monsoniana</v>
      </c>
      <c r="D252" s="6" t="str">
        <f t="shared" si="293"/>
        <v>20C</v>
      </c>
      <c r="E252" s="10">
        <f>IF(ISBLANK(A248),"",E251+1)</f>
        <v>5</v>
      </c>
      <c r="F252" s="11">
        <f t="shared" si="291"/>
        <v>45478.21458</v>
      </c>
      <c r="G252" s="8">
        <v>1.785</v>
      </c>
    </row>
    <row r="253">
      <c r="A253" s="12" t="str">
        <f t="shared" si="289"/>
        <v>ERIMON</v>
      </c>
      <c r="B253" s="12" t="str">
        <f>IF(ISBLANK(A248),"",LEFT(B252,27)&amp;VALUE(RIGHT(B252,1)+1))</f>
        <v>JKS240702ERIMON_20C_sample_6</v>
      </c>
      <c r="C253" s="13" t="str">
        <f t="shared" ref="C253:D253" si="294">C252</f>
        <v>Erica monsoniana</v>
      </c>
      <c r="D253" s="13" t="str">
        <f t="shared" si="294"/>
        <v>20C</v>
      </c>
      <c r="E253" s="14">
        <f>IF(ISBLANK(A248),"",E252+1)</f>
        <v>6</v>
      </c>
      <c r="F253" s="15">
        <f t="shared" si="291"/>
        <v>45478.21458</v>
      </c>
      <c r="G253" s="16">
        <v>0.853</v>
      </c>
    </row>
    <row r="254">
      <c r="A254" s="5" t="s">
        <v>8</v>
      </c>
      <c r="B254" s="6" t="str">
        <f t="array" ref="B254">IF(ISBLANK(A254),"",IF(A254="PROREP (L)",VLOOKUP(LEFT($A254,6),'Data Feed (20C)'!$A$1:$G$10,2,FALSE),IF(A254="PROREP (S)", INDEX('Data Feed (20C)'!B:B, MATCH(LEFT($A254,6), 'Data Feed (20C)'!$A$1:$A$10, 0) + 1), VLOOKUP($A254,'Data Feed (20C)'!$A$1:$G$10,2,FALSE))))</f>
        <v>JKL240702PROREP_20C_sample_1</v>
      </c>
      <c r="C254" s="6" t="str">
        <f t="array" ref="C254">IF(ISBLANK(A254),"",IF(A254="PROREP (L)",VLOOKUP(LEFT($A254,6),'Data Feed (20C)'!$A$1:$G$10,3,FALSE),IF(A254="PROREP (S)", INDEX('Data Feed (20C)'!C:C, MATCH(LEFT($A254,6), 'Data Feed (20C)'!$A$1:$A$10, 0) + 1, +1), VLOOKUP($A254,'Data Feed (20C)'!$A$1:$G$10,3,FALSE))))</f>
        <v>Protea repens</v>
      </c>
      <c r="D254" s="6" t="str">
        <f t="array" ref="D254">IF(ISBLANK(A254),"",IF(A254="PROREP (L)",VLOOKUP(LEFT($A254,6),'Data Feed (20C)'!$A$1:$G$10,4,FALSE),IF(A254="PROREP (S)", INDEX('Data Feed (20C)'!D:D, MATCH(LEFT($A254,6), 'Data Feed (20C)'!$A$1:$A$10, 0) + 1, +1), VLOOKUP($A254,'Data Feed (20C)'!$A$1:$G$10,4,FALSE))))</f>
        <v>20C</v>
      </c>
      <c r="E254" s="6">
        <f t="array" ref="E254">IF(ISBLANK(A254),"",IF(A254="PROREP (L)",VLOOKUP(LEFT($A254,6),'Data Feed (20C)'!$A$1:$G$10,7,FALSE),IF(A254="PROREP (S)", INDEX('Data Feed (20C)'!G:G, MATCH(LEFT($A254,6), 'Data Feed (20C)'!$A$1:$A$10, 0) + 1, +1), VLOOKUP($A254,'Data Feed (20C)'!$A$1:$G$10,7,FALSE))))</f>
        <v>1</v>
      </c>
      <c r="F254" s="7">
        <v>45478.21597222222</v>
      </c>
      <c r="G254" s="8">
        <v>0.577</v>
      </c>
    </row>
    <row r="255">
      <c r="A255" s="9" t="str">
        <f t="shared" ref="A255:A259" si="296">A254</f>
        <v>PROREP (L)</v>
      </c>
      <c r="B255" s="9" t="str">
        <f>IF(ISBLANK(A254),"",LEFT(B254,27)&amp;VALUE(RIGHT(B254,1)+1))</f>
        <v>JKL240702PROREP_20C_sample_2</v>
      </c>
      <c r="C255" s="6" t="str">
        <f t="shared" ref="C255:D255" si="295">C254</f>
        <v>Protea repens</v>
      </c>
      <c r="D255" s="6" t="str">
        <f t="shared" si="295"/>
        <v>20C</v>
      </c>
      <c r="E255" s="10">
        <f>IF(ISBLANK(A254),"",E254+1)</f>
        <v>2</v>
      </c>
      <c r="F255" s="11">
        <f t="shared" ref="F255:F259" si="298">F254</f>
        <v>45478.21597</v>
      </c>
      <c r="G255" s="8">
        <v>0.44</v>
      </c>
    </row>
    <row r="256">
      <c r="A256" s="9" t="str">
        <f t="shared" si="296"/>
        <v>PROREP (L)</v>
      </c>
      <c r="B256" s="9" t="str">
        <f>IF(ISBLANK(A254),"",LEFT(B255,27)&amp;VALUE(RIGHT(B255,1)+1))</f>
        <v>JKL240702PROREP_20C_sample_3</v>
      </c>
      <c r="C256" s="6" t="str">
        <f t="shared" ref="C256:D256" si="297">C255</f>
        <v>Protea repens</v>
      </c>
      <c r="D256" s="6" t="str">
        <f t="shared" si="297"/>
        <v>20C</v>
      </c>
      <c r="E256" s="10">
        <f>IF(ISBLANK(A254),"",E255+1)</f>
        <v>3</v>
      </c>
      <c r="F256" s="11">
        <f t="shared" si="298"/>
        <v>45478.21597</v>
      </c>
      <c r="G256" s="8">
        <v>0.66</v>
      </c>
    </row>
    <row r="257">
      <c r="A257" s="9" t="str">
        <f t="shared" si="296"/>
        <v>PROREP (L)</v>
      </c>
      <c r="B257" s="9" t="str">
        <f>IF(ISBLANK(A254),"",LEFT(B256,27)&amp;VALUE(RIGHT(B256,1)+1))</f>
        <v>JKL240702PROREP_20C_sample_4</v>
      </c>
      <c r="C257" s="6" t="str">
        <f t="shared" ref="C257:D257" si="299">C256</f>
        <v>Protea repens</v>
      </c>
      <c r="D257" s="6" t="str">
        <f t="shared" si="299"/>
        <v>20C</v>
      </c>
      <c r="E257" s="10">
        <f>IF(ISBLANK(A254),"",E256+1)</f>
        <v>4</v>
      </c>
      <c r="F257" s="11">
        <f t="shared" si="298"/>
        <v>45478.21597</v>
      </c>
      <c r="G257" s="8">
        <v>0.349</v>
      </c>
    </row>
    <row r="258">
      <c r="A258" s="9" t="str">
        <f t="shared" si="296"/>
        <v>PROREP (L)</v>
      </c>
      <c r="B258" s="9" t="str">
        <f>IF(ISBLANK(A254),"",LEFT(B257,27)&amp;VALUE(RIGHT(B257,1)+1))</f>
        <v>JKL240702PROREP_20C_sample_5</v>
      </c>
      <c r="C258" s="6" t="str">
        <f t="shared" ref="C258:D258" si="300">C257</f>
        <v>Protea repens</v>
      </c>
      <c r="D258" s="6" t="str">
        <f t="shared" si="300"/>
        <v>20C</v>
      </c>
      <c r="E258" s="10">
        <f>IF(ISBLANK(A254),"",E257+1)</f>
        <v>5</v>
      </c>
      <c r="F258" s="11">
        <f t="shared" si="298"/>
        <v>45478.21597</v>
      </c>
      <c r="G258" s="8">
        <v>0.488</v>
      </c>
    </row>
    <row r="259">
      <c r="A259" s="12" t="str">
        <f t="shared" si="296"/>
        <v>PROREP (L)</v>
      </c>
      <c r="B259" s="12" t="str">
        <f>IF(ISBLANK(A254),"",LEFT(B258,27)&amp;VALUE(RIGHT(B258,1)+1))</f>
        <v>JKL240702PROREP_20C_sample_6</v>
      </c>
      <c r="C259" s="13" t="str">
        <f t="shared" ref="C259:D259" si="301">C258</f>
        <v>Protea repens</v>
      </c>
      <c r="D259" s="13" t="str">
        <f t="shared" si="301"/>
        <v>20C</v>
      </c>
      <c r="E259" s="14">
        <f>IF(ISBLANK(A254),"",E258+1)</f>
        <v>6</v>
      </c>
      <c r="F259" s="15">
        <f t="shared" si="298"/>
        <v>45478.21597</v>
      </c>
      <c r="G259" s="16">
        <v>0.412</v>
      </c>
    </row>
    <row r="260">
      <c r="A260" s="5" t="s">
        <v>9</v>
      </c>
      <c r="B260" s="6" t="str">
        <f t="array" ref="B260">IF(ISBLANK(A260),"",IF(A260="PROREP (L)",VLOOKUP(LEFT($A260,6),'Data Feed (20C)'!$A$1:$G$10,2,FALSE),IF(A260="PROREP (S)", INDEX('Data Feed (20C)'!B:B, MATCH(LEFT($A260,6), 'Data Feed (20C)'!$A$1:$A$10, 0) + 1), VLOOKUP($A260,'Data Feed (20C)'!$A$1:$G$10,2,FALSE))))</f>
        <v>JKS240702PROREP_20C_sample_1</v>
      </c>
      <c r="C260" s="6" t="str">
        <f t="array" ref="C260">IF(ISBLANK(A260),"",IF(A260="PROREP (L)",VLOOKUP(LEFT($A260,6),'Data Feed (20C)'!$A$1:$G$10,3,FALSE),IF(A260="PROREP (S)", INDEX('Data Feed (20C)'!C:C, MATCH(LEFT($A260,6), 'Data Feed (20C)'!$A$1:$A$10, 0) + 1, +1), VLOOKUP($A260,'Data Feed (20C)'!$A$1:$G$10,3,FALSE))))</f>
        <v>Protea repens</v>
      </c>
      <c r="D260" s="6" t="str">
        <f t="array" ref="D260">IF(ISBLANK(A260),"",IF(A260="PROREP (L)",VLOOKUP(LEFT($A260,6),'Data Feed (20C)'!$A$1:$G$10,4,FALSE),IF(A260="PROREP (S)", INDEX('Data Feed (20C)'!D:D, MATCH(LEFT($A260,6), 'Data Feed (20C)'!$A$1:$A$10, 0) + 1, +1), VLOOKUP($A260,'Data Feed (20C)'!$A$1:$G$10,4,FALSE))))</f>
        <v>20C</v>
      </c>
      <c r="E260" s="6">
        <f t="array" ref="E260">IF(ISBLANK(A260),"",IF(A260="PROREP (L)",VLOOKUP(LEFT($A260,6),'Data Feed (20C)'!$A$1:$G$10,7,FALSE),IF(A260="PROREP (S)", INDEX('Data Feed (20C)'!G:G, MATCH(LEFT($A260,6), 'Data Feed (20C)'!$A$1:$A$10, 0) + 1, +1), VLOOKUP($A260,'Data Feed (20C)'!$A$1:$G$10,7,FALSE))))</f>
        <v>1</v>
      </c>
      <c r="F260" s="7">
        <v>45478.217361111114</v>
      </c>
      <c r="G260" s="8">
        <v>3.377</v>
      </c>
    </row>
    <row r="261">
      <c r="A261" s="9" t="str">
        <f t="shared" ref="A261:A265" si="303">A260</f>
        <v>PROREP (S)</v>
      </c>
      <c r="B261" s="9" t="str">
        <f>IF(ISBLANK(A260),"",LEFT(B260,27)&amp;VALUE(RIGHT(B260,1)+1))</f>
        <v>JKS240702PROREP_20C_sample_2</v>
      </c>
      <c r="C261" s="6" t="str">
        <f t="shared" ref="C261:D261" si="302">C260</f>
        <v>Protea repens</v>
      </c>
      <c r="D261" s="6" t="str">
        <f t="shared" si="302"/>
        <v>20C</v>
      </c>
      <c r="E261" s="10">
        <f>IF(ISBLANK(A260),"",E260+1)</f>
        <v>2</v>
      </c>
      <c r="F261" s="11">
        <f t="shared" ref="F261:F265" si="305">F260</f>
        <v>45478.21736</v>
      </c>
      <c r="G261" s="8">
        <v>12.542</v>
      </c>
    </row>
    <row r="262">
      <c r="A262" s="9" t="str">
        <f t="shared" si="303"/>
        <v>PROREP (S)</v>
      </c>
      <c r="B262" s="9" t="str">
        <f>IF(ISBLANK(A260),"",LEFT(B261,27)&amp;VALUE(RIGHT(B261,1)+1))</f>
        <v>JKS240702PROREP_20C_sample_3</v>
      </c>
      <c r="C262" s="6" t="str">
        <f t="shared" ref="C262:D262" si="304">C261</f>
        <v>Protea repens</v>
      </c>
      <c r="D262" s="6" t="str">
        <f t="shared" si="304"/>
        <v>20C</v>
      </c>
      <c r="E262" s="10">
        <f>IF(ISBLANK(A260),"",E261+1)</f>
        <v>3</v>
      </c>
      <c r="F262" s="11">
        <f t="shared" si="305"/>
        <v>45478.21736</v>
      </c>
      <c r="G262" s="8">
        <v>14.742</v>
      </c>
    </row>
    <row r="263">
      <c r="A263" s="9" t="str">
        <f t="shared" si="303"/>
        <v>PROREP (S)</v>
      </c>
      <c r="B263" s="9" t="str">
        <f>IF(ISBLANK(A260),"",LEFT(B262,27)&amp;VALUE(RIGHT(B262,1)+1))</f>
        <v>JKS240702PROREP_20C_sample_4</v>
      </c>
      <c r="C263" s="6" t="str">
        <f t="shared" ref="C263:D263" si="306">C262</f>
        <v>Protea repens</v>
      </c>
      <c r="D263" s="6" t="str">
        <f t="shared" si="306"/>
        <v>20C</v>
      </c>
      <c r="E263" s="10">
        <f>IF(ISBLANK(A260),"",E262+1)</f>
        <v>4</v>
      </c>
      <c r="F263" s="11">
        <f t="shared" si="305"/>
        <v>45478.21736</v>
      </c>
      <c r="G263" s="8">
        <v>7.254</v>
      </c>
    </row>
    <row r="264">
      <c r="A264" s="9" t="str">
        <f t="shared" si="303"/>
        <v>PROREP (S)</v>
      </c>
      <c r="B264" s="9" t="str">
        <f>IF(ISBLANK(A260),"",LEFT(B263,27)&amp;VALUE(RIGHT(B263,1)+1))</f>
        <v>JKS240702PROREP_20C_sample_5</v>
      </c>
      <c r="C264" s="6" t="str">
        <f t="shared" ref="C264:D264" si="307">C263</f>
        <v>Protea repens</v>
      </c>
      <c r="D264" s="6" t="str">
        <f t="shared" si="307"/>
        <v>20C</v>
      </c>
      <c r="E264" s="10">
        <f>IF(ISBLANK(A260),"",E263+1)</f>
        <v>5</v>
      </c>
      <c r="F264" s="11">
        <f t="shared" si="305"/>
        <v>45478.21736</v>
      </c>
      <c r="G264" s="8">
        <v>6.924</v>
      </c>
    </row>
    <row r="265">
      <c r="A265" s="12" t="str">
        <f t="shared" si="303"/>
        <v>PROREP (S)</v>
      </c>
      <c r="B265" s="12" t="str">
        <f>IF(ISBLANK(A260),"",LEFT(B264,27)&amp;VALUE(RIGHT(B264,1)+1))</f>
        <v>JKS240702PROREP_20C_sample_6</v>
      </c>
      <c r="C265" s="13" t="str">
        <f t="shared" ref="C265:D265" si="308">C264</f>
        <v>Protea repens</v>
      </c>
      <c r="D265" s="13" t="str">
        <f t="shared" si="308"/>
        <v>20C</v>
      </c>
      <c r="E265" s="14">
        <f>IF(ISBLANK(A260),"",E264+1)</f>
        <v>6</v>
      </c>
      <c r="F265" s="15">
        <f t="shared" si="305"/>
        <v>45478.21736</v>
      </c>
      <c r="G265" s="16">
        <v>25.555</v>
      </c>
    </row>
    <row r="266">
      <c r="A266" s="5" t="s">
        <v>10</v>
      </c>
      <c r="B266" s="6" t="str">
        <f t="array" ref="B266">IF(ISBLANK(A266),"",IF(A266="PROREP (L)",VLOOKUP(LEFT($A266,6),'Data Feed (20C)'!$A$1:$G$10,2,FALSE),IF(A266="PROREP (S)", INDEX('Data Feed (20C)'!B:B, MATCH(LEFT($A266,6), 'Data Feed (20C)'!$A$1:$A$10, 0) + 1), VLOOKUP($A266,'Data Feed (20C)'!$A$1:$G$10,2,FALSE))))</f>
        <v>JKS240702CANCON_20C_sample_1</v>
      </c>
      <c r="C266" s="6" t="str">
        <f t="array" ref="C266">IF(ISBLANK(A266),"",IF(A266="PROREP (L)",VLOOKUP(LEFT($A266,6),'Data Feed (20C)'!$A$1:$G$10,3,FALSE),IF(A266="PROREP (S)", INDEX('Data Feed (20C)'!C:C, MATCH(LEFT($A266,6), 'Data Feed (20C)'!$A$1:$A$10, 0) + 1, +1), VLOOKUP($A266,'Data Feed (20C)'!$A$1:$G$10,3,FALSE))))</f>
        <v>Cannomois congesta</v>
      </c>
      <c r="D266" s="6" t="str">
        <f t="array" ref="D266">IF(ISBLANK(A266),"",IF(A266="PROREP (L)",VLOOKUP(LEFT($A266,6),'Data Feed (20C)'!$A$1:$G$10,4,FALSE),IF(A266="PROREP (S)", INDEX('Data Feed (20C)'!D:D, MATCH(LEFT($A266,6), 'Data Feed (20C)'!$A$1:$A$10, 0) + 1, +1), VLOOKUP($A266,'Data Feed (20C)'!$A$1:$G$10,4,FALSE))))</f>
        <v>20C</v>
      </c>
      <c r="E266" s="6">
        <f t="array" ref="E266">IF(ISBLANK(A266),"",IF(A266="PROREP (L)",VLOOKUP(LEFT($A266,6),'Data Feed (20C)'!$A$1:$G$10,7,FALSE),IF(A266="PROREP (S)", INDEX('Data Feed (20C)'!G:G, MATCH(LEFT($A266,6), 'Data Feed (20C)'!$A$1:$A$10, 0) + 1, +1), VLOOKUP($A266,'Data Feed (20C)'!$A$1:$G$10,7,FALSE))))</f>
        <v>1</v>
      </c>
      <c r="F266" s="7">
        <v>45478.21875</v>
      </c>
      <c r="G266" s="8">
        <v>2.137</v>
      </c>
    </row>
    <row r="267">
      <c r="A267" s="9" t="str">
        <f t="shared" ref="A267:A271" si="310">A266</f>
        <v>CANCON</v>
      </c>
      <c r="B267" s="9" t="str">
        <f>IF(ISBLANK(A266),"",LEFT(B266,27)&amp;VALUE(RIGHT(B266,1)+1))</f>
        <v>JKS240702CANCON_20C_sample_2</v>
      </c>
      <c r="C267" s="6" t="str">
        <f t="shared" ref="C267:D267" si="309">C266</f>
        <v>Cannomois congesta</v>
      </c>
      <c r="D267" s="6" t="str">
        <f t="shared" si="309"/>
        <v>20C</v>
      </c>
      <c r="E267" s="10">
        <f>IF(ISBLANK(A266),"",E266+1)</f>
        <v>2</v>
      </c>
      <c r="F267" s="11">
        <f t="shared" ref="F267:F271" si="312">F266</f>
        <v>45478.21875</v>
      </c>
      <c r="G267" s="8">
        <v>2.292</v>
      </c>
    </row>
    <row r="268">
      <c r="A268" s="9" t="str">
        <f t="shared" si="310"/>
        <v>CANCON</v>
      </c>
      <c r="B268" s="9" t="str">
        <f>IF(ISBLANK(A266),"",LEFT(B267,27)&amp;VALUE(RIGHT(B267,1)+1))</f>
        <v>JKS240702CANCON_20C_sample_3</v>
      </c>
      <c r="C268" s="6" t="str">
        <f t="shared" ref="C268:D268" si="311">C267</f>
        <v>Cannomois congesta</v>
      </c>
      <c r="D268" s="6" t="str">
        <f t="shared" si="311"/>
        <v>20C</v>
      </c>
      <c r="E268" s="10">
        <f>IF(ISBLANK(A266),"",E267+1)</f>
        <v>3</v>
      </c>
      <c r="F268" s="11">
        <f t="shared" si="312"/>
        <v>45478.21875</v>
      </c>
      <c r="G268" s="8">
        <v>1.127</v>
      </c>
    </row>
    <row r="269">
      <c r="A269" s="9" t="str">
        <f t="shared" si="310"/>
        <v>CANCON</v>
      </c>
      <c r="B269" s="9" t="str">
        <f>IF(ISBLANK(A266),"",LEFT(B268,27)&amp;VALUE(RIGHT(B268,1)+1))</f>
        <v>JKS240702CANCON_20C_sample_4</v>
      </c>
      <c r="C269" s="6" t="str">
        <f t="shared" ref="C269:D269" si="313">C268</f>
        <v>Cannomois congesta</v>
      </c>
      <c r="D269" s="6" t="str">
        <f t="shared" si="313"/>
        <v>20C</v>
      </c>
      <c r="E269" s="10">
        <f>IF(ISBLANK(A266),"",E268+1)</f>
        <v>4</v>
      </c>
      <c r="F269" s="11">
        <f t="shared" si="312"/>
        <v>45478.21875</v>
      </c>
      <c r="G269" s="8">
        <v>2.018</v>
      </c>
    </row>
    <row r="270">
      <c r="A270" s="9" t="str">
        <f t="shared" si="310"/>
        <v>CANCON</v>
      </c>
      <c r="B270" s="9" t="str">
        <f>IF(ISBLANK(A266),"",LEFT(B269,27)&amp;VALUE(RIGHT(B269,1)+1))</f>
        <v>JKS240702CANCON_20C_sample_5</v>
      </c>
      <c r="C270" s="6" t="str">
        <f t="shared" ref="C270:D270" si="314">C269</f>
        <v>Cannomois congesta</v>
      </c>
      <c r="D270" s="6" t="str">
        <f t="shared" si="314"/>
        <v>20C</v>
      </c>
      <c r="E270" s="10">
        <f>IF(ISBLANK(A266),"",E269+1)</f>
        <v>5</v>
      </c>
      <c r="F270" s="11">
        <f t="shared" si="312"/>
        <v>45478.21875</v>
      </c>
      <c r="G270" s="8">
        <v>2.201</v>
      </c>
    </row>
    <row r="271">
      <c r="A271" s="12" t="str">
        <f t="shared" si="310"/>
        <v>CANCON</v>
      </c>
      <c r="B271" s="12" t="str">
        <f>IF(ISBLANK(A266),"",LEFT(B270,27)&amp;VALUE(RIGHT(B270,1)+1))</f>
        <v>JKS240702CANCON_20C_sample_6</v>
      </c>
      <c r="C271" s="13" t="str">
        <f t="shared" ref="C271:D271" si="315">C270</f>
        <v>Cannomois congesta</v>
      </c>
      <c r="D271" s="13" t="str">
        <f t="shared" si="315"/>
        <v>20C</v>
      </c>
      <c r="E271" s="14">
        <f>IF(ISBLANK(A266),"",E270+1)</f>
        <v>6</v>
      </c>
      <c r="F271" s="15">
        <f t="shared" si="312"/>
        <v>45478.21875</v>
      </c>
      <c r="G271" s="16">
        <v>1.602</v>
      </c>
    </row>
    <row r="272">
      <c r="A272" s="5" t="s">
        <v>7</v>
      </c>
      <c r="B272" s="6" t="str">
        <f t="array" ref="B272">IF(ISBLANK(A272),"",IF(A272="PROREP (L)",VLOOKUP(LEFT($A272,6),'Data Feed (20C)'!$A$1:$G$10,2,FALSE),IF(A272="PROREP (S)", INDEX('Data Feed (20C)'!B:B, MATCH(LEFT($A272,6), 'Data Feed (20C)'!$A$1:$A$10, 0) + 1), VLOOKUP($A272,'Data Feed (20C)'!$A$1:$G$10,2,FALSE))))</f>
        <v>JKS240702ERIMON_20C_sample_1</v>
      </c>
      <c r="C272" s="6" t="str">
        <f t="array" ref="C272">IF(ISBLANK(A272),"",IF(A272="PROREP (L)",VLOOKUP(LEFT($A272,6),'Data Feed (20C)'!$A$1:$G$10,3,FALSE),IF(A272="PROREP (S)", INDEX('Data Feed (20C)'!C:C, MATCH(LEFT($A272,6), 'Data Feed (20C)'!$A$1:$A$10, 0) + 1, +1), VLOOKUP($A272,'Data Feed (20C)'!$A$1:$G$10,3,FALSE))))</f>
        <v>Erica monsoniana</v>
      </c>
      <c r="D272" s="6" t="str">
        <f t="array" ref="D272">IF(ISBLANK(A272),"",IF(A272="PROREP (L)",VLOOKUP(LEFT($A272,6),'Data Feed (20C)'!$A$1:$G$10,4,FALSE),IF(A272="PROREP (S)", INDEX('Data Feed (20C)'!D:D, MATCH(LEFT($A272,6), 'Data Feed (20C)'!$A$1:$A$10, 0) + 1, +1), VLOOKUP($A272,'Data Feed (20C)'!$A$1:$G$10,4,FALSE))))</f>
        <v>20C</v>
      </c>
      <c r="E272" s="6">
        <f t="array" ref="E272">IF(ISBLANK(A272),"",IF(A272="PROREP (L)",VLOOKUP(LEFT($A272,6),'Data Feed (20C)'!$A$1:$G$10,7,FALSE),IF(A272="PROREP (S)", INDEX('Data Feed (20C)'!G:G, MATCH(LEFT($A272,6), 'Data Feed (20C)'!$A$1:$A$10, 0) + 1, +1), VLOOKUP($A272,'Data Feed (20C)'!$A$1:$G$10,7,FALSE))))</f>
        <v>1</v>
      </c>
      <c r="F272" s="7">
        <v>45478.361805555556</v>
      </c>
      <c r="G272" s="8">
        <v>2.435</v>
      </c>
    </row>
    <row r="273">
      <c r="A273" s="9" t="str">
        <f t="shared" ref="A273:A277" si="317">A272</f>
        <v>ERIMON</v>
      </c>
      <c r="B273" s="9" t="str">
        <f>IF(ISBLANK(A272),"",LEFT(B272,27)&amp;VALUE(RIGHT(B272,1)+1))</f>
        <v>JKS240702ERIMON_20C_sample_2</v>
      </c>
      <c r="C273" s="6" t="str">
        <f t="shared" ref="C273:D273" si="316">C272</f>
        <v>Erica monsoniana</v>
      </c>
      <c r="D273" s="6" t="str">
        <f t="shared" si="316"/>
        <v>20C</v>
      </c>
      <c r="E273" s="10">
        <f>IF(ISBLANK(A272),"",E272+1)</f>
        <v>2</v>
      </c>
      <c r="F273" s="11">
        <f t="shared" ref="F273:F277" si="319">F272</f>
        <v>45478.36181</v>
      </c>
      <c r="G273" s="8">
        <v>2.07</v>
      </c>
    </row>
    <row r="274">
      <c r="A274" s="9" t="str">
        <f t="shared" si="317"/>
        <v>ERIMON</v>
      </c>
      <c r="B274" s="9" t="str">
        <f>IF(ISBLANK(A272),"",LEFT(B273,27)&amp;VALUE(RIGHT(B273,1)+1))</f>
        <v>JKS240702ERIMON_20C_sample_3</v>
      </c>
      <c r="C274" s="6" t="str">
        <f t="shared" ref="C274:D274" si="318">C273</f>
        <v>Erica monsoniana</v>
      </c>
      <c r="D274" s="6" t="str">
        <f t="shared" si="318"/>
        <v>20C</v>
      </c>
      <c r="E274" s="10">
        <f>IF(ISBLANK(A272),"",E273+1)</f>
        <v>3</v>
      </c>
      <c r="F274" s="11">
        <f t="shared" si="319"/>
        <v>45478.36181</v>
      </c>
      <c r="G274" s="8">
        <v>1.925</v>
      </c>
    </row>
    <row r="275">
      <c r="A275" s="9" t="str">
        <f t="shared" si="317"/>
        <v>ERIMON</v>
      </c>
      <c r="B275" s="9" t="str">
        <f>IF(ISBLANK(A272),"",LEFT(B274,27)&amp;VALUE(RIGHT(B274,1)+1))</f>
        <v>JKS240702ERIMON_20C_sample_4</v>
      </c>
      <c r="C275" s="6" t="str">
        <f t="shared" ref="C275:D275" si="320">C274</f>
        <v>Erica monsoniana</v>
      </c>
      <c r="D275" s="6" t="str">
        <f t="shared" si="320"/>
        <v>20C</v>
      </c>
      <c r="E275" s="10">
        <f>IF(ISBLANK(A272),"",E274+1)</f>
        <v>4</v>
      </c>
      <c r="F275" s="11">
        <f t="shared" si="319"/>
        <v>45478.36181</v>
      </c>
      <c r="G275" s="8">
        <v>1.231</v>
      </c>
    </row>
    <row r="276">
      <c r="A276" s="9" t="str">
        <f t="shared" si="317"/>
        <v>ERIMON</v>
      </c>
      <c r="B276" s="9" t="str">
        <f>IF(ISBLANK(A272),"",LEFT(B275,27)&amp;VALUE(RIGHT(B275,1)+1))</f>
        <v>JKS240702ERIMON_20C_sample_5</v>
      </c>
      <c r="C276" s="6" t="str">
        <f t="shared" ref="C276:D276" si="321">C275</f>
        <v>Erica monsoniana</v>
      </c>
      <c r="D276" s="6" t="str">
        <f t="shared" si="321"/>
        <v>20C</v>
      </c>
      <c r="E276" s="10">
        <f>IF(ISBLANK(A272),"",E275+1)</f>
        <v>5</v>
      </c>
      <c r="F276" s="11">
        <f t="shared" si="319"/>
        <v>45478.36181</v>
      </c>
      <c r="G276" s="8">
        <v>1.693</v>
      </c>
    </row>
    <row r="277">
      <c r="A277" s="12" t="str">
        <f t="shared" si="317"/>
        <v>ERIMON</v>
      </c>
      <c r="B277" s="12" t="str">
        <f>IF(ISBLANK(A272),"",LEFT(B276,27)&amp;VALUE(RIGHT(B276,1)+1))</f>
        <v>JKS240702ERIMON_20C_sample_6</v>
      </c>
      <c r="C277" s="13" t="str">
        <f t="shared" ref="C277:D277" si="322">C276</f>
        <v>Erica monsoniana</v>
      </c>
      <c r="D277" s="13" t="str">
        <f t="shared" si="322"/>
        <v>20C</v>
      </c>
      <c r="E277" s="14">
        <f>IF(ISBLANK(A272),"",E276+1)</f>
        <v>6</v>
      </c>
      <c r="F277" s="15">
        <f t="shared" si="319"/>
        <v>45478.36181</v>
      </c>
      <c r="G277" s="16">
        <v>0.812</v>
      </c>
    </row>
    <row r="278">
      <c r="A278" s="5" t="s">
        <v>8</v>
      </c>
      <c r="B278" s="6" t="str">
        <f t="array" ref="B278">IF(ISBLANK(A278),"",IF(A278="PROREP (L)",VLOOKUP(LEFT($A278,6),'Data Feed (20C)'!$A$1:$G$10,2,FALSE),IF(A278="PROREP (S)", INDEX('Data Feed (20C)'!B:B, MATCH(LEFT($A278,6), 'Data Feed (20C)'!$A$1:$A$10, 0) + 1), VLOOKUP($A278,'Data Feed (20C)'!$A$1:$G$10,2,FALSE))))</f>
        <v>JKL240702PROREP_20C_sample_1</v>
      </c>
      <c r="C278" s="6" t="str">
        <f t="array" ref="C278">IF(ISBLANK(A278),"",IF(A278="PROREP (L)",VLOOKUP(LEFT($A278,6),'Data Feed (20C)'!$A$1:$G$10,3,FALSE),IF(A278="PROREP (S)", INDEX('Data Feed (20C)'!C:C, MATCH(LEFT($A278,6), 'Data Feed (20C)'!$A$1:$A$10, 0) + 1, +1), VLOOKUP($A278,'Data Feed (20C)'!$A$1:$G$10,3,FALSE))))</f>
        <v>Protea repens</v>
      </c>
      <c r="D278" s="6" t="str">
        <f t="array" ref="D278">IF(ISBLANK(A278),"",IF(A278="PROREP (L)",VLOOKUP(LEFT($A278,6),'Data Feed (20C)'!$A$1:$G$10,4,FALSE),IF(A278="PROREP (S)", INDEX('Data Feed (20C)'!D:D, MATCH(LEFT($A278,6), 'Data Feed (20C)'!$A$1:$A$10, 0) + 1, +1), VLOOKUP($A278,'Data Feed (20C)'!$A$1:$G$10,4,FALSE))))</f>
        <v>20C</v>
      </c>
      <c r="E278" s="6">
        <f t="array" ref="E278">IF(ISBLANK(A278),"",IF(A278="PROREP (L)",VLOOKUP(LEFT($A278,6),'Data Feed (20C)'!$A$1:$G$10,7,FALSE),IF(A278="PROREP (S)", INDEX('Data Feed (20C)'!G:G, MATCH(LEFT($A278,6), 'Data Feed (20C)'!$A$1:$A$10, 0) + 1, +1), VLOOKUP($A278,'Data Feed (20C)'!$A$1:$G$10,7,FALSE))))</f>
        <v>1</v>
      </c>
      <c r="F278" s="7">
        <v>45478.36319444444</v>
      </c>
      <c r="G278" s="8">
        <v>0.569</v>
      </c>
    </row>
    <row r="279">
      <c r="A279" s="9" t="str">
        <f t="shared" ref="A279:A283" si="324">A278</f>
        <v>PROREP (L)</v>
      </c>
      <c r="B279" s="9" t="str">
        <f>IF(ISBLANK(A278),"",LEFT(B278,27)&amp;VALUE(RIGHT(B278,1)+1))</f>
        <v>JKL240702PROREP_20C_sample_2</v>
      </c>
      <c r="C279" s="6" t="str">
        <f t="shared" ref="C279:D279" si="323">C278</f>
        <v>Protea repens</v>
      </c>
      <c r="D279" s="6" t="str">
        <f t="shared" si="323"/>
        <v>20C</v>
      </c>
      <c r="E279" s="10">
        <f>IF(ISBLANK(A278),"",E278+1)</f>
        <v>2</v>
      </c>
      <c r="F279" s="11">
        <f t="shared" ref="F279:F283" si="326">F278</f>
        <v>45478.36319</v>
      </c>
      <c r="G279" s="8">
        <v>0.434</v>
      </c>
    </row>
    <row r="280">
      <c r="A280" s="9" t="str">
        <f t="shared" si="324"/>
        <v>PROREP (L)</v>
      </c>
      <c r="B280" s="9" t="str">
        <f>IF(ISBLANK(A278),"",LEFT(B279,27)&amp;VALUE(RIGHT(B279,1)+1))</f>
        <v>JKL240702PROREP_20C_sample_3</v>
      </c>
      <c r="C280" s="6" t="str">
        <f t="shared" ref="C280:D280" si="325">C279</f>
        <v>Protea repens</v>
      </c>
      <c r="D280" s="6" t="str">
        <f t="shared" si="325"/>
        <v>20C</v>
      </c>
      <c r="E280" s="10">
        <f>IF(ISBLANK(A278),"",E279+1)</f>
        <v>3</v>
      </c>
      <c r="F280" s="11">
        <f t="shared" si="326"/>
        <v>45478.36319</v>
      </c>
      <c r="G280" s="8">
        <v>0.664</v>
      </c>
    </row>
    <row r="281">
      <c r="A281" s="9" t="str">
        <f t="shared" si="324"/>
        <v>PROREP (L)</v>
      </c>
      <c r="B281" s="9" t="str">
        <f>IF(ISBLANK(A278),"",LEFT(B280,27)&amp;VALUE(RIGHT(B280,1)+1))</f>
        <v>JKL240702PROREP_20C_sample_4</v>
      </c>
      <c r="C281" s="6" t="str">
        <f t="shared" ref="C281:D281" si="327">C280</f>
        <v>Protea repens</v>
      </c>
      <c r="D281" s="6" t="str">
        <f t="shared" si="327"/>
        <v>20C</v>
      </c>
      <c r="E281" s="10">
        <f>IF(ISBLANK(A278),"",E280+1)</f>
        <v>4</v>
      </c>
      <c r="F281" s="11">
        <f t="shared" si="326"/>
        <v>45478.36319</v>
      </c>
      <c r="G281" s="8">
        <v>0.344</v>
      </c>
    </row>
    <row r="282">
      <c r="A282" s="9" t="str">
        <f t="shared" si="324"/>
        <v>PROREP (L)</v>
      </c>
      <c r="B282" s="9" t="str">
        <f>IF(ISBLANK(A278),"",LEFT(B281,27)&amp;VALUE(RIGHT(B281,1)+1))</f>
        <v>JKL240702PROREP_20C_sample_5</v>
      </c>
      <c r="C282" s="6" t="str">
        <f t="shared" ref="C282:D282" si="328">C281</f>
        <v>Protea repens</v>
      </c>
      <c r="D282" s="6" t="str">
        <f t="shared" si="328"/>
        <v>20C</v>
      </c>
      <c r="E282" s="10">
        <f>IF(ISBLANK(A278),"",E281+1)</f>
        <v>5</v>
      </c>
      <c r="F282" s="11">
        <f t="shared" si="326"/>
        <v>45478.36319</v>
      </c>
      <c r="G282" s="8">
        <v>0.481</v>
      </c>
    </row>
    <row r="283">
      <c r="A283" s="12" t="str">
        <f t="shared" si="324"/>
        <v>PROREP (L)</v>
      </c>
      <c r="B283" s="12" t="str">
        <f>IF(ISBLANK(A278),"",LEFT(B282,27)&amp;VALUE(RIGHT(B282,1)+1))</f>
        <v>JKL240702PROREP_20C_sample_6</v>
      </c>
      <c r="C283" s="13" t="str">
        <f t="shared" ref="C283:D283" si="329">C282</f>
        <v>Protea repens</v>
      </c>
      <c r="D283" s="13" t="str">
        <f t="shared" si="329"/>
        <v>20C</v>
      </c>
      <c r="E283" s="14">
        <f>IF(ISBLANK(A278),"",E282+1)</f>
        <v>6</v>
      </c>
      <c r="F283" s="15">
        <f t="shared" si="326"/>
        <v>45478.36319</v>
      </c>
      <c r="G283" s="16">
        <v>0.407</v>
      </c>
    </row>
    <row r="284">
      <c r="A284" s="5" t="s">
        <v>9</v>
      </c>
      <c r="B284" s="6" t="str">
        <f t="array" ref="B284">IF(ISBLANK(A284),"",IF(A284="PROREP (L)",VLOOKUP(LEFT($A284,6),'Data Feed (20C)'!$A$1:$G$10,2,FALSE),IF(A284="PROREP (S)", INDEX('Data Feed (20C)'!B:B, MATCH(LEFT($A284,6), 'Data Feed (20C)'!$A$1:$A$10, 0) + 1), VLOOKUP($A284,'Data Feed (20C)'!$A$1:$G$10,2,FALSE))))</f>
        <v>JKS240702PROREP_20C_sample_1</v>
      </c>
      <c r="C284" s="6" t="str">
        <f t="array" ref="C284">IF(ISBLANK(A284),"",IF(A284="PROREP (L)",VLOOKUP(LEFT($A284,6),'Data Feed (20C)'!$A$1:$G$10,3,FALSE),IF(A284="PROREP (S)", INDEX('Data Feed (20C)'!C:C, MATCH(LEFT($A284,6), 'Data Feed (20C)'!$A$1:$A$10, 0) + 1, +1), VLOOKUP($A284,'Data Feed (20C)'!$A$1:$G$10,3,FALSE))))</f>
        <v>Protea repens</v>
      </c>
      <c r="D284" s="6" t="str">
        <f t="array" ref="D284">IF(ISBLANK(A284),"",IF(A284="PROREP (L)",VLOOKUP(LEFT($A284,6),'Data Feed (20C)'!$A$1:$G$10,4,FALSE),IF(A284="PROREP (S)", INDEX('Data Feed (20C)'!D:D, MATCH(LEFT($A284,6), 'Data Feed (20C)'!$A$1:$A$10, 0) + 1, +1), VLOOKUP($A284,'Data Feed (20C)'!$A$1:$G$10,4,FALSE))))</f>
        <v>20C</v>
      </c>
      <c r="E284" s="6">
        <f t="array" ref="E284">IF(ISBLANK(A284),"",IF(A284="PROREP (L)",VLOOKUP(LEFT($A284,6),'Data Feed (20C)'!$A$1:$G$10,7,FALSE),IF(A284="PROREP (S)", INDEX('Data Feed (20C)'!G:G, MATCH(LEFT($A284,6), 'Data Feed (20C)'!$A$1:$A$10, 0) + 1, +1), VLOOKUP($A284,'Data Feed (20C)'!$A$1:$G$10,7,FALSE))))</f>
        <v>1</v>
      </c>
      <c r="F284" s="7">
        <v>45478.36388888889</v>
      </c>
      <c r="G284" s="8">
        <v>3.346</v>
      </c>
    </row>
    <row r="285">
      <c r="A285" s="9" t="str">
        <f t="shared" ref="A285:A289" si="331">A284</f>
        <v>PROREP (S)</v>
      </c>
      <c r="B285" s="9" t="str">
        <f>IF(ISBLANK(A284),"",LEFT(B284,27)&amp;VALUE(RIGHT(B284,1)+1))</f>
        <v>JKS240702PROREP_20C_sample_2</v>
      </c>
      <c r="C285" s="6" t="str">
        <f t="shared" ref="C285:D285" si="330">C284</f>
        <v>Protea repens</v>
      </c>
      <c r="D285" s="6" t="str">
        <f t="shared" si="330"/>
        <v>20C</v>
      </c>
      <c r="E285" s="10">
        <f>IF(ISBLANK(A284),"",E284+1)</f>
        <v>2</v>
      </c>
      <c r="F285" s="11">
        <f t="shared" ref="F285:F289" si="333">F284</f>
        <v>45478.36389</v>
      </c>
      <c r="G285" s="8">
        <v>12.438</v>
      </c>
    </row>
    <row r="286">
      <c r="A286" s="9" t="str">
        <f t="shared" si="331"/>
        <v>PROREP (S)</v>
      </c>
      <c r="B286" s="9" t="str">
        <f>IF(ISBLANK(A284),"",LEFT(B285,27)&amp;VALUE(RIGHT(B285,1)+1))</f>
        <v>JKS240702PROREP_20C_sample_3</v>
      </c>
      <c r="C286" s="6" t="str">
        <f t="shared" ref="C286:D286" si="332">C285</f>
        <v>Protea repens</v>
      </c>
      <c r="D286" s="6" t="str">
        <f t="shared" si="332"/>
        <v>20C</v>
      </c>
      <c r="E286" s="10">
        <f>IF(ISBLANK(A284),"",E285+1)</f>
        <v>3</v>
      </c>
      <c r="F286" s="11">
        <f t="shared" si="333"/>
        <v>45478.36389</v>
      </c>
      <c r="G286" s="8">
        <v>14.055</v>
      </c>
    </row>
    <row r="287">
      <c r="A287" s="9" t="str">
        <f t="shared" si="331"/>
        <v>PROREP (S)</v>
      </c>
      <c r="B287" s="9" t="str">
        <f>IF(ISBLANK(A284),"",LEFT(B286,27)&amp;VALUE(RIGHT(B286,1)+1))</f>
        <v>JKS240702PROREP_20C_sample_4</v>
      </c>
      <c r="C287" s="6" t="str">
        <f t="shared" ref="C287:D287" si="334">C286</f>
        <v>Protea repens</v>
      </c>
      <c r="D287" s="6" t="str">
        <f t="shared" si="334"/>
        <v>20C</v>
      </c>
      <c r="E287" s="10">
        <f>IF(ISBLANK(A284),"",E286+1)</f>
        <v>4</v>
      </c>
      <c r="F287" s="11">
        <f t="shared" si="333"/>
        <v>45478.36389</v>
      </c>
      <c r="G287" s="8">
        <v>7.184</v>
      </c>
    </row>
    <row r="288">
      <c r="A288" s="9" t="str">
        <f t="shared" si="331"/>
        <v>PROREP (S)</v>
      </c>
      <c r="B288" s="9" t="str">
        <f>IF(ISBLANK(A284),"",LEFT(B287,27)&amp;VALUE(RIGHT(B287,1)+1))</f>
        <v>JKS240702PROREP_20C_sample_5</v>
      </c>
      <c r="C288" s="6" t="str">
        <f t="shared" ref="C288:D288" si="335">C287</f>
        <v>Protea repens</v>
      </c>
      <c r="D288" s="6" t="str">
        <f t="shared" si="335"/>
        <v>20C</v>
      </c>
      <c r="E288" s="10">
        <f>IF(ISBLANK(A284),"",E287+1)</f>
        <v>5</v>
      </c>
      <c r="F288" s="11">
        <f t="shared" si="333"/>
        <v>45478.36389</v>
      </c>
      <c r="G288" s="8">
        <v>6.826</v>
      </c>
    </row>
    <row r="289">
      <c r="A289" s="12" t="str">
        <f t="shared" si="331"/>
        <v>PROREP (S)</v>
      </c>
      <c r="B289" s="12" t="str">
        <f>IF(ISBLANK(A284),"",LEFT(B288,27)&amp;VALUE(RIGHT(B288,1)+1))</f>
        <v>JKS240702PROREP_20C_sample_6</v>
      </c>
      <c r="C289" s="13" t="str">
        <f t="shared" ref="C289:D289" si="336">C288</f>
        <v>Protea repens</v>
      </c>
      <c r="D289" s="13" t="str">
        <f t="shared" si="336"/>
        <v>20C</v>
      </c>
      <c r="E289" s="14">
        <f>IF(ISBLANK(A284),"",E288+1)</f>
        <v>6</v>
      </c>
      <c r="F289" s="15">
        <f t="shared" si="333"/>
        <v>45478.36389</v>
      </c>
      <c r="G289" s="16">
        <v>25.257</v>
      </c>
    </row>
    <row r="290">
      <c r="A290" s="5" t="s">
        <v>10</v>
      </c>
      <c r="B290" s="6" t="str">
        <f t="array" ref="B290">IF(ISBLANK(A290),"",IF(A290="PROREP (L)",VLOOKUP(LEFT($A290,6),'Data Feed (20C)'!$A$1:$G$10,2,FALSE),IF(A290="PROREP (S)", INDEX('Data Feed (20C)'!B:B, MATCH(LEFT($A290,6), 'Data Feed (20C)'!$A$1:$A$10, 0) + 1), VLOOKUP($A290,'Data Feed (20C)'!$A$1:$G$10,2,FALSE))))</f>
        <v>JKS240702CANCON_20C_sample_1</v>
      </c>
      <c r="C290" s="6" t="str">
        <f t="array" ref="C290">IF(ISBLANK(A290),"",IF(A290="PROREP (L)",VLOOKUP(LEFT($A290,6),'Data Feed (20C)'!$A$1:$G$10,3,FALSE),IF(A290="PROREP (S)", INDEX('Data Feed (20C)'!C:C, MATCH(LEFT($A290,6), 'Data Feed (20C)'!$A$1:$A$10, 0) + 1, +1), VLOOKUP($A290,'Data Feed (20C)'!$A$1:$G$10,3,FALSE))))</f>
        <v>Cannomois congesta</v>
      </c>
      <c r="D290" s="6" t="str">
        <f t="array" ref="D290">IF(ISBLANK(A290),"",IF(A290="PROREP (L)",VLOOKUP(LEFT($A290,6),'Data Feed (20C)'!$A$1:$G$10,4,FALSE),IF(A290="PROREP (S)", INDEX('Data Feed (20C)'!D:D, MATCH(LEFT($A290,6), 'Data Feed (20C)'!$A$1:$A$10, 0) + 1, +1), VLOOKUP($A290,'Data Feed (20C)'!$A$1:$G$10,4,FALSE))))</f>
        <v>20C</v>
      </c>
      <c r="E290" s="6">
        <f t="array" ref="E290">IF(ISBLANK(A290),"",IF(A290="PROREP (L)",VLOOKUP(LEFT($A290,6),'Data Feed (20C)'!$A$1:$G$10,7,FALSE),IF(A290="PROREP (S)", INDEX('Data Feed (20C)'!G:G, MATCH(LEFT($A290,6), 'Data Feed (20C)'!$A$1:$A$10, 0) + 1, +1), VLOOKUP($A290,'Data Feed (20C)'!$A$1:$G$10,7,FALSE))))</f>
        <v>1</v>
      </c>
      <c r="F290" s="7">
        <v>45478.36597222222</v>
      </c>
      <c r="G290" s="8">
        <v>2.057</v>
      </c>
    </row>
    <row r="291">
      <c r="A291" s="9" t="str">
        <f t="shared" ref="A291:A295" si="338">A290</f>
        <v>CANCON</v>
      </c>
      <c r="B291" s="9" t="str">
        <f>IF(ISBLANK(A290),"",LEFT(B290,27)&amp;VALUE(RIGHT(B290,1)+1))</f>
        <v>JKS240702CANCON_20C_sample_2</v>
      </c>
      <c r="C291" s="6" t="str">
        <f t="shared" ref="C291:D291" si="337">C290</f>
        <v>Cannomois congesta</v>
      </c>
      <c r="D291" s="6" t="str">
        <f t="shared" si="337"/>
        <v>20C</v>
      </c>
      <c r="E291" s="10">
        <f>IF(ISBLANK(A290),"",E290+1)</f>
        <v>2</v>
      </c>
      <c r="F291" s="11">
        <f t="shared" ref="F291:F295" si="340">F290</f>
        <v>45478.36597</v>
      </c>
      <c r="G291" s="8">
        <v>2.24</v>
      </c>
    </row>
    <row r="292">
      <c r="A292" s="9" t="str">
        <f t="shared" si="338"/>
        <v>CANCON</v>
      </c>
      <c r="B292" s="9" t="str">
        <f>IF(ISBLANK(A290),"",LEFT(B291,27)&amp;VALUE(RIGHT(B291,1)+1))</f>
        <v>JKS240702CANCON_20C_sample_3</v>
      </c>
      <c r="C292" s="6" t="str">
        <f t="shared" ref="C292:D292" si="339">C291</f>
        <v>Cannomois congesta</v>
      </c>
      <c r="D292" s="6" t="str">
        <f t="shared" si="339"/>
        <v>20C</v>
      </c>
      <c r="E292" s="10">
        <f>IF(ISBLANK(A290),"",E291+1)</f>
        <v>3</v>
      </c>
      <c r="F292" s="11">
        <f t="shared" si="340"/>
        <v>45478.36597</v>
      </c>
      <c r="G292" s="8">
        <v>1.096</v>
      </c>
    </row>
    <row r="293">
      <c r="A293" s="9" t="str">
        <f t="shared" si="338"/>
        <v>CANCON</v>
      </c>
      <c r="B293" s="9" t="str">
        <f>IF(ISBLANK(A290),"",LEFT(B292,27)&amp;VALUE(RIGHT(B292,1)+1))</f>
        <v>JKS240702CANCON_20C_sample_4</v>
      </c>
      <c r="C293" s="6" t="str">
        <f t="shared" ref="C293:D293" si="341">C292</f>
        <v>Cannomois congesta</v>
      </c>
      <c r="D293" s="6" t="str">
        <f t="shared" si="341"/>
        <v>20C</v>
      </c>
      <c r="E293" s="10">
        <f>IF(ISBLANK(A290),"",E292+1)</f>
        <v>4</v>
      </c>
      <c r="F293" s="11">
        <f t="shared" si="340"/>
        <v>45478.36597</v>
      </c>
      <c r="G293" s="8">
        <v>1.968</v>
      </c>
    </row>
    <row r="294">
      <c r="A294" s="9" t="str">
        <f t="shared" si="338"/>
        <v>CANCON</v>
      </c>
      <c r="B294" s="9" t="str">
        <f>IF(ISBLANK(A290),"",LEFT(B293,27)&amp;VALUE(RIGHT(B293,1)+1))</f>
        <v>JKS240702CANCON_20C_sample_5</v>
      </c>
      <c r="C294" s="6" t="str">
        <f t="shared" ref="C294:D294" si="342">C293</f>
        <v>Cannomois congesta</v>
      </c>
      <c r="D294" s="6" t="str">
        <f t="shared" si="342"/>
        <v>20C</v>
      </c>
      <c r="E294" s="10">
        <f>IF(ISBLANK(A290),"",E293+1)</f>
        <v>5</v>
      </c>
      <c r="F294" s="11">
        <f t="shared" si="340"/>
        <v>45478.36597</v>
      </c>
      <c r="G294" s="8">
        <v>2.139</v>
      </c>
    </row>
    <row r="295">
      <c r="A295" s="12" t="str">
        <f t="shared" si="338"/>
        <v>CANCON</v>
      </c>
      <c r="B295" s="12" t="str">
        <f>IF(ISBLANK(A290),"",LEFT(B294,27)&amp;VALUE(RIGHT(B294,1)+1))</f>
        <v>JKS240702CANCON_20C_sample_6</v>
      </c>
      <c r="C295" s="13" t="str">
        <f t="shared" ref="C295:D295" si="343">C294</f>
        <v>Cannomois congesta</v>
      </c>
      <c r="D295" s="13" t="str">
        <f t="shared" si="343"/>
        <v>20C</v>
      </c>
      <c r="E295" s="14">
        <f>IF(ISBLANK(A290),"",E294+1)</f>
        <v>6</v>
      </c>
      <c r="F295" s="15">
        <f t="shared" si="340"/>
        <v>45478.36597</v>
      </c>
      <c r="G295" s="16">
        <v>1.535</v>
      </c>
    </row>
    <row r="296">
      <c r="A296" s="5" t="s">
        <v>7</v>
      </c>
      <c r="B296" s="6" t="str">
        <f t="array" ref="B296">IF(ISBLANK(A296),"",IF(A296="PROREP (L)",VLOOKUP(LEFT($A296,6),'Data Feed (20C)'!$A$1:$G$10,2,FALSE),IF(A296="PROREP (S)", INDEX('Data Feed (20C)'!B:B, MATCH(LEFT($A296,6), 'Data Feed (20C)'!$A$1:$A$10, 0) + 1), VLOOKUP($A296,'Data Feed (20C)'!$A$1:$G$10,2,FALSE))))</f>
        <v>JKS240702ERIMON_20C_sample_1</v>
      </c>
      <c r="C296" s="6" t="str">
        <f t="array" ref="C296">IF(ISBLANK(A296),"",IF(A296="PROREP (L)",VLOOKUP(LEFT($A296,6),'Data Feed (20C)'!$A$1:$G$10,3,FALSE),IF(A296="PROREP (S)", INDEX('Data Feed (20C)'!C:C, MATCH(LEFT($A296,6), 'Data Feed (20C)'!$A$1:$A$10, 0) + 1, +1), VLOOKUP($A296,'Data Feed (20C)'!$A$1:$G$10,3,FALSE))))</f>
        <v>Erica monsoniana</v>
      </c>
      <c r="D296" s="6" t="str">
        <f t="array" ref="D296">IF(ISBLANK(A296),"",IF(A296="PROREP (L)",VLOOKUP(LEFT($A296,6),'Data Feed (20C)'!$A$1:$G$10,4,FALSE),IF(A296="PROREP (S)", INDEX('Data Feed (20C)'!D:D, MATCH(LEFT($A296,6), 'Data Feed (20C)'!$A$1:$A$10, 0) + 1, +1), VLOOKUP($A296,'Data Feed (20C)'!$A$1:$G$10,4,FALSE))))</f>
        <v>20C</v>
      </c>
      <c r="E296" s="6">
        <f t="array" ref="E296">IF(ISBLANK(A296),"",IF(A296="PROREP (L)",VLOOKUP(LEFT($A296,6),'Data Feed (20C)'!$A$1:$G$10,7,FALSE),IF(A296="PROREP (S)", INDEX('Data Feed (20C)'!G:G, MATCH(LEFT($A296,6), 'Data Feed (20C)'!$A$1:$A$10, 0) + 1, +1), VLOOKUP($A296,'Data Feed (20C)'!$A$1:$G$10,7,FALSE))))</f>
        <v>1</v>
      </c>
      <c r="F296" s="7">
        <v>45478.486805555556</v>
      </c>
      <c r="G296" s="8">
        <v>2.326</v>
      </c>
    </row>
    <row r="297">
      <c r="A297" s="9" t="str">
        <f t="shared" ref="A297:A301" si="345">A296</f>
        <v>ERIMON</v>
      </c>
      <c r="B297" s="9" t="str">
        <f>IF(ISBLANK(A296),"",LEFT(B296,27)&amp;VALUE(RIGHT(B296,1)+1))</f>
        <v>JKS240702ERIMON_20C_sample_2</v>
      </c>
      <c r="C297" s="6" t="str">
        <f t="shared" ref="C297:D297" si="344">C296</f>
        <v>Erica monsoniana</v>
      </c>
      <c r="D297" s="6" t="str">
        <f t="shared" si="344"/>
        <v>20C</v>
      </c>
      <c r="E297" s="10">
        <f>IF(ISBLANK(A296),"",E296+1)</f>
        <v>2</v>
      </c>
      <c r="F297" s="11">
        <f t="shared" ref="F297:F301" si="347">F296</f>
        <v>45478.48681</v>
      </c>
      <c r="G297" s="8">
        <v>1.988</v>
      </c>
    </row>
    <row r="298">
      <c r="A298" s="9" t="str">
        <f t="shared" si="345"/>
        <v>ERIMON</v>
      </c>
      <c r="B298" s="9" t="str">
        <f>IF(ISBLANK(A296),"",LEFT(B297,27)&amp;VALUE(RIGHT(B297,1)+1))</f>
        <v>JKS240702ERIMON_20C_sample_3</v>
      </c>
      <c r="C298" s="6" t="str">
        <f t="shared" ref="C298:D298" si="346">C297</f>
        <v>Erica monsoniana</v>
      </c>
      <c r="D298" s="6" t="str">
        <f t="shared" si="346"/>
        <v>20C</v>
      </c>
      <c r="E298" s="10">
        <f>IF(ISBLANK(A296),"",E297+1)</f>
        <v>3</v>
      </c>
      <c r="F298" s="11">
        <f t="shared" si="347"/>
        <v>45478.48681</v>
      </c>
      <c r="G298" s="8">
        <v>1.856</v>
      </c>
    </row>
    <row r="299">
      <c r="A299" s="9" t="str">
        <f t="shared" si="345"/>
        <v>ERIMON</v>
      </c>
      <c r="B299" s="9" t="str">
        <f>IF(ISBLANK(A296),"",LEFT(B298,27)&amp;VALUE(RIGHT(B298,1)+1))</f>
        <v>JKS240702ERIMON_20C_sample_4</v>
      </c>
      <c r="C299" s="6" t="str">
        <f t="shared" ref="C299:D299" si="348">C298</f>
        <v>Erica monsoniana</v>
      </c>
      <c r="D299" s="6" t="str">
        <f t="shared" si="348"/>
        <v>20C</v>
      </c>
      <c r="E299" s="10">
        <f>IF(ISBLANK(A296),"",E298+1)</f>
        <v>4</v>
      </c>
      <c r="F299" s="11">
        <f t="shared" si="347"/>
        <v>45478.48681</v>
      </c>
      <c r="G299" s="8">
        <v>1.165</v>
      </c>
    </row>
    <row r="300">
      <c r="A300" s="9" t="str">
        <f t="shared" si="345"/>
        <v>ERIMON</v>
      </c>
      <c r="B300" s="9" t="str">
        <f>IF(ISBLANK(A296),"",LEFT(B299,27)&amp;VALUE(RIGHT(B299,1)+1))</f>
        <v>JKS240702ERIMON_20C_sample_5</v>
      </c>
      <c r="C300" s="6" t="str">
        <f t="shared" ref="C300:D300" si="349">C299</f>
        <v>Erica monsoniana</v>
      </c>
      <c r="D300" s="6" t="str">
        <f t="shared" si="349"/>
        <v>20C</v>
      </c>
      <c r="E300" s="10">
        <f>IF(ISBLANK(A296),"",E299+1)</f>
        <v>5</v>
      </c>
      <c r="F300" s="11">
        <f t="shared" si="347"/>
        <v>45478.48681</v>
      </c>
      <c r="G300" s="8">
        <v>1.611</v>
      </c>
    </row>
    <row r="301">
      <c r="A301" s="12" t="str">
        <f t="shared" si="345"/>
        <v>ERIMON</v>
      </c>
      <c r="B301" s="12" t="str">
        <f>IF(ISBLANK(A296),"",LEFT(B300,27)&amp;VALUE(RIGHT(B300,1)+1))</f>
        <v>JKS240702ERIMON_20C_sample_6</v>
      </c>
      <c r="C301" s="13" t="str">
        <f t="shared" ref="C301:D301" si="350">C300</f>
        <v>Erica monsoniana</v>
      </c>
      <c r="D301" s="13" t="str">
        <f t="shared" si="350"/>
        <v>20C</v>
      </c>
      <c r="E301" s="14">
        <f>IF(ISBLANK(A296),"",E300+1)</f>
        <v>6</v>
      </c>
      <c r="F301" s="15">
        <f t="shared" si="347"/>
        <v>45478.48681</v>
      </c>
      <c r="G301" s="16">
        <v>0.786</v>
      </c>
    </row>
    <row r="302">
      <c r="A302" s="5" t="s">
        <v>8</v>
      </c>
      <c r="B302" s="6" t="str">
        <f t="array" ref="B302">IF(ISBLANK(A302),"",IF(A302="PROREP (L)",VLOOKUP(LEFT($A302,6),'Data Feed (20C)'!$A$1:$G$10,2,FALSE),IF(A302="PROREP (S)", INDEX('Data Feed (20C)'!B:B, MATCH(LEFT($A302,6), 'Data Feed (20C)'!$A$1:$A$10, 0) + 1), VLOOKUP($A302,'Data Feed (20C)'!$A$1:$G$10,2,FALSE))))</f>
        <v>JKL240702PROREP_20C_sample_1</v>
      </c>
      <c r="C302" s="6" t="str">
        <f t="array" ref="C302">IF(ISBLANK(A302),"",IF(A302="PROREP (L)",VLOOKUP(LEFT($A302,6),'Data Feed (20C)'!$A$1:$G$10,3,FALSE),IF(A302="PROREP (S)", INDEX('Data Feed (20C)'!C:C, MATCH(LEFT($A302,6), 'Data Feed (20C)'!$A$1:$A$10, 0) + 1, +1), VLOOKUP($A302,'Data Feed (20C)'!$A$1:$G$10,3,FALSE))))</f>
        <v>Protea repens</v>
      </c>
      <c r="D302" s="6" t="str">
        <f t="array" ref="D302">IF(ISBLANK(A302),"",IF(A302="PROREP (L)",VLOOKUP(LEFT($A302,6),'Data Feed (20C)'!$A$1:$G$10,4,FALSE),IF(A302="PROREP (S)", INDEX('Data Feed (20C)'!D:D, MATCH(LEFT($A302,6), 'Data Feed (20C)'!$A$1:$A$10, 0) + 1, +1), VLOOKUP($A302,'Data Feed (20C)'!$A$1:$G$10,4,FALSE))))</f>
        <v>20C</v>
      </c>
      <c r="E302" s="6">
        <f t="array" ref="E302">IF(ISBLANK(A302),"",IF(A302="PROREP (L)",VLOOKUP(LEFT($A302,6),'Data Feed (20C)'!$A$1:$G$10,7,FALSE),IF(A302="PROREP (S)", INDEX('Data Feed (20C)'!G:G, MATCH(LEFT($A302,6), 'Data Feed (20C)'!$A$1:$A$10, 0) + 1, +1), VLOOKUP($A302,'Data Feed (20C)'!$A$1:$G$10,7,FALSE))))</f>
        <v>1</v>
      </c>
      <c r="F302" s="7">
        <v>45478.489583333336</v>
      </c>
      <c r="G302" s="8">
        <v>0.557</v>
      </c>
    </row>
    <row r="303">
      <c r="A303" s="9" t="str">
        <f t="shared" ref="A303:A307" si="352">A302</f>
        <v>PROREP (L)</v>
      </c>
      <c r="B303" s="9" t="str">
        <f>IF(ISBLANK(A302),"",LEFT(B302,27)&amp;VALUE(RIGHT(B302,1)+1))</f>
        <v>JKL240702PROREP_20C_sample_2</v>
      </c>
      <c r="C303" s="6" t="str">
        <f t="shared" ref="C303:D303" si="351">C302</f>
        <v>Protea repens</v>
      </c>
      <c r="D303" s="6" t="str">
        <f t="shared" si="351"/>
        <v>20C</v>
      </c>
      <c r="E303" s="10">
        <f>IF(ISBLANK(A302),"",E302+1)</f>
        <v>2</v>
      </c>
      <c r="F303" s="11">
        <f t="shared" ref="F303:F307" si="354">F302</f>
        <v>45478.48958</v>
      </c>
      <c r="G303" s="8">
        <v>0.421</v>
      </c>
    </row>
    <row r="304">
      <c r="A304" s="9" t="str">
        <f t="shared" si="352"/>
        <v>PROREP (L)</v>
      </c>
      <c r="B304" s="9" t="str">
        <f>IF(ISBLANK(A302),"",LEFT(B303,27)&amp;VALUE(RIGHT(B303,1)+1))</f>
        <v>JKL240702PROREP_20C_sample_3</v>
      </c>
      <c r="C304" s="6" t="str">
        <f t="shared" ref="C304:D304" si="353">C303</f>
        <v>Protea repens</v>
      </c>
      <c r="D304" s="6" t="str">
        <f t="shared" si="353"/>
        <v>20C</v>
      </c>
      <c r="E304" s="10">
        <f>IF(ISBLANK(A302),"",E303+1)</f>
        <v>3</v>
      </c>
      <c r="F304" s="11">
        <f t="shared" si="354"/>
        <v>45478.48958</v>
      </c>
      <c r="G304" s="8">
        <v>0.651</v>
      </c>
    </row>
    <row r="305">
      <c r="A305" s="9" t="str">
        <f t="shared" si="352"/>
        <v>PROREP (L)</v>
      </c>
      <c r="B305" s="9" t="str">
        <f>IF(ISBLANK(A302),"",LEFT(B304,27)&amp;VALUE(RIGHT(B304,1)+1))</f>
        <v>JKL240702PROREP_20C_sample_4</v>
      </c>
      <c r="C305" s="6" t="str">
        <f t="shared" ref="C305:D305" si="355">C304</f>
        <v>Protea repens</v>
      </c>
      <c r="D305" s="6" t="str">
        <f t="shared" si="355"/>
        <v>20C</v>
      </c>
      <c r="E305" s="10">
        <f>IF(ISBLANK(A302),"",E304+1)</f>
        <v>4</v>
      </c>
      <c r="F305" s="11">
        <f t="shared" si="354"/>
        <v>45478.48958</v>
      </c>
      <c r="G305" s="8">
        <v>0.328</v>
      </c>
    </row>
    <row r="306">
      <c r="A306" s="9" t="str">
        <f t="shared" si="352"/>
        <v>PROREP (L)</v>
      </c>
      <c r="B306" s="9" t="str">
        <f>IF(ISBLANK(A302),"",LEFT(B305,27)&amp;VALUE(RIGHT(B305,1)+1))</f>
        <v>JKL240702PROREP_20C_sample_5</v>
      </c>
      <c r="C306" s="6" t="str">
        <f t="shared" ref="C306:D306" si="356">C305</f>
        <v>Protea repens</v>
      </c>
      <c r="D306" s="6" t="str">
        <f t="shared" si="356"/>
        <v>20C</v>
      </c>
      <c r="E306" s="10">
        <f>IF(ISBLANK(A302),"",E305+1)</f>
        <v>5</v>
      </c>
      <c r="F306" s="11">
        <f t="shared" si="354"/>
        <v>45478.48958</v>
      </c>
      <c r="G306" s="8">
        <v>0.458</v>
      </c>
    </row>
    <row r="307">
      <c r="A307" s="12" t="str">
        <f t="shared" si="352"/>
        <v>PROREP (L)</v>
      </c>
      <c r="B307" s="12" t="str">
        <f>IF(ISBLANK(A302),"",LEFT(B306,27)&amp;VALUE(RIGHT(B306,1)+1))</f>
        <v>JKL240702PROREP_20C_sample_6</v>
      </c>
      <c r="C307" s="13" t="str">
        <f t="shared" ref="C307:D307" si="357">C306</f>
        <v>Protea repens</v>
      </c>
      <c r="D307" s="13" t="str">
        <f t="shared" si="357"/>
        <v>20C</v>
      </c>
      <c r="E307" s="14">
        <f>IF(ISBLANK(A302),"",E306+1)</f>
        <v>6</v>
      </c>
      <c r="F307" s="15">
        <f t="shared" si="354"/>
        <v>45478.48958</v>
      </c>
      <c r="G307" s="16">
        <v>0.403</v>
      </c>
    </row>
    <row r="308">
      <c r="A308" s="5" t="s">
        <v>9</v>
      </c>
      <c r="B308" s="6" t="str">
        <f t="array" ref="B308">IF(ISBLANK(A308),"",IF(A308="PROREP (L)",VLOOKUP(LEFT($A308,6),'Data Feed (20C)'!$A$1:$G$10,2,FALSE),IF(A308="PROREP (S)", INDEX('Data Feed (20C)'!B:B, MATCH(LEFT($A308,6), 'Data Feed (20C)'!$A$1:$A$10, 0) + 1), VLOOKUP($A308,'Data Feed (20C)'!$A$1:$G$10,2,FALSE))))</f>
        <v>JKS240702PROREP_20C_sample_1</v>
      </c>
      <c r="C308" s="6" t="str">
        <f t="array" ref="C308">IF(ISBLANK(A308),"",IF(A308="PROREP (L)",VLOOKUP(LEFT($A308,6),'Data Feed (20C)'!$A$1:$G$10,3,FALSE),IF(A308="PROREP (S)", INDEX('Data Feed (20C)'!C:C, MATCH(LEFT($A308,6), 'Data Feed (20C)'!$A$1:$A$10, 0) + 1, +1), VLOOKUP($A308,'Data Feed (20C)'!$A$1:$G$10,3,FALSE))))</f>
        <v>Protea repens</v>
      </c>
      <c r="D308" s="6" t="str">
        <f t="array" ref="D308">IF(ISBLANK(A308),"",IF(A308="PROREP (L)",VLOOKUP(LEFT($A308,6),'Data Feed (20C)'!$A$1:$G$10,4,FALSE),IF(A308="PROREP (S)", INDEX('Data Feed (20C)'!D:D, MATCH(LEFT($A308,6), 'Data Feed (20C)'!$A$1:$A$10, 0) + 1, +1), VLOOKUP($A308,'Data Feed (20C)'!$A$1:$G$10,4,FALSE))))</f>
        <v>20C</v>
      </c>
      <c r="E308" s="6">
        <f t="array" ref="E308">IF(ISBLANK(A308),"",IF(A308="PROREP (L)",VLOOKUP(LEFT($A308,6),'Data Feed (20C)'!$A$1:$G$10,7,FALSE),IF(A308="PROREP (S)", INDEX('Data Feed (20C)'!G:G, MATCH(LEFT($A308,6), 'Data Feed (20C)'!$A$1:$A$10, 0) + 1, +1), VLOOKUP($A308,'Data Feed (20C)'!$A$1:$G$10,7,FALSE))))</f>
        <v>1</v>
      </c>
      <c r="F308" s="7">
        <v>45478.49097222222</v>
      </c>
      <c r="G308" s="8">
        <v>3.312</v>
      </c>
    </row>
    <row r="309">
      <c r="A309" s="9" t="str">
        <f t="shared" ref="A309:A313" si="359">A308</f>
        <v>PROREP (S)</v>
      </c>
      <c r="B309" s="9" t="str">
        <f>IF(ISBLANK(A308),"",LEFT(B308,27)&amp;VALUE(RIGHT(B308,1)+1))</f>
        <v>JKS240702PROREP_20C_sample_2</v>
      </c>
      <c r="C309" s="6" t="str">
        <f t="shared" ref="C309:D309" si="358">C308</f>
        <v>Protea repens</v>
      </c>
      <c r="D309" s="6" t="str">
        <f t="shared" si="358"/>
        <v>20C</v>
      </c>
      <c r="E309" s="10">
        <f>IF(ISBLANK(A308),"",E308+1)</f>
        <v>2</v>
      </c>
      <c r="F309" s="11">
        <f t="shared" ref="F309:F313" si="361">F308</f>
        <v>45478.49097</v>
      </c>
      <c r="G309" s="8">
        <v>12.341</v>
      </c>
    </row>
    <row r="310">
      <c r="A310" s="9" t="str">
        <f t="shared" si="359"/>
        <v>PROREP (S)</v>
      </c>
      <c r="B310" s="9" t="str">
        <f>IF(ISBLANK(A308),"",LEFT(B309,27)&amp;VALUE(RIGHT(B309,1)+1))</f>
        <v>JKS240702PROREP_20C_sample_3</v>
      </c>
      <c r="C310" s="6" t="str">
        <f t="shared" ref="C310:D310" si="360">C309</f>
        <v>Protea repens</v>
      </c>
      <c r="D310" s="6" t="str">
        <f t="shared" si="360"/>
        <v>20C</v>
      </c>
      <c r="E310" s="10">
        <f>IF(ISBLANK(A308),"",E309+1)</f>
        <v>3</v>
      </c>
      <c r="F310" s="11">
        <f t="shared" si="361"/>
        <v>45478.49097</v>
      </c>
      <c r="G310" s="8">
        <v>13.291</v>
      </c>
    </row>
    <row r="311">
      <c r="A311" s="9" t="str">
        <f t="shared" si="359"/>
        <v>PROREP (S)</v>
      </c>
      <c r="B311" s="9" t="str">
        <f>IF(ISBLANK(A308),"",LEFT(B310,27)&amp;VALUE(RIGHT(B310,1)+1))</f>
        <v>JKS240702PROREP_20C_sample_4</v>
      </c>
      <c r="C311" s="6" t="str">
        <f t="shared" ref="C311:D311" si="362">C310</f>
        <v>Protea repens</v>
      </c>
      <c r="D311" s="6" t="str">
        <f t="shared" si="362"/>
        <v>20C</v>
      </c>
      <c r="E311" s="10">
        <f>IF(ISBLANK(A308),"",E310+1)</f>
        <v>4</v>
      </c>
      <c r="F311" s="11">
        <f t="shared" si="361"/>
        <v>45478.49097</v>
      </c>
      <c r="G311" s="8">
        <v>7.109</v>
      </c>
    </row>
    <row r="312">
      <c r="A312" s="9" t="str">
        <f t="shared" si="359"/>
        <v>PROREP (S)</v>
      </c>
      <c r="B312" s="9" t="str">
        <f>IF(ISBLANK(A308),"",LEFT(B311,27)&amp;VALUE(RIGHT(B311,1)+1))</f>
        <v>JKS240702PROREP_20C_sample_5</v>
      </c>
      <c r="C312" s="6" t="str">
        <f t="shared" ref="C312:D312" si="363">C311</f>
        <v>Protea repens</v>
      </c>
      <c r="D312" s="6" t="str">
        <f t="shared" si="363"/>
        <v>20C</v>
      </c>
      <c r="E312" s="10">
        <f>IF(ISBLANK(A308),"",E311+1)</f>
        <v>5</v>
      </c>
      <c r="F312" s="11">
        <f t="shared" si="361"/>
        <v>45478.49097</v>
      </c>
      <c r="G312" s="8">
        <v>6.733</v>
      </c>
    </row>
    <row r="313">
      <c r="A313" s="12" t="str">
        <f t="shared" si="359"/>
        <v>PROREP (S)</v>
      </c>
      <c r="B313" s="12" t="str">
        <f>IF(ISBLANK(A308),"",LEFT(B312,27)&amp;VALUE(RIGHT(B312,1)+1))</f>
        <v>JKS240702PROREP_20C_sample_6</v>
      </c>
      <c r="C313" s="13" t="str">
        <f t="shared" ref="C313:D313" si="364">C312</f>
        <v>Protea repens</v>
      </c>
      <c r="D313" s="13" t="str">
        <f t="shared" si="364"/>
        <v>20C</v>
      </c>
      <c r="E313" s="14">
        <f>IF(ISBLANK(A308),"",E312+1)</f>
        <v>6</v>
      </c>
      <c r="F313" s="15">
        <f t="shared" si="361"/>
        <v>45478.49097</v>
      </c>
      <c r="G313" s="16">
        <v>24.982</v>
      </c>
    </row>
    <row r="314">
      <c r="A314" s="5" t="s">
        <v>10</v>
      </c>
      <c r="B314" s="6" t="str">
        <f t="array" ref="B314">IF(ISBLANK(A314),"",IF(A314="PROREP (L)",VLOOKUP(LEFT($A314,6),'Data Feed (20C)'!$A$1:$G$10,2,FALSE),IF(A314="PROREP (S)", INDEX('Data Feed (20C)'!B:B, MATCH(LEFT($A314,6), 'Data Feed (20C)'!$A$1:$A$10, 0) + 1), VLOOKUP($A314,'Data Feed (20C)'!$A$1:$G$10,2,FALSE))))</f>
        <v>JKS240702CANCON_20C_sample_1</v>
      </c>
      <c r="C314" s="6" t="str">
        <f t="array" ref="C314">IF(ISBLANK(A314),"",IF(A314="PROREP (L)",VLOOKUP(LEFT($A314,6),'Data Feed (20C)'!$A$1:$G$10,3,FALSE),IF(A314="PROREP (S)", INDEX('Data Feed (20C)'!C:C, MATCH(LEFT($A314,6), 'Data Feed (20C)'!$A$1:$A$10, 0) + 1, +1), VLOOKUP($A314,'Data Feed (20C)'!$A$1:$G$10,3,FALSE))))</f>
        <v>Cannomois congesta</v>
      </c>
      <c r="D314" s="6" t="str">
        <f t="array" ref="D314">IF(ISBLANK(A314),"",IF(A314="PROREP (L)",VLOOKUP(LEFT($A314,6),'Data Feed (20C)'!$A$1:$G$10,4,FALSE),IF(A314="PROREP (S)", INDEX('Data Feed (20C)'!D:D, MATCH(LEFT($A314,6), 'Data Feed (20C)'!$A$1:$A$10, 0) + 1, +1), VLOOKUP($A314,'Data Feed (20C)'!$A$1:$G$10,4,FALSE))))</f>
        <v>20C</v>
      </c>
      <c r="E314" s="6">
        <f t="array" ref="E314">IF(ISBLANK(A314),"",IF(A314="PROREP (L)",VLOOKUP(LEFT($A314,6),'Data Feed (20C)'!$A$1:$G$10,7,FALSE),IF(A314="PROREP (S)", INDEX('Data Feed (20C)'!G:G, MATCH(LEFT($A314,6), 'Data Feed (20C)'!$A$1:$A$10, 0) + 1, +1), VLOOKUP($A314,'Data Feed (20C)'!$A$1:$G$10,7,FALSE))))</f>
        <v>1</v>
      </c>
      <c r="F314" s="7">
        <v>45478.493055555555</v>
      </c>
      <c r="G314" s="8">
        <v>1.992</v>
      </c>
    </row>
    <row r="315">
      <c r="A315" s="9" t="str">
        <f t="shared" ref="A315:A319" si="366">A314</f>
        <v>CANCON</v>
      </c>
      <c r="B315" s="9" t="str">
        <f>IF(ISBLANK(A314),"",LEFT(B314,27)&amp;VALUE(RIGHT(B314,1)+1))</f>
        <v>JKS240702CANCON_20C_sample_2</v>
      </c>
      <c r="C315" s="6" t="str">
        <f t="shared" ref="C315:D315" si="365">C314</f>
        <v>Cannomois congesta</v>
      </c>
      <c r="D315" s="6" t="str">
        <f t="shared" si="365"/>
        <v>20C</v>
      </c>
      <c r="E315" s="10">
        <f>IF(ISBLANK(A314),"",E314+1)</f>
        <v>2</v>
      </c>
      <c r="F315" s="11">
        <f t="shared" ref="F315:F319" si="368">F314</f>
        <v>45478.49306</v>
      </c>
      <c r="G315" s="8">
        <v>2.203</v>
      </c>
    </row>
    <row r="316">
      <c r="A316" s="9" t="str">
        <f t="shared" si="366"/>
        <v>CANCON</v>
      </c>
      <c r="B316" s="9" t="str">
        <f>IF(ISBLANK(A314),"",LEFT(B315,27)&amp;VALUE(RIGHT(B315,1)+1))</f>
        <v>JKS240702CANCON_20C_sample_3</v>
      </c>
      <c r="C316" s="6" t="str">
        <f t="shared" ref="C316:D316" si="367">C315</f>
        <v>Cannomois congesta</v>
      </c>
      <c r="D316" s="6" t="str">
        <f t="shared" si="367"/>
        <v>20C</v>
      </c>
      <c r="E316" s="10">
        <f>IF(ISBLANK(A314),"",E315+1)</f>
        <v>3</v>
      </c>
      <c r="F316" s="11">
        <f t="shared" si="368"/>
        <v>45478.49306</v>
      </c>
      <c r="G316" s="8">
        <v>1.076</v>
      </c>
    </row>
    <row r="317">
      <c r="A317" s="9" t="str">
        <f t="shared" si="366"/>
        <v>CANCON</v>
      </c>
      <c r="B317" s="9" t="str">
        <f>IF(ISBLANK(A314),"",LEFT(B316,27)&amp;VALUE(RIGHT(B316,1)+1))</f>
        <v>JKS240702CANCON_20C_sample_4</v>
      </c>
      <c r="C317" s="6" t="str">
        <f t="shared" ref="C317:D317" si="369">C316</f>
        <v>Cannomois congesta</v>
      </c>
      <c r="D317" s="6" t="str">
        <f t="shared" si="369"/>
        <v>20C</v>
      </c>
      <c r="E317" s="10">
        <f>IF(ISBLANK(A314),"",E316+1)</f>
        <v>4</v>
      </c>
      <c r="F317" s="11">
        <f t="shared" si="368"/>
        <v>45478.49306</v>
      </c>
      <c r="G317" s="8">
        <v>1.923</v>
      </c>
    </row>
    <row r="318">
      <c r="A318" s="9" t="str">
        <f t="shared" si="366"/>
        <v>CANCON</v>
      </c>
      <c r="B318" s="9" t="str">
        <f>IF(ISBLANK(A314),"",LEFT(B317,27)&amp;VALUE(RIGHT(B317,1)+1))</f>
        <v>JKS240702CANCON_20C_sample_5</v>
      </c>
      <c r="C318" s="6" t="str">
        <f t="shared" ref="C318:D318" si="370">C317</f>
        <v>Cannomois congesta</v>
      </c>
      <c r="D318" s="6" t="str">
        <f t="shared" si="370"/>
        <v>20C</v>
      </c>
      <c r="E318" s="10">
        <f>IF(ISBLANK(A314),"",E317+1)</f>
        <v>5</v>
      </c>
      <c r="F318" s="11">
        <f t="shared" si="368"/>
        <v>45478.49306</v>
      </c>
      <c r="G318" s="8">
        <v>2.086</v>
      </c>
    </row>
    <row r="319">
      <c r="A319" s="12" t="str">
        <f t="shared" si="366"/>
        <v>CANCON</v>
      </c>
      <c r="B319" s="12" t="str">
        <f>IF(ISBLANK(A314),"",LEFT(B318,27)&amp;VALUE(RIGHT(B318,1)+1))</f>
        <v>JKS240702CANCON_20C_sample_6</v>
      </c>
      <c r="C319" s="13" t="str">
        <f t="shared" ref="C319:D319" si="371">C318</f>
        <v>Cannomois congesta</v>
      </c>
      <c r="D319" s="13" t="str">
        <f t="shared" si="371"/>
        <v>20C</v>
      </c>
      <c r="E319" s="14">
        <f>IF(ISBLANK(A314),"",E318+1)</f>
        <v>6</v>
      </c>
      <c r="F319" s="15">
        <f t="shared" si="368"/>
        <v>45478.49306</v>
      </c>
      <c r="G319" s="16">
        <v>1.488</v>
      </c>
    </row>
    <row r="320">
      <c r="A320" s="5" t="s">
        <v>7</v>
      </c>
      <c r="B320" s="6" t="str">
        <f t="array" ref="B320">IF(ISBLANK(A320),"",IF(A320="PROREP (L)",VLOOKUP(LEFT($A320,6),'Data Feed (20C)'!$A$1:$G$10,2,FALSE),IF(A320="PROREP (S)", INDEX('Data Feed (20C)'!B:B, MATCH(LEFT($A320,6), 'Data Feed (20C)'!$A$1:$A$10, 0) + 1), VLOOKUP($A320,'Data Feed (20C)'!$A$1:$G$10,2,FALSE))))</f>
        <v>JKS240702ERIMON_20C_sample_1</v>
      </c>
      <c r="C320" s="6" t="str">
        <f t="array" ref="C320">IF(ISBLANK(A320),"",IF(A320="PROREP (L)",VLOOKUP(LEFT($A320,6),'Data Feed (20C)'!$A$1:$G$10,3,FALSE),IF(A320="PROREP (S)", INDEX('Data Feed (20C)'!C:C, MATCH(LEFT($A320,6), 'Data Feed (20C)'!$A$1:$A$10, 0) + 1, +1), VLOOKUP($A320,'Data Feed (20C)'!$A$1:$G$10,3,FALSE))))</f>
        <v>Erica monsoniana</v>
      </c>
      <c r="D320" s="6" t="str">
        <f t="array" ref="D320">IF(ISBLANK(A320),"",IF(A320="PROREP (L)",VLOOKUP(LEFT($A320,6),'Data Feed (20C)'!$A$1:$G$10,4,FALSE),IF(A320="PROREP (S)", INDEX('Data Feed (20C)'!D:D, MATCH(LEFT($A320,6), 'Data Feed (20C)'!$A$1:$A$10, 0) + 1, +1), VLOOKUP($A320,'Data Feed (20C)'!$A$1:$G$10,4,FALSE))))</f>
        <v>20C</v>
      </c>
      <c r="E320" s="6">
        <f t="array" ref="E320">IF(ISBLANK(A320),"",IF(A320="PROREP (L)",VLOOKUP(LEFT($A320,6),'Data Feed (20C)'!$A$1:$G$10,7,FALSE),IF(A320="PROREP (S)", INDEX('Data Feed (20C)'!G:G, MATCH(LEFT($A320,6), 'Data Feed (20C)'!$A$1:$A$10, 0) + 1, +1), VLOOKUP($A320,'Data Feed (20C)'!$A$1:$G$10,7,FALSE))))</f>
        <v>1</v>
      </c>
      <c r="F320" s="7">
        <v>45478.60972222222</v>
      </c>
      <c r="G320" s="8">
        <v>2.235</v>
      </c>
    </row>
    <row r="321">
      <c r="A321" s="9" t="str">
        <f t="shared" ref="A321:A325" si="373">A320</f>
        <v>ERIMON</v>
      </c>
      <c r="B321" s="9" t="str">
        <f>IF(ISBLANK(A320),"",LEFT(B320,27)&amp;VALUE(RIGHT(B320,1)+1))</f>
        <v>JKS240702ERIMON_20C_sample_2</v>
      </c>
      <c r="C321" s="6" t="str">
        <f t="shared" ref="C321:D321" si="372">C320</f>
        <v>Erica monsoniana</v>
      </c>
      <c r="D321" s="6" t="str">
        <f t="shared" si="372"/>
        <v>20C</v>
      </c>
      <c r="E321" s="10">
        <f>IF(ISBLANK(A320),"",E320+1)</f>
        <v>2</v>
      </c>
      <c r="F321" s="11">
        <f t="shared" ref="F321:F325" si="375">F320</f>
        <v>45478.60972</v>
      </c>
      <c r="G321" s="8">
        <v>1.927</v>
      </c>
    </row>
    <row r="322">
      <c r="A322" s="9" t="str">
        <f t="shared" si="373"/>
        <v>ERIMON</v>
      </c>
      <c r="B322" s="9" t="str">
        <f>IF(ISBLANK(A320),"",LEFT(B321,27)&amp;VALUE(RIGHT(B321,1)+1))</f>
        <v>JKS240702ERIMON_20C_sample_3</v>
      </c>
      <c r="C322" s="6" t="str">
        <f t="shared" ref="C322:D322" si="374">C321</f>
        <v>Erica monsoniana</v>
      </c>
      <c r="D322" s="6" t="str">
        <f t="shared" si="374"/>
        <v>20C</v>
      </c>
      <c r="E322" s="10">
        <f>IF(ISBLANK(A320),"",E321+1)</f>
        <v>3</v>
      </c>
      <c r="F322" s="11">
        <f t="shared" si="375"/>
        <v>45478.60972</v>
      </c>
      <c r="G322" s="8">
        <v>1.817</v>
      </c>
    </row>
    <row r="323">
      <c r="A323" s="9" t="str">
        <f t="shared" si="373"/>
        <v>ERIMON</v>
      </c>
      <c r="B323" s="9" t="str">
        <f>IF(ISBLANK(A320),"",LEFT(B322,27)&amp;VALUE(RIGHT(B322,1)+1))</f>
        <v>JKS240702ERIMON_20C_sample_4</v>
      </c>
      <c r="C323" s="6" t="str">
        <f t="shared" ref="C323:D323" si="376">C322</f>
        <v>Erica monsoniana</v>
      </c>
      <c r="D323" s="6" t="str">
        <f t="shared" si="376"/>
        <v>20C</v>
      </c>
      <c r="E323" s="10">
        <f>IF(ISBLANK(A320),"",E322+1)</f>
        <v>4</v>
      </c>
      <c r="F323" s="11">
        <f t="shared" si="375"/>
        <v>45478.60972</v>
      </c>
      <c r="G323" s="8">
        <v>1.129</v>
      </c>
    </row>
    <row r="324">
      <c r="A324" s="9" t="str">
        <f t="shared" si="373"/>
        <v>ERIMON</v>
      </c>
      <c r="B324" s="9" t="str">
        <f>IF(ISBLANK(A320),"",LEFT(B323,27)&amp;VALUE(RIGHT(B323,1)+1))</f>
        <v>JKS240702ERIMON_20C_sample_5</v>
      </c>
      <c r="C324" s="6" t="str">
        <f t="shared" ref="C324:D324" si="377">C323</f>
        <v>Erica monsoniana</v>
      </c>
      <c r="D324" s="6" t="str">
        <f t="shared" si="377"/>
        <v>20C</v>
      </c>
      <c r="E324" s="10">
        <f>IF(ISBLANK(A320),"",E323+1)</f>
        <v>5</v>
      </c>
      <c r="F324" s="11">
        <f t="shared" si="375"/>
        <v>45478.60972</v>
      </c>
      <c r="G324" s="8">
        <v>1.558</v>
      </c>
    </row>
    <row r="325">
      <c r="A325" s="12" t="str">
        <f t="shared" si="373"/>
        <v>ERIMON</v>
      </c>
      <c r="B325" s="12" t="str">
        <f>IF(ISBLANK(A320),"",LEFT(B324,27)&amp;VALUE(RIGHT(B324,1)+1))</f>
        <v>JKS240702ERIMON_20C_sample_6</v>
      </c>
      <c r="C325" s="13" t="str">
        <f t="shared" ref="C325:D325" si="378">C324</f>
        <v>Erica monsoniana</v>
      </c>
      <c r="D325" s="13" t="str">
        <f t="shared" si="378"/>
        <v>20C</v>
      </c>
      <c r="E325" s="14">
        <f>IF(ISBLANK(A320),"",E324+1)</f>
        <v>6</v>
      </c>
      <c r="F325" s="15">
        <f t="shared" si="375"/>
        <v>45478.60972</v>
      </c>
      <c r="G325" s="16">
        <v>0.749</v>
      </c>
    </row>
    <row r="326">
      <c r="A326" s="5" t="s">
        <v>8</v>
      </c>
      <c r="B326" s="6" t="str">
        <f t="array" ref="B326">IF(ISBLANK(A326),"",IF(A326="PROREP (L)",VLOOKUP(LEFT($A326,6),'Data Feed (20C)'!$A$1:$G$10,2,FALSE),IF(A326="PROREP (S)", INDEX('Data Feed (20C)'!B:B, MATCH(LEFT($A326,6), 'Data Feed (20C)'!$A$1:$A$10, 0) + 1), VLOOKUP($A326,'Data Feed (20C)'!$A$1:$G$10,2,FALSE))))</f>
        <v>JKL240702PROREP_20C_sample_1</v>
      </c>
      <c r="C326" s="6" t="str">
        <f t="array" ref="C326">IF(ISBLANK(A326),"",IF(A326="PROREP (L)",VLOOKUP(LEFT($A326,6),'Data Feed (20C)'!$A$1:$G$10,3,FALSE),IF(A326="PROREP (S)", INDEX('Data Feed (20C)'!C:C, MATCH(LEFT($A326,6), 'Data Feed (20C)'!$A$1:$A$10, 0) + 1, +1), VLOOKUP($A326,'Data Feed (20C)'!$A$1:$G$10,3,FALSE))))</f>
        <v>Protea repens</v>
      </c>
      <c r="D326" s="6" t="str">
        <f t="array" ref="D326">IF(ISBLANK(A326),"",IF(A326="PROREP (L)",VLOOKUP(LEFT($A326,6),'Data Feed (20C)'!$A$1:$G$10,4,FALSE),IF(A326="PROREP (S)", INDEX('Data Feed (20C)'!D:D, MATCH(LEFT($A326,6), 'Data Feed (20C)'!$A$1:$A$10, 0) + 1, +1), VLOOKUP($A326,'Data Feed (20C)'!$A$1:$G$10,4,FALSE))))</f>
        <v>20C</v>
      </c>
      <c r="E326" s="6">
        <f t="array" ref="E326">IF(ISBLANK(A326),"",IF(A326="PROREP (L)",VLOOKUP(LEFT($A326,6),'Data Feed (20C)'!$A$1:$G$10,7,FALSE),IF(A326="PROREP (S)", INDEX('Data Feed (20C)'!G:G, MATCH(LEFT($A326,6), 'Data Feed (20C)'!$A$1:$A$10, 0) + 1, +1), VLOOKUP($A326,'Data Feed (20C)'!$A$1:$G$10,7,FALSE))))</f>
        <v>1</v>
      </c>
      <c r="F326" s="7">
        <v>45478.611805555556</v>
      </c>
      <c r="G326" s="8">
        <v>0.563</v>
      </c>
    </row>
    <row r="327">
      <c r="A327" s="9" t="str">
        <f t="shared" ref="A327:A331" si="380">A326</f>
        <v>PROREP (L)</v>
      </c>
      <c r="B327" s="9" t="str">
        <f>IF(ISBLANK(A326),"",LEFT(B326,27)&amp;VALUE(RIGHT(B326,1)+1))</f>
        <v>JKL240702PROREP_20C_sample_2</v>
      </c>
      <c r="C327" s="6" t="str">
        <f t="shared" ref="C327:D327" si="379">C326</f>
        <v>Protea repens</v>
      </c>
      <c r="D327" s="6" t="str">
        <f t="shared" si="379"/>
        <v>20C</v>
      </c>
      <c r="E327" s="10">
        <f>IF(ISBLANK(A326),"",E326+1)</f>
        <v>2</v>
      </c>
      <c r="F327" s="11">
        <f t="shared" ref="F327:F331" si="382">F326</f>
        <v>45478.61181</v>
      </c>
      <c r="G327" s="8">
        <v>0.431</v>
      </c>
    </row>
    <row r="328">
      <c r="A328" s="9" t="str">
        <f t="shared" si="380"/>
        <v>PROREP (L)</v>
      </c>
      <c r="B328" s="9" t="str">
        <f>IF(ISBLANK(A326),"",LEFT(B327,27)&amp;VALUE(RIGHT(B327,1)+1))</f>
        <v>JKL240702PROREP_20C_sample_3</v>
      </c>
      <c r="C328" s="6" t="str">
        <f t="shared" ref="C328:D328" si="381">C327</f>
        <v>Protea repens</v>
      </c>
      <c r="D328" s="6" t="str">
        <f t="shared" si="381"/>
        <v>20C</v>
      </c>
      <c r="E328" s="10">
        <f>IF(ISBLANK(A326),"",E327+1)</f>
        <v>3</v>
      </c>
      <c r="F328" s="11">
        <f t="shared" si="382"/>
        <v>45478.61181</v>
      </c>
      <c r="G328" s="8">
        <v>0.662</v>
      </c>
    </row>
    <row r="329">
      <c r="A329" s="9" t="str">
        <f t="shared" si="380"/>
        <v>PROREP (L)</v>
      </c>
      <c r="B329" s="9" t="str">
        <f>IF(ISBLANK(A326),"",LEFT(B328,27)&amp;VALUE(RIGHT(B328,1)+1))</f>
        <v>JKL240702PROREP_20C_sample_4</v>
      </c>
      <c r="C329" s="6" t="str">
        <f t="shared" ref="C329:D329" si="383">C328</f>
        <v>Protea repens</v>
      </c>
      <c r="D329" s="6" t="str">
        <f t="shared" si="383"/>
        <v>20C</v>
      </c>
      <c r="E329" s="10">
        <f>IF(ISBLANK(A326),"",E328+1)</f>
        <v>4</v>
      </c>
      <c r="F329" s="11">
        <f t="shared" si="382"/>
        <v>45478.61181</v>
      </c>
      <c r="G329" s="8">
        <v>0.339</v>
      </c>
    </row>
    <row r="330">
      <c r="A330" s="9" t="str">
        <f t="shared" si="380"/>
        <v>PROREP (L)</v>
      </c>
      <c r="B330" s="9" t="str">
        <f>IF(ISBLANK(A326),"",LEFT(B329,27)&amp;VALUE(RIGHT(B329,1)+1))</f>
        <v>JKL240702PROREP_20C_sample_5</v>
      </c>
      <c r="C330" s="6" t="str">
        <f t="shared" ref="C330:D330" si="384">C329</f>
        <v>Protea repens</v>
      </c>
      <c r="D330" s="6" t="str">
        <f t="shared" si="384"/>
        <v>20C</v>
      </c>
      <c r="E330" s="10">
        <f>IF(ISBLANK(A326),"",E329+1)</f>
        <v>5</v>
      </c>
      <c r="F330" s="11">
        <f t="shared" si="382"/>
        <v>45478.61181</v>
      </c>
      <c r="G330" s="8">
        <v>0.467</v>
      </c>
    </row>
    <row r="331">
      <c r="A331" s="12" t="str">
        <f t="shared" si="380"/>
        <v>PROREP (L)</v>
      </c>
      <c r="B331" s="12" t="str">
        <f>IF(ISBLANK(A326),"",LEFT(B330,27)&amp;VALUE(RIGHT(B330,1)+1))</f>
        <v>JKL240702PROREP_20C_sample_6</v>
      </c>
      <c r="C331" s="13" t="str">
        <f t="shared" ref="C331:D331" si="385">C330</f>
        <v>Protea repens</v>
      </c>
      <c r="D331" s="13" t="str">
        <f t="shared" si="385"/>
        <v>20C</v>
      </c>
      <c r="E331" s="14">
        <f>IF(ISBLANK(A326),"",E330+1)</f>
        <v>6</v>
      </c>
      <c r="F331" s="15">
        <f t="shared" si="382"/>
        <v>45478.61181</v>
      </c>
      <c r="G331" s="16">
        <v>0.392</v>
      </c>
    </row>
    <row r="332">
      <c r="A332" s="5" t="s">
        <v>9</v>
      </c>
      <c r="B332" s="6" t="str">
        <f t="array" ref="B332">IF(ISBLANK(A332),"",IF(A332="PROREP (L)",VLOOKUP(LEFT($A332,6),'Data Feed (20C)'!$A$1:$G$10,2,FALSE),IF(A332="PROREP (S)", INDEX('Data Feed (20C)'!B:B, MATCH(LEFT($A332,6), 'Data Feed (20C)'!$A$1:$A$10, 0) + 1), VLOOKUP($A332,'Data Feed (20C)'!$A$1:$G$10,2,FALSE))))</f>
        <v>JKS240702PROREP_20C_sample_1</v>
      </c>
      <c r="C332" s="6" t="str">
        <f t="array" ref="C332">IF(ISBLANK(A332),"",IF(A332="PROREP (L)",VLOOKUP(LEFT($A332,6),'Data Feed (20C)'!$A$1:$G$10,3,FALSE),IF(A332="PROREP (S)", INDEX('Data Feed (20C)'!C:C, MATCH(LEFT($A332,6), 'Data Feed (20C)'!$A$1:$A$10, 0) + 1, +1), VLOOKUP($A332,'Data Feed (20C)'!$A$1:$G$10,3,FALSE))))</f>
        <v>Protea repens</v>
      </c>
      <c r="D332" s="6" t="str">
        <f t="array" ref="D332">IF(ISBLANK(A332),"",IF(A332="PROREP (L)",VLOOKUP(LEFT($A332,6),'Data Feed (20C)'!$A$1:$G$10,4,FALSE),IF(A332="PROREP (S)", INDEX('Data Feed (20C)'!D:D, MATCH(LEFT($A332,6), 'Data Feed (20C)'!$A$1:$A$10, 0) + 1, +1), VLOOKUP($A332,'Data Feed (20C)'!$A$1:$G$10,4,FALSE))))</f>
        <v>20C</v>
      </c>
      <c r="E332" s="6">
        <f t="array" ref="E332">IF(ISBLANK(A332),"",IF(A332="PROREP (L)",VLOOKUP(LEFT($A332,6),'Data Feed (20C)'!$A$1:$G$10,7,FALSE),IF(A332="PROREP (S)", INDEX('Data Feed (20C)'!G:G, MATCH(LEFT($A332,6), 'Data Feed (20C)'!$A$1:$A$10, 0) + 1, +1), VLOOKUP($A332,'Data Feed (20C)'!$A$1:$G$10,7,FALSE))))</f>
        <v>1</v>
      </c>
      <c r="F332" s="7">
        <v>45478.61319444444</v>
      </c>
      <c r="G332" s="8">
        <v>3.291</v>
      </c>
    </row>
    <row r="333">
      <c r="A333" s="9" t="str">
        <f t="shared" ref="A333:A337" si="387">A332</f>
        <v>PROREP (S)</v>
      </c>
      <c r="B333" s="9" t="str">
        <f>IF(ISBLANK(A332),"",LEFT(B332,27)&amp;VALUE(RIGHT(B332,1)+1))</f>
        <v>JKS240702PROREP_20C_sample_2</v>
      </c>
      <c r="C333" s="6" t="str">
        <f t="shared" ref="C333:D333" si="386">C332</f>
        <v>Protea repens</v>
      </c>
      <c r="D333" s="6" t="str">
        <f t="shared" si="386"/>
        <v>20C</v>
      </c>
      <c r="E333" s="10">
        <f>IF(ISBLANK(A332),"",E332+1)</f>
        <v>2</v>
      </c>
      <c r="F333" s="11">
        <f t="shared" ref="F333:F337" si="389">F332</f>
        <v>45478.61319</v>
      </c>
      <c r="G333" s="8">
        <v>12.26</v>
      </c>
    </row>
    <row r="334">
      <c r="A334" s="9" t="str">
        <f t="shared" si="387"/>
        <v>PROREP (S)</v>
      </c>
      <c r="B334" s="9" t="str">
        <f>IF(ISBLANK(A332),"",LEFT(B333,27)&amp;VALUE(RIGHT(B333,1)+1))</f>
        <v>JKS240702PROREP_20C_sample_3</v>
      </c>
      <c r="C334" s="6" t="str">
        <f t="shared" ref="C334:D334" si="388">C333</f>
        <v>Protea repens</v>
      </c>
      <c r="D334" s="6" t="str">
        <f t="shared" si="388"/>
        <v>20C</v>
      </c>
      <c r="E334" s="10">
        <f>IF(ISBLANK(A332),"",E333+1)</f>
        <v>3</v>
      </c>
      <c r="F334" s="11">
        <f t="shared" si="389"/>
        <v>45478.61319</v>
      </c>
      <c r="G334" s="8">
        <v>12.987</v>
      </c>
    </row>
    <row r="335">
      <c r="A335" s="9" t="str">
        <f t="shared" si="387"/>
        <v>PROREP (S)</v>
      </c>
      <c r="B335" s="9" t="str">
        <f>IF(ISBLANK(A332),"",LEFT(B334,27)&amp;VALUE(RIGHT(B334,1)+1))</f>
        <v>JKS240702PROREP_20C_sample_4</v>
      </c>
      <c r="C335" s="6" t="str">
        <f t="shared" ref="C335:D335" si="390">C334</f>
        <v>Protea repens</v>
      </c>
      <c r="D335" s="6" t="str">
        <f t="shared" si="390"/>
        <v>20C</v>
      </c>
      <c r="E335" s="10">
        <f>IF(ISBLANK(A332),"",E334+1)</f>
        <v>4</v>
      </c>
      <c r="F335" s="11">
        <f t="shared" si="389"/>
        <v>45478.61319</v>
      </c>
      <c r="G335" s="8">
        <v>7.055</v>
      </c>
    </row>
    <row r="336">
      <c r="A336" s="9" t="str">
        <f t="shared" si="387"/>
        <v>PROREP (S)</v>
      </c>
      <c r="B336" s="9" t="str">
        <f>IF(ISBLANK(A332),"",LEFT(B335,27)&amp;VALUE(RIGHT(B335,1)+1))</f>
        <v>JKS240702PROREP_20C_sample_5</v>
      </c>
      <c r="C336" s="6" t="str">
        <f t="shared" ref="C336:D336" si="391">C335</f>
        <v>Protea repens</v>
      </c>
      <c r="D336" s="6" t="str">
        <f t="shared" si="391"/>
        <v>20C</v>
      </c>
      <c r="E336" s="10">
        <f>IF(ISBLANK(A332),"",E335+1)</f>
        <v>5</v>
      </c>
      <c r="F336" s="11">
        <f t="shared" si="389"/>
        <v>45478.61319</v>
      </c>
      <c r="G336" s="8">
        <v>6.677</v>
      </c>
    </row>
    <row r="337">
      <c r="A337" s="12" t="str">
        <f t="shared" si="387"/>
        <v>PROREP (S)</v>
      </c>
      <c r="B337" s="12" t="str">
        <f>IF(ISBLANK(A332),"",LEFT(B336,27)&amp;VALUE(RIGHT(B336,1)+1))</f>
        <v>JKS240702PROREP_20C_sample_6</v>
      </c>
      <c r="C337" s="13" t="str">
        <f t="shared" ref="C337:D337" si="392">C336</f>
        <v>Protea repens</v>
      </c>
      <c r="D337" s="13" t="str">
        <f t="shared" si="392"/>
        <v>20C</v>
      </c>
      <c r="E337" s="14">
        <f>IF(ISBLANK(A332),"",E336+1)</f>
        <v>6</v>
      </c>
      <c r="F337" s="15">
        <f t="shared" si="389"/>
        <v>45478.61319</v>
      </c>
      <c r="G337" s="16">
        <v>24.606</v>
      </c>
    </row>
    <row r="338">
      <c r="A338" s="5" t="s">
        <v>10</v>
      </c>
      <c r="B338" s="6" t="str">
        <f t="array" ref="B338">IF(ISBLANK(A338),"",IF(A338="PROREP (L)",VLOOKUP(LEFT($A338,6),'Data Feed (20C)'!$A$1:$G$10,2,FALSE),IF(A338="PROREP (S)", INDEX('Data Feed (20C)'!B:B, MATCH(LEFT($A338,6), 'Data Feed (20C)'!$A$1:$A$10, 0) + 1), VLOOKUP($A338,'Data Feed (20C)'!$A$1:$G$10,2,FALSE))))</f>
        <v>JKS240702CANCON_20C_sample_1</v>
      </c>
      <c r="C338" s="6" t="str">
        <f t="array" ref="C338">IF(ISBLANK(A338),"",IF(A338="PROREP (L)",VLOOKUP(LEFT($A338,6),'Data Feed (20C)'!$A$1:$G$10,3,FALSE),IF(A338="PROREP (S)", INDEX('Data Feed (20C)'!C:C, MATCH(LEFT($A338,6), 'Data Feed (20C)'!$A$1:$A$10, 0) + 1, +1), VLOOKUP($A338,'Data Feed (20C)'!$A$1:$G$10,3,FALSE))))</f>
        <v>Cannomois congesta</v>
      </c>
      <c r="D338" s="6" t="str">
        <f t="array" ref="D338">IF(ISBLANK(A338),"",IF(A338="PROREP (L)",VLOOKUP(LEFT($A338,6),'Data Feed (20C)'!$A$1:$G$10,4,FALSE),IF(A338="PROREP (S)", INDEX('Data Feed (20C)'!D:D, MATCH(LEFT($A338,6), 'Data Feed (20C)'!$A$1:$A$10, 0) + 1, +1), VLOOKUP($A338,'Data Feed (20C)'!$A$1:$G$10,4,FALSE))))</f>
        <v>20C</v>
      </c>
      <c r="E338" s="6">
        <f t="array" ref="E338">IF(ISBLANK(A338),"",IF(A338="PROREP (L)",VLOOKUP(LEFT($A338,6),'Data Feed (20C)'!$A$1:$G$10,7,FALSE),IF(A338="PROREP (S)", INDEX('Data Feed (20C)'!G:G, MATCH(LEFT($A338,6), 'Data Feed (20C)'!$A$1:$A$10, 0) + 1, +1), VLOOKUP($A338,'Data Feed (20C)'!$A$1:$G$10,7,FALSE))))</f>
        <v>1</v>
      </c>
      <c r="F338" s="7">
        <v>45478.61597222222</v>
      </c>
      <c r="G338" s="8">
        <v>1.934</v>
      </c>
    </row>
    <row r="339">
      <c r="A339" s="9" t="str">
        <f t="shared" ref="A339:A343" si="394">A338</f>
        <v>CANCON</v>
      </c>
      <c r="B339" s="9" t="str">
        <f>IF(ISBLANK(A338),"",LEFT(B338,27)&amp;VALUE(RIGHT(B338,1)+1))</f>
        <v>JKS240702CANCON_20C_sample_2</v>
      </c>
      <c r="C339" s="6" t="str">
        <f t="shared" ref="C339:D339" si="393">C338</f>
        <v>Cannomois congesta</v>
      </c>
      <c r="D339" s="6" t="str">
        <f t="shared" si="393"/>
        <v>20C</v>
      </c>
      <c r="E339" s="10">
        <f>IF(ISBLANK(A338),"",E338+1)</f>
        <v>2</v>
      </c>
      <c r="F339" s="11">
        <f t="shared" ref="F339:F343" si="396">F338</f>
        <v>45478.61597</v>
      </c>
      <c r="G339" s="8">
        <v>2.167</v>
      </c>
    </row>
    <row r="340">
      <c r="A340" s="9" t="str">
        <f t="shared" si="394"/>
        <v>CANCON</v>
      </c>
      <c r="B340" s="9" t="str">
        <f>IF(ISBLANK(A338),"",LEFT(B339,27)&amp;VALUE(RIGHT(B339,1)+1))</f>
        <v>JKS240702CANCON_20C_sample_3</v>
      </c>
      <c r="C340" s="6" t="str">
        <f t="shared" ref="C340:D340" si="395">C339</f>
        <v>Cannomois congesta</v>
      </c>
      <c r="D340" s="6" t="str">
        <f t="shared" si="395"/>
        <v>20C</v>
      </c>
      <c r="E340" s="10">
        <f>IF(ISBLANK(A338),"",E339+1)</f>
        <v>3</v>
      </c>
      <c r="F340" s="11">
        <f t="shared" si="396"/>
        <v>45478.61597</v>
      </c>
      <c r="G340" s="8">
        <v>1.058</v>
      </c>
    </row>
    <row r="341">
      <c r="A341" s="9" t="str">
        <f t="shared" si="394"/>
        <v>CANCON</v>
      </c>
      <c r="B341" s="9" t="str">
        <f>IF(ISBLANK(A338),"",LEFT(B340,27)&amp;VALUE(RIGHT(B340,1)+1))</f>
        <v>JKS240702CANCON_20C_sample_4</v>
      </c>
      <c r="C341" s="6" t="str">
        <f t="shared" ref="C341:D341" si="397">C340</f>
        <v>Cannomois congesta</v>
      </c>
      <c r="D341" s="6" t="str">
        <f t="shared" si="397"/>
        <v>20C</v>
      </c>
      <c r="E341" s="10">
        <f>IF(ISBLANK(A338),"",E340+1)</f>
        <v>4</v>
      </c>
      <c r="F341" s="11">
        <f t="shared" si="396"/>
        <v>45478.61597</v>
      </c>
      <c r="G341" s="8">
        <v>1.888</v>
      </c>
    </row>
    <row r="342">
      <c r="A342" s="9" t="str">
        <f t="shared" si="394"/>
        <v>CANCON</v>
      </c>
      <c r="B342" s="9" t="str">
        <f>IF(ISBLANK(A338),"",LEFT(B341,27)&amp;VALUE(RIGHT(B341,1)+1))</f>
        <v>JKS240702CANCON_20C_sample_5</v>
      </c>
      <c r="C342" s="6" t="str">
        <f t="shared" ref="C342:D342" si="398">C341</f>
        <v>Cannomois congesta</v>
      </c>
      <c r="D342" s="6" t="str">
        <f t="shared" si="398"/>
        <v>20C</v>
      </c>
      <c r="E342" s="10">
        <f>IF(ISBLANK(A338),"",E341+1)</f>
        <v>5</v>
      </c>
      <c r="F342" s="11">
        <f t="shared" si="396"/>
        <v>45478.61597</v>
      </c>
      <c r="G342" s="8">
        <v>2.044</v>
      </c>
    </row>
    <row r="343">
      <c r="A343" s="12" t="str">
        <f t="shared" si="394"/>
        <v>CANCON</v>
      </c>
      <c r="B343" s="12" t="str">
        <f>IF(ISBLANK(A338),"",LEFT(B342,27)&amp;VALUE(RIGHT(B342,1)+1))</f>
        <v>JKS240702CANCON_20C_sample_6</v>
      </c>
      <c r="C343" s="13" t="str">
        <f t="shared" ref="C343:D343" si="399">C342</f>
        <v>Cannomois congesta</v>
      </c>
      <c r="D343" s="13" t="str">
        <f t="shared" si="399"/>
        <v>20C</v>
      </c>
      <c r="E343" s="14">
        <f>IF(ISBLANK(A338),"",E342+1)</f>
        <v>6</v>
      </c>
      <c r="F343" s="15">
        <f t="shared" si="396"/>
        <v>45478.61597</v>
      </c>
      <c r="G343" s="16">
        <v>1.452</v>
      </c>
    </row>
    <row r="344">
      <c r="A344" s="5" t="s">
        <v>7</v>
      </c>
      <c r="B344" s="6" t="str">
        <f t="array" ref="B344">IF(ISBLANK(A344),"",IF(A344="PROREP (L)",VLOOKUP(LEFT($A344,6),'Data Feed (20C)'!$A$1:$G$10,2,FALSE),IF(A344="PROREP (S)", INDEX('Data Feed (20C)'!B:B, MATCH(LEFT($A344,6), 'Data Feed (20C)'!$A$1:$A$10, 0) + 1), VLOOKUP($A344,'Data Feed (20C)'!$A$1:$G$10,2,FALSE))))</f>
        <v>JKS240702ERIMON_20C_sample_1</v>
      </c>
      <c r="C344" s="6" t="str">
        <f t="array" ref="C344">IF(ISBLANK(A344),"",IF(A344="PROREP (L)",VLOOKUP(LEFT($A344,6),'Data Feed (20C)'!$A$1:$G$10,3,FALSE),IF(A344="PROREP (S)", INDEX('Data Feed (20C)'!C:C, MATCH(LEFT($A344,6), 'Data Feed (20C)'!$A$1:$A$10, 0) + 1, +1), VLOOKUP($A344,'Data Feed (20C)'!$A$1:$G$10,3,FALSE))))</f>
        <v>Erica monsoniana</v>
      </c>
      <c r="D344" s="6" t="str">
        <f t="array" ref="D344">IF(ISBLANK(A344),"",IF(A344="PROREP (L)",VLOOKUP(LEFT($A344,6),'Data Feed (20C)'!$A$1:$G$10,4,FALSE),IF(A344="PROREP (S)", INDEX('Data Feed (20C)'!D:D, MATCH(LEFT($A344,6), 'Data Feed (20C)'!$A$1:$A$10, 0) + 1, +1), VLOOKUP($A344,'Data Feed (20C)'!$A$1:$G$10,4,FALSE))))</f>
        <v>20C</v>
      </c>
      <c r="E344" s="6">
        <f t="array" ref="E344">IF(ISBLANK(A344),"",IF(A344="PROREP (L)",VLOOKUP(LEFT($A344,6),'Data Feed (20C)'!$A$1:$G$10,7,FALSE),IF(A344="PROREP (S)", INDEX('Data Feed (20C)'!G:G, MATCH(LEFT($A344,6), 'Data Feed (20C)'!$A$1:$A$10, 0) + 1, +1), VLOOKUP($A344,'Data Feed (20C)'!$A$1:$G$10,7,FALSE))))</f>
        <v>1</v>
      </c>
      <c r="F344" s="7">
        <v>45478.70347222222</v>
      </c>
      <c r="G344" s="8">
        <v>2.178</v>
      </c>
    </row>
    <row r="345">
      <c r="A345" s="9" t="str">
        <f t="shared" ref="A345:A349" si="401">A344</f>
        <v>ERIMON</v>
      </c>
      <c r="B345" s="9" t="str">
        <f>IF(ISBLANK(A344),"",LEFT(B344,27)&amp;VALUE(RIGHT(B344,1)+1))</f>
        <v>JKS240702ERIMON_20C_sample_2</v>
      </c>
      <c r="C345" s="6" t="str">
        <f t="shared" ref="C345:D345" si="400">C344</f>
        <v>Erica monsoniana</v>
      </c>
      <c r="D345" s="6" t="str">
        <f t="shared" si="400"/>
        <v>20C</v>
      </c>
      <c r="E345" s="10">
        <f>IF(ISBLANK(A344),"",E344+1)</f>
        <v>2</v>
      </c>
      <c r="F345" s="11">
        <f t="shared" ref="F345:F349" si="403">F344</f>
        <v>45478.70347</v>
      </c>
      <c r="G345" s="8">
        <v>1.885</v>
      </c>
    </row>
    <row r="346">
      <c r="A346" s="9" t="str">
        <f t="shared" si="401"/>
        <v>ERIMON</v>
      </c>
      <c r="B346" s="9" t="str">
        <f>IF(ISBLANK(A344),"",LEFT(B345,27)&amp;VALUE(RIGHT(B345,1)+1))</f>
        <v>JKS240702ERIMON_20C_sample_3</v>
      </c>
      <c r="C346" s="6" t="str">
        <f t="shared" ref="C346:D346" si="402">C345</f>
        <v>Erica monsoniana</v>
      </c>
      <c r="D346" s="6" t="str">
        <f t="shared" si="402"/>
        <v>20C</v>
      </c>
      <c r="E346" s="10">
        <f>IF(ISBLANK(A344),"",E345+1)</f>
        <v>3</v>
      </c>
      <c r="F346" s="11">
        <f t="shared" si="403"/>
        <v>45478.70347</v>
      </c>
      <c r="G346" s="8">
        <v>1.799</v>
      </c>
    </row>
    <row r="347">
      <c r="A347" s="9" t="str">
        <f t="shared" si="401"/>
        <v>ERIMON</v>
      </c>
      <c r="B347" s="9" t="str">
        <f>IF(ISBLANK(A344),"",LEFT(B346,27)&amp;VALUE(RIGHT(B346,1)+1))</f>
        <v>JKS240702ERIMON_20C_sample_4</v>
      </c>
      <c r="C347" s="6" t="str">
        <f t="shared" ref="C347:D347" si="404">C346</f>
        <v>Erica monsoniana</v>
      </c>
      <c r="D347" s="6" t="str">
        <f t="shared" si="404"/>
        <v>20C</v>
      </c>
      <c r="E347" s="10">
        <f>IF(ISBLANK(A344),"",E346+1)</f>
        <v>4</v>
      </c>
      <c r="F347" s="11">
        <f t="shared" si="403"/>
        <v>45478.70347</v>
      </c>
      <c r="G347" s="8">
        <v>1.112</v>
      </c>
    </row>
    <row r="348">
      <c r="A348" s="9" t="str">
        <f t="shared" si="401"/>
        <v>ERIMON</v>
      </c>
      <c r="B348" s="9" t="str">
        <f>IF(ISBLANK(A344),"",LEFT(B347,27)&amp;VALUE(RIGHT(B347,1)+1))</f>
        <v>JKS240702ERIMON_20C_sample_5</v>
      </c>
      <c r="C348" s="6" t="str">
        <f t="shared" ref="C348:D348" si="405">C347</f>
        <v>Erica monsoniana</v>
      </c>
      <c r="D348" s="6" t="str">
        <f t="shared" si="405"/>
        <v>20C</v>
      </c>
      <c r="E348" s="10">
        <f>IF(ISBLANK(A344),"",E347+1)</f>
        <v>5</v>
      </c>
      <c r="F348" s="11">
        <f t="shared" si="403"/>
        <v>45478.70347</v>
      </c>
      <c r="G348" s="8">
        <v>1.531</v>
      </c>
    </row>
    <row r="349">
      <c r="A349" s="12" t="str">
        <f t="shared" si="401"/>
        <v>ERIMON</v>
      </c>
      <c r="B349" s="12" t="str">
        <f>IF(ISBLANK(A344),"",LEFT(B348,27)&amp;VALUE(RIGHT(B348,1)+1))</f>
        <v>JKS240702ERIMON_20C_sample_6</v>
      </c>
      <c r="C349" s="13" t="str">
        <f t="shared" ref="C349:D349" si="406">C348</f>
        <v>Erica monsoniana</v>
      </c>
      <c r="D349" s="13" t="str">
        <f t="shared" si="406"/>
        <v>20C</v>
      </c>
      <c r="E349" s="14">
        <f>IF(ISBLANK(A344),"",E348+1)</f>
        <v>6</v>
      </c>
      <c r="F349" s="15">
        <f t="shared" si="403"/>
        <v>45478.70347</v>
      </c>
      <c r="G349" s="16">
        <v>0.749</v>
      </c>
    </row>
    <row r="350">
      <c r="A350" s="5" t="s">
        <v>8</v>
      </c>
      <c r="B350" s="6" t="str">
        <f t="array" ref="B350">IF(ISBLANK(A350),"",IF(A350="PROREP (L)",VLOOKUP(LEFT($A350,6),'Data Feed (20C)'!$A$1:$G$10,2,FALSE),IF(A350="PROREP (S)", INDEX('Data Feed (20C)'!B:B, MATCH(LEFT($A350,6), 'Data Feed (20C)'!$A$1:$A$10, 0) + 1), VLOOKUP($A350,'Data Feed (20C)'!$A$1:$G$10,2,FALSE))))</f>
        <v>JKL240702PROREP_20C_sample_1</v>
      </c>
      <c r="C350" s="6" t="str">
        <f t="array" ref="C350">IF(ISBLANK(A350),"",IF(A350="PROREP (L)",VLOOKUP(LEFT($A350,6),'Data Feed (20C)'!$A$1:$G$10,3,FALSE),IF(A350="PROREP (S)", INDEX('Data Feed (20C)'!C:C, MATCH(LEFT($A350,6), 'Data Feed (20C)'!$A$1:$A$10, 0) + 1, +1), VLOOKUP($A350,'Data Feed (20C)'!$A$1:$G$10,3,FALSE))))</f>
        <v>Protea repens</v>
      </c>
      <c r="D350" s="6" t="str">
        <f t="array" ref="D350">IF(ISBLANK(A350),"",IF(A350="PROREP (L)",VLOOKUP(LEFT($A350,6),'Data Feed (20C)'!$A$1:$G$10,4,FALSE),IF(A350="PROREP (S)", INDEX('Data Feed (20C)'!D:D, MATCH(LEFT($A350,6), 'Data Feed (20C)'!$A$1:$A$10, 0) + 1, +1), VLOOKUP($A350,'Data Feed (20C)'!$A$1:$G$10,4,FALSE))))</f>
        <v>20C</v>
      </c>
      <c r="E350" s="6">
        <f t="array" ref="E350">IF(ISBLANK(A350),"",IF(A350="PROREP (L)",VLOOKUP(LEFT($A350,6),'Data Feed (20C)'!$A$1:$G$10,7,FALSE),IF(A350="PROREP (S)", INDEX('Data Feed (20C)'!G:G, MATCH(LEFT($A350,6), 'Data Feed (20C)'!$A$1:$A$10, 0) + 1, +1), VLOOKUP($A350,'Data Feed (20C)'!$A$1:$G$10,7,FALSE))))</f>
        <v>1</v>
      </c>
      <c r="F350" s="7">
        <v>45478.70486111111</v>
      </c>
      <c r="G350" s="8">
        <v>0.559</v>
      </c>
    </row>
    <row r="351">
      <c r="A351" s="9" t="str">
        <f t="shared" ref="A351:A355" si="408">A350</f>
        <v>PROREP (L)</v>
      </c>
      <c r="B351" s="9" t="str">
        <f>IF(ISBLANK(A350),"",LEFT(B350,27)&amp;VALUE(RIGHT(B350,1)+1))</f>
        <v>JKL240702PROREP_20C_sample_2</v>
      </c>
      <c r="C351" s="6" t="str">
        <f t="shared" ref="C351:D351" si="407">C350</f>
        <v>Protea repens</v>
      </c>
      <c r="D351" s="6" t="str">
        <f t="shared" si="407"/>
        <v>20C</v>
      </c>
      <c r="E351" s="10">
        <f>IF(ISBLANK(A350),"",E350+1)</f>
        <v>2</v>
      </c>
      <c r="F351" s="11">
        <f t="shared" ref="F351:F355" si="410">F350</f>
        <v>45478.70486</v>
      </c>
      <c r="G351" s="8">
        <v>0.432</v>
      </c>
    </row>
    <row r="352">
      <c r="A352" s="9" t="str">
        <f t="shared" si="408"/>
        <v>PROREP (L)</v>
      </c>
      <c r="B352" s="9" t="str">
        <f>IF(ISBLANK(A350),"",LEFT(B351,27)&amp;VALUE(RIGHT(B351,1)+1))</f>
        <v>JKL240702PROREP_20C_sample_3</v>
      </c>
      <c r="C352" s="6" t="str">
        <f t="shared" ref="C352:D352" si="409">C351</f>
        <v>Protea repens</v>
      </c>
      <c r="D352" s="6" t="str">
        <f t="shared" si="409"/>
        <v>20C</v>
      </c>
      <c r="E352" s="10">
        <f>IF(ISBLANK(A350),"",E351+1)</f>
        <v>3</v>
      </c>
      <c r="F352" s="11">
        <f t="shared" si="410"/>
        <v>45478.70486</v>
      </c>
      <c r="G352" s="8">
        <v>0.661</v>
      </c>
    </row>
    <row r="353">
      <c r="A353" s="9" t="str">
        <f t="shared" si="408"/>
        <v>PROREP (L)</v>
      </c>
      <c r="B353" s="9" t="str">
        <f>IF(ISBLANK(A350),"",LEFT(B352,27)&amp;VALUE(RIGHT(B352,1)+1))</f>
        <v>JKL240702PROREP_20C_sample_4</v>
      </c>
      <c r="C353" s="6" t="str">
        <f t="shared" ref="C353:D353" si="411">C352</f>
        <v>Protea repens</v>
      </c>
      <c r="D353" s="6" t="str">
        <f t="shared" si="411"/>
        <v>20C</v>
      </c>
      <c r="E353" s="10">
        <f>IF(ISBLANK(A350),"",E352+1)</f>
        <v>4</v>
      </c>
      <c r="F353" s="11">
        <f t="shared" si="410"/>
        <v>45478.70486</v>
      </c>
      <c r="G353" s="8">
        <v>0.346</v>
      </c>
    </row>
    <row r="354">
      <c r="A354" s="9" t="str">
        <f t="shared" si="408"/>
        <v>PROREP (L)</v>
      </c>
      <c r="B354" s="9" t="str">
        <f>IF(ISBLANK(A350),"",LEFT(B353,27)&amp;VALUE(RIGHT(B353,1)+1))</f>
        <v>JKL240702PROREP_20C_sample_5</v>
      </c>
      <c r="C354" s="6" t="str">
        <f t="shared" ref="C354:D354" si="412">C353</f>
        <v>Protea repens</v>
      </c>
      <c r="D354" s="6" t="str">
        <f t="shared" si="412"/>
        <v>20C</v>
      </c>
      <c r="E354" s="10">
        <f>IF(ISBLANK(A350),"",E353+1)</f>
        <v>5</v>
      </c>
      <c r="F354" s="11">
        <f t="shared" si="410"/>
        <v>45478.70486</v>
      </c>
      <c r="G354" s="8">
        <v>0.471</v>
      </c>
    </row>
    <row r="355">
      <c r="A355" s="12" t="str">
        <f t="shared" si="408"/>
        <v>PROREP (L)</v>
      </c>
      <c r="B355" s="12" t="str">
        <f>IF(ISBLANK(A350),"",LEFT(B354,27)&amp;VALUE(RIGHT(B354,1)+1))</f>
        <v>JKL240702PROREP_20C_sample_6</v>
      </c>
      <c r="C355" s="13" t="str">
        <f t="shared" ref="C355:D355" si="413">C354</f>
        <v>Protea repens</v>
      </c>
      <c r="D355" s="13" t="str">
        <f t="shared" si="413"/>
        <v>20C</v>
      </c>
      <c r="E355" s="14">
        <f>IF(ISBLANK(A350),"",E354+1)</f>
        <v>6</v>
      </c>
      <c r="F355" s="15">
        <f t="shared" si="410"/>
        <v>45478.70486</v>
      </c>
      <c r="G355" s="16">
        <v>0.4</v>
      </c>
    </row>
    <row r="356">
      <c r="A356" s="5" t="s">
        <v>9</v>
      </c>
      <c r="B356" s="6" t="str">
        <f t="array" ref="B356">IF(ISBLANK(A356),"",IF(A356="PROREP (L)",VLOOKUP(LEFT($A356,6),'Data Feed (20C)'!$A$1:$G$10,2,FALSE),IF(A356="PROREP (S)", INDEX('Data Feed (20C)'!B:B, MATCH(LEFT($A356,6), 'Data Feed (20C)'!$A$1:$A$10, 0) + 1), VLOOKUP($A356,'Data Feed (20C)'!$A$1:$G$10,2,FALSE))))</f>
        <v>JKS240702PROREP_20C_sample_1</v>
      </c>
      <c r="C356" s="6" t="str">
        <f t="array" ref="C356">IF(ISBLANK(A356),"",IF(A356="PROREP (L)",VLOOKUP(LEFT($A356,6),'Data Feed (20C)'!$A$1:$G$10,3,FALSE),IF(A356="PROREP (S)", INDEX('Data Feed (20C)'!C:C, MATCH(LEFT($A356,6), 'Data Feed (20C)'!$A$1:$A$10, 0) + 1, +1), VLOOKUP($A356,'Data Feed (20C)'!$A$1:$G$10,3,FALSE))))</f>
        <v>Protea repens</v>
      </c>
      <c r="D356" s="6" t="str">
        <f t="array" ref="D356">IF(ISBLANK(A356),"",IF(A356="PROREP (L)",VLOOKUP(LEFT($A356,6),'Data Feed (20C)'!$A$1:$G$10,4,FALSE),IF(A356="PROREP (S)", INDEX('Data Feed (20C)'!D:D, MATCH(LEFT($A356,6), 'Data Feed (20C)'!$A$1:$A$10, 0) + 1, +1), VLOOKUP($A356,'Data Feed (20C)'!$A$1:$G$10,4,FALSE))))</f>
        <v>20C</v>
      </c>
      <c r="E356" s="6">
        <f t="array" ref="E356">IF(ISBLANK(A356),"",IF(A356="PROREP (L)",VLOOKUP(LEFT($A356,6),'Data Feed (20C)'!$A$1:$G$10,7,FALSE),IF(A356="PROREP (S)", INDEX('Data Feed (20C)'!G:G, MATCH(LEFT($A356,6), 'Data Feed (20C)'!$A$1:$A$10, 0) + 1, +1), VLOOKUP($A356,'Data Feed (20C)'!$A$1:$G$10,7,FALSE))))</f>
        <v>1</v>
      </c>
      <c r="F356" s="7">
        <v>45478.70694444444</v>
      </c>
      <c r="G356" s="8">
        <v>3.278</v>
      </c>
    </row>
    <row r="357">
      <c r="A357" s="9" t="str">
        <f t="shared" ref="A357:A361" si="415">A356</f>
        <v>PROREP (S)</v>
      </c>
      <c r="B357" s="9" t="str">
        <f>IF(ISBLANK(A356),"",LEFT(B356,27)&amp;VALUE(RIGHT(B356,1)+1))</f>
        <v>JKS240702PROREP_20C_sample_2</v>
      </c>
      <c r="C357" s="6" t="str">
        <f t="shared" ref="C357:D357" si="414">C356</f>
        <v>Protea repens</v>
      </c>
      <c r="D357" s="6" t="str">
        <f t="shared" si="414"/>
        <v>20C</v>
      </c>
      <c r="E357" s="10">
        <f>IF(ISBLANK(A356),"",E356+1)</f>
        <v>2</v>
      </c>
      <c r="F357" s="11">
        <f t="shared" ref="F357:F361" si="417">F356</f>
        <v>45478.70694</v>
      </c>
      <c r="G357" s="8">
        <v>12.199</v>
      </c>
    </row>
    <row r="358">
      <c r="A358" s="9" t="str">
        <f t="shared" si="415"/>
        <v>PROREP (S)</v>
      </c>
      <c r="B358" s="9" t="str">
        <f>IF(ISBLANK(A356),"",LEFT(B357,27)&amp;VALUE(RIGHT(B357,1)+1))</f>
        <v>JKS240702PROREP_20C_sample_3</v>
      </c>
      <c r="C358" s="6" t="str">
        <f t="shared" ref="C358:D358" si="416">C357</f>
        <v>Protea repens</v>
      </c>
      <c r="D358" s="6" t="str">
        <f t="shared" si="416"/>
        <v>20C</v>
      </c>
      <c r="E358" s="10">
        <f>IF(ISBLANK(A356),"",E357+1)</f>
        <v>3</v>
      </c>
      <c r="F358" s="11">
        <f t="shared" si="417"/>
        <v>45478.70694</v>
      </c>
      <c r="G358" s="8">
        <v>12.618</v>
      </c>
    </row>
    <row r="359">
      <c r="A359" s="9" t="str">
        <f t="shared" si="415"/>
        <v>PROREP (S)</v>
      </c>
      <c r="B359" s="9" t="str">
        <f>IF(ISBLANK(A356),"",LEFT(B358,27)&amp;VALUE(RIGHT(B358,1)+1))</f>
        <v>JKS240702PROREP_20C_sample_4</v>
      </c>
      <c r="C359" s="6" t="str">
        <f t="shared" ref="C359:D359" si="418">C358</f>
        <v>Protea repens</v>
      </c>
      <c r="D359" s="6" t="str">
        <f t="shared" si="418"/>
        <v>20C</v>
      </c>
      <c r="E359" s="10">
        <f>IF(ISBLANK(A356),"",E358+1)</f>
        <v>4</v>
      </c>
      <c r="F359" s="11">
        <f t="shared" si="417"/>
        <v>45478.70694</v>
      </c>
      <c r="G359" s="8">
        <v>7.016</v>
      </c>
    </row>
    <row r="360">
      <c r="A360" s="9" t="str">
        <f t="shared" si="415"/>
        <v>PROREP (S)</v>
      </c>
      <c r="B360" s="9" t="str">
        <f>IF(ISBLANK(A356),"",LEFT(B359,27)&amp;VALUE(RIGHT(B359,1)+1))</f>
        <v>JKS240702PROREP_20C_sample_5</v>
      </c>
      <c r="C360" s="6" t="str">
        <f t="shared" ref="C360:D360" si="419">C359</f>
        <v>Protea repens</v>
      </c>
      <c r="D360" s="6" t="str">
        <f t="shared" si="419"/>
        <v>20C</v>
      </c>
      <c r="E360" s="10">
        <f>IF(ISBLANK(A356),"",E359+1)</f>
        <v>5</v>
      </c>
      <c r="F360" s="11">
        <f t="shared" si="417"/>
        <v>45478.70694</v>
      </c>
      <c r="G360" s="8">
        <v>6.643</v>
      </c>
    </row>
    <row r="361">
      <c r="A361" s="12" t="str">
        <f t="shared" si="415"/>
        <v>PROREP (S)</v>
      </c>
      <c r="B361" s="12" t="str">
        <f>IF(ISBLANK(A356),"",LEFT(B360,27)&amp;VALUE(RIGHT(B360,1)+1))</f>
        <v>JKS240702PROREP_20C_sample_6</v>
      </c>
      <c r="C361" s="13" t="str">
        <f t="shared" ref="C361:D361" si="420">C360</f>
        <v>Protea repens</v>
      </c>
      <c r="D361" s="13" t="str">
        <f t="shared" si="420"/>
        <v>20C</v>
      </c>
      <c r="E361" s="14">
        <f>IF(ISBLANK(A356),"",E360+1)</f>
        <v>6</v>
      </c>
      <c r="F361" s="15">
        <f t="shared" si="417"/>
        <v>45478.70694</v>
      </c>
      <c r="G361" s="16">
        <v>24.576</v>
      </c>
    </row>
    <row r="362">
      <c r="A362" s="5" t="s">
        <v>10</v>
      </c>
      <c r="B362" s="6" t="str">
        <f t="array" ref="B362">IF(ISBLANK(A362),"",IF(A362="PROREP (L)",VLOOKUP(LEFT($A362,6),'Data Feed (20C)'!$A$1:$G$10,2,FALSE),IF(A362="PROREP (S)", INDEX('Data Feed (20C)'!B:B, MATCH(LEFT($A362,6), 'Data Feed (20C)'!$A$1:$A$10, 0) + 1), VLOOKUP($A362,'Data Feed (20C)'!$A$1:$G$10,2,FALSE))))</f>
        <v>JKS240702CANCON_20C_sample_1</v>
      </c>
      <c r="C362" s="6" t="str">
        <f t="array" ref="C362">IF(ISBLANK(A362),"",IF(A362="PROREP (L)",VLOOKUP(LEFT($A362,6),'Data Feed (20C)'!$A$1:$G$10,3,FALSE),IF(A362="PROREP (S)", INDEX('Data Feed (20C)'!C:C, MATCH(LEFT($A362,6), 'Data Feed (20C)'!$A$1:$A$10, 0) + 1, +1), VLOOKUP($A362,'Data Feed (20C)'!$A$1:$G$10,3,FALSE))))</f>
        <v>Cannomois congesta</v>
      </c>
      <c r="D362" s="6" t="str">
        <f t="array" ref="D362">IF(ISBLANK(A362),"",IF(A362="PROREP (L)",VLOOKUP(LEFT($A362,6),'Data Feed (20C)'!$A$1:$G$10,4,FALSE),IF(A362="PROREP (S)", INDEX('Data Feed (20C)'!D:D, MATCH(LEFT($A362,6), 'Data Feed (20C)'!$A$1:$A$10, 0) + 1, +1), VLOOKUP($A362,'Data Feed (20C)'!$A$1:$G$10,4,FALSE))))</f>
        <v>20C</v>
      </c>
      <c r="E362" s="6">
        <f t="array" ref="E362">IF(ISBLANK(A362),"",IF(A362="PROREP (L)",VLOOKUP(LEFT($A362,6),'Data Feed (20C)'!$A$1:$G$10,7,FALSE),IF(A362="PROREP (S)", INDEX('Data Feed (20C)'!G:G, MATCH(LEFT($A362,6), 'Data Feed (20C)'!$A$1:$A$10, 0) + 1, +1), VLOOKUP($A362,'Data Feed (20C)'!$A$1:$G$10,7,FALSE))))</f>
        <v>1</v>
      </c>
      <c r="F362" s="7">
        <v>45478.70972222222</v>
      </c>
      <c r="G362" s="8">
        <v>1.894</v>
      </c>
    </row>
    <row r="363">
      <c r="A363" s="9" t="str">
        <f t="shared" ref="A363:A367" si="422">A362</f>
        <v>CANCON</v>
      </c>
      <c r="B363" s="9" t="str">
        <f>IF(ISBLANK(A362),"",LEFT(B362,27)&amp;VALUE(RIGHT(B362,1)+1))</f>
        <v>JKS240702CANCON_20C_sample_2</v>
      </c>
      <c r="C363" s="6" t="str">
        <f t="shared" ref="C363:D363" si="421">C362</f>
        <v>Cannomois congesta</v>
      </c>
      <c r="D363" s="6" t="str">
        <f t="shared" si="421"/>
        <v>20C</v>
      </c>
      <c r="E363" s="10">
        <f>IF(ISBLANK(A362),"",E362+1)</f>
        <v>2</v>
      </c>
      <c r="F363" s="11">
        <f t="shared" ref="F363:F367" si="424">F362</f>
        <v>45478.70972</v>
      </c>
      <c r="G363" s="8">
        <v>2.142</v>
      </c>
    </row>
    <row r="364">
      <c r="A364" s="9" t="str">
        <f t="shared" si="422"/>
        <v>CANCON</v>
      </c>
      <c r="B364" s="9" t="str">
        <f>IF(ISBLANK(A362),"",LEFT(B363,27)&amp;VALUE(RIGHT(B363,1)+1))</f>
        <v>JKS240702CANCON_20C_sample_3</v>
      </c>
      <c r="C364" s="6" t="str">
        <f t="shared" ref="C364:D364" si="423">C363</f>
        <v>Cannomois congesta</v>
      </c>
      <c r="D364" s="6" t="str">
        <f t="shared" si="423"/>
        <v>20C</v>
      </c>
      <c r="E364" s="10">
        <f>IF(ISBLANK(A362),"",E363+1)</f>
        <v>3</v>
      </c>
      <c r="F364" s="11">
        <f t="shared" si="424"/>
        <v>45478.70972</v>
      </c>
      <c r="G364" s="8">
        <v>1.042</v>
      </c>
    </row>
    <row r="365">
      <c r="A365" s="9" t="str">
        <f t="shared" si="422"/>
        <v>CANCON</v>
      </c>
      <c r="B365" s="9" t="str">
        <f>IF(ISBLANK(A362),"",LEFT(B364,27)&amp;VALUE(RIGHT(B364,1)+1))</f>
        <v>JKS240702CANCON_20C_sample_4</v>
      </c>
      <c r="C365" s="6" t="str">
        <f t="shared" ref="C365:D365" si="425">C364</f>
        <v>Cannomois congesta</v>
      </c>
      <c r="D365" s="6" t="str">
        <f t="shared" si="425"/>
        <v>20C</v>
      </c>
      <c r="E365" s="10">
        <f>IF(ISBLANK(A362),"",E364+1)</f>
        <v>4</v>
      </c>
      <c r="F365" s="11">
        <f t="shared" si="424"/>
        <v>45478.70972</v>
      </c>
      <c r="G365" s="8">
        <v>1.862</v>
      </c>
    </row>
    <row r="366">
      <c r="A366" s="9" t="str">
        <f t="shared" si="422"/>
        <v>CANCON</v>
      </c>
      <c r="B366" s="9" t="str">
        <f>IF(ISBLANK(A362),"",LEFT(B365,27)&amp;VALUE(RIGHT(B365,1)+1))</f>
        <v>JKS240702CANCON_20C_sample_5</v>
      </c>
      <c r="C366" s="6" t="str">
        <f t="shared" ref="C366:D366" si="426">C365</f>
        <v>Cannomois congesta</v>
      </c>
      <c r="D366" s="6" t="str">
        <f t="shared" si="426"/>
        <v>20C</v>
      </c>
      <c r="E366" s="10">
        <f>IF(ISBLANK(A362),"",E365+1)</f>
        <v>5</v>
      </c>
      <c r="F366" s="11">
        <f t="shared" si="424"/>
        <v>45478.70972</v>
      </c>
      <c r="G366" s="8">
        <v>2.012</v>
      </c>
    </row>
    <row r="367">
      <c r="A367" s="12" t="str">
        <f t="shared" si="422"/>
        <v>CANCON</v>
      </c>
      <c r="B367" s="12" t="str">
        <f>IF(ISBLANK(A362),"",LEFT(B366,27)&amp;VALUE(RIGHT(B366,1)+1))</f>
        <v>JKS240702CANCON_20C_sample_6</v>
      </c>
      <c r="C367" s="13" t="str">
        <f t="shared" ref="C367:D367" si="427">C366</f>
        <v>Cannomois congesta</v>
      </c>
      <c r="D367" s="13" t="str">
        <f t="shared" si="427"/>
        <v>20C</v>
      </c>
      <c r="E367" s="14">
        <f>IF(ISBLANK(A362),"",E366+1)</f>
        <v>6</v>
      </c>
      <c r="F367" s="15">
        <f t="shared" si="424"/>
        <v>45478.70972</v>
      </c>
      <c r="G367" s="16">
        <v>1.43</v>
      </c>
    </row>
    <row r="368">
      <c r="A368" s="5" t="s">
        <v>7</v>
      </c>
      <c r="B368" s="6" t="str">
        <f t="array" ref="B368">IF(ISBLANK(A368),"",IF(A368="PROREP (L)",VLOOKUP(LEFT($A368,6),'Data Feed (20C)'!$A$1:$G$10,2,FALSE),IF(A368="PROREP (S)", INDEX('Data Feed (20C)'!B:B, MATCH(LEFT($A368,6), 'Data Feed (20C)'!$A$1:$A$10, 0) + 1), VLOOKUP($A368,'Data Feed (20C)'!$A$1:$G$10,2,FALSE))))</f>
        <v>JKS240702ERIMON_20C_sample_1</v>
      </c>
      <c r="C368" s="6" t="str">
        <f t="array" ref="C368">IF(ISBLANK(A368),"",IF(A368="PROREP (L)",VLOOKUP(LEFT($A368,6),'Data Feed (20C)'!$A$1:$G$10,3,FALSE),IF(A368="PROREP (S)", INDEX('Data Feed (20C)'!C:C, MATCH(LEFT($A368,6), 'Data Feed (20C)'!$A$1:$A$10, 0) + 1, +1), VLOOKUP($A368,'Data Feed (20C)'!$A$1:$G$10,3,FALSE))))</f>
        <v>Erica monsoniana</v>
      </c>
      <c r="D368" s="6" t="str">
        <f t="array" ref="D368">IF(ISBLANK(A368),"",IF(A368="PROREP (L)",VLOOKUP(LEFT($A368,6),'Data Feed (20C)'!$A$1:$G$10,4,FALSE),IF(A368="PROREP (S)", INDEX('Data Feed (20C)'!D:D, MATCH(LEFT($A368,6), 'Data Feed (20C)'!$A$1:$A$10, 0) + 1, +1), VLOOKUP($A368,'Data Feed (20C)'!$A$1:$G$10,4,FALSE))))</f>
        <v>20C</v>
      </c>
      <c r="E368" s="6">
        <f t="array" ref="E368">IF(ISBLANK(A368),"",IF(A368="PROREP (L)",VLOOKUP(LEFT($A368,6),'Data Feed (20C)'!$A$1:$G$10,7,FALSE),IF(A368="PROREP (S)", INDEX('Data Feed (20C)'!G:G, MATCH(LEFT($A368,6), 'Data Feed (20C)'!$A$1:$A$10, 0) + 1, +1), VLOOKUP($A368,'Data Feed (20C)'!$A$1:$G$10,7,FALSE))))</f>
        <v>1</v>
      </c>
      <c r="F368" s="7">
        <v>45478.811111111114</v>
      </c>
      <c r="G368" s="8">
        <v>2.105</v>
      </c>
    </row>
    <row r="369">
      <c r="A369" s="9" t="str">
        <f t="shared" ref="A369:A373" si="429">A368</f>
        <v>ERIMON</v>
      </c>
      <c r="B369" s="9" t="str">
        <f>IF(ISBLANK(A368),"",LEFT(B368,27)&amp;VALUE(RIGHT(B368,1)+1))</f>
        <v>JKS240702ERIMON_20C_sample_2</v>
      </c>
      <c r="C369" s="6" t="str">
        <f t="shared" ref="C369:D369" si="428">C368</f>
        <v>Erica monsoniana</v>
      </c>
      <c r="D369" s="6" t="str">
        <f t="shared" si="428"/>
        <v>20C</v>
      </c>
      <c r="E369" s="10">
        <f>IF(ISBLANK(A368),"",E368+1)</f>
        <v>2</v>
      </c>
      <c r="F369" s="11">
        <f t="shared" ref="F369:F373" si="431">F368</f>
        <v>45478.81111</v>
      </c>
      <c r="G369" s="8">
        <v>1.831</v>
      </c>
    </row>
    <row r="370">
      <c r="A370" s="9" t="str">
        <f t="shared" si="429"/>
        <v>ERIMON</v>
      </c>
      <c r="B370" s="9" t="str">
        <f>IF(ISBLANK(A368),"",LEFT(B369,27)&amp;VALUE(RIGHT(B369,1)+1))</f>
        <v>JKS240702ERIMON_20C_sample_3</v>
      </c>
      <c r="C370" s="6" t="str">
        <f t="shared" ref="C370:D370" si="430">C369</f>
        <v>Erica monsoniana</v>
      </c>
      <c r="D370" s="6" t="str">
        <f t="shared" si="430"/>
        <v>20C</v>
      </c>
      <c r="E370" s="10">
        <f>IF(ISBLANK(A368),"",E369+1)</f>
        <v>3</v>
      </c>
      <c r="F370" s="11">
        <f t="shared" si="431"/>
        <v>45478.81111</v>
      </c>
      <c r="G370" s="8">
        <v>1.771</v>
      </c>
    </row>
    <row r="371">
      <c r="A371" s="9" t="str">
        <f t="shared" si="429"/>
        <v>ERIMON</v>
      </c>
      <c r="B371" s="9" t="str">
        <f>IF(ISBLANK(A368),"",LEFT(B370,27)&amp;VALUE(RIGHT(B370,1)+1))</f>
        <v>JKS240702ERIMON_20C_sample_4</v>
      </c>
      <c r="C371" s="6" t="str">
        <f t="shared" ref="C371:D371" si="432">C370</f>
        <v>Erica monsoniana</v>
      </c>
      <c r="D371" s="6" t="str">
        <f t="shared" si="432"/>
        <v>20C</v>
      </c>
      <c r="E371" s="10">
        <f>IF(ISBLANK(A368),"",E370+1)</f>
        <v>4</v>
      </c>
      <c r="F371" s="11">
        <f t="shared" si="431"/>
        <v>45478.81111</v>
      </c>
      <c r="G371" s="8">
        <v>1.082</v>
      </c>
    </row>
    <row r="372">
      <c r="A372" s="9" t="str">
        <f t="shared" si="429"/>
        <v>ERIMON</v>
      </c>
      <c r="B372" s="9" t="str">
        <f>IF(ISBLANK(A368),"",LEFT(B371,27)&amp;VALUE(RIGHT(B371,1)+1))</f>
        <v>JKS240702ERIMON_20C_sample_5</v>
      </c>
      <c r="C372" s="6" t="str">
        <f t="shared" ref="C372:D372" si="433">C371</f>
        <v>Erica monsoniana</v>
      </c>
      <c r="D372" s="6" t="str">
        <f t="shared" si="433"/>
        <v>20C</v>
      </c>
      <c r="E372" s="10">
        <f>IF(ISBLANK(A368),"",E371+1)</f>
        <v>5</v>
      </c>
      <c r="F372" s="11">
        <f t="shared" si="431"/>
        <v>45478.81111</v>
      </c>
      <c r="G372" s="8">
        <v>1.483</v>
      </c>
    </row>
    <row r="373">
      <c r="A373" s="12" t="str">
        <f t="shared" si="429"/>
        <v>ERIMON</v>
      </c>
      <c r="B373" s="12" t="str">
        <f>IF(ISBLANK(A368),"",LEFT(B372,27)&amp;VALUE(RIGHT(B372,1)+1))</f>
        <v>JKS240702ERIMON_20C_sample_6</v>
      </c>
      <c r="C373" s="13" t="str">
        <f t="shared" ref="C373:D373" si="434">C372</f>
        <v>Erica monsoniana</v>
      </c>
      <c r="D373" s="13" t="str">
        <f t="shared" si="434"/>
        <v>20C</v>
      </c>
      <c r="E373" s="14">
        <f>IF(ISBLANK(A368),"",E372+1)</f>
        <v>6</v>
      </c>
      <c r="F373" s="15">
        <f t="shared" si="431"/>
        <v>45478.81111</v>
      </c>
      <c r="G373" s="16">
        <v>0.729</v>
      </c>
    </row>
    <row r="374">
      <c r="A374" s="5" t="s">
        <v>8</v>
      </c>
      <c r="B374" s="6" t="str">
        <f t="array" ref="B374">IF(ISBLANK(A374),"",IF(A374="PROREP (L)",VLOOKUP(LEFT($A374,6),'Data Feed (20C)'!$A$1:$G$10,2,FALSE),IF(A374="PROREP (S)", INDEX('Data Feed (20C)'!B:B, MATCH(LEFT($A374,6), 'Data Feed (20C)'!$A$1:$A$10, 0) + 1), VLOOKUP($A374,'Data Feed (20C)'!$A$1:$G$10,2,FALSE))))</f>
        <v>JKL240702PROREP_20C_sample_1</v>
      </c>
      <c r="C374" s="6" t="str">
        <f t="array" ref="C374">IF(ISBLANK(A374),"",IF(A374="PROREP (L)",VLOOKUP(LEFT($A374,6),'Data Feed (20C)'!$A$1:$G$10,3,FALSE),IF(A374="PROREP (S)", INDEX('Data Feed (20C)'!C:C, MATCH(LEFT($A374,6), 'Data Feed (20C)'!$A$1:$A$10, 0) + 1, +1), VLOOKUP($A374,'Data Feed (20C)'!$A$1:$G$10,3,FALSE))))</f>
        <v>Protea repens</v>
      </c>
      <c r="D374" s="6" t="str">
        <f t="array" ref="D374">IF(ISBLANK(A374),"",IF(A374="PROREP (L)",VLOOKUP(LEFT($A374,6),'Data Feed (20C)'!$A$1:$G$10,4,FALSE),IF(A374="PROREP (S)", INDEX('Data Feed (20C)'!D:D, MATCH(LEFT($A374,6), 'Data Feed (20C)'!$A$1:$A$10, 0) + 1, +1), VLOOKUP($A374,'Data Feed (20C)'!$A$1:$G$10,4,FALSE))))</f>
        <v>20C</v>
      </c>
      <c r="E374" s="6">
        <f t="array" ref="E374">IF(ISBLANK(A374),"",IF(A374="PROREP (L)",VLOOKUP(LEFT($A374,6),'Data Feed (20C)'!$A$1:$G$10,7,FALSE),IF(A374="PROREP (S)", INDEX('Data Feed (20C)'!G:G, MATCH(LEFT($A374,6), 'Data Feed (20C)'!$A$1:$A$10, 0) + 1, +1), VLOOKUP($A374,'Data Feed (20C)'!$A$1:$G$10,7,FALSE))))</f>
        <v>1</v>
      </c>
      <c r="F374" s="7">
        <v>45478.81319444445</v>
      </c>
      <c r="G374" s="8">
        <v>0.56</v>
      </c>
    </row>
    <row r="375">
      <c r="A375" s="9" t="str">
        <f t="shared" ref="A375:A379" si="436">A374</f>
        <v>PROREP (L)</v>
      </c>
      <c r="B375" s="9" t="str">
        <f>IF(ISBLANK(A374),"",LEFT(B374,27)&amp;VALUE(RIGHT(B374,1)+1))</f>
        <v>JKL240702PROREP_20C_sample_2</v>
      </c>
      <c r="C375" s="6" t="str">
        <f t="shared" ref="C375:D375" si="435">C374</f>
        <v>Protea repens</v>
      </c>
      <c r="D375" s="6" t="str">
        <f t="shared" si="435"/>
        <v>20C</v>
      </c>
      <c r="E375" s="10">
        <f>IF(ISBLANK(A374),"",E374+1)</f>
        <v>2</v>
      </c>
      <c r="F375" s="11">
        <f t="shared" ref="F375:F379" si="438">F374</f>
        <v>45478.81319</v>
      </c>
      <c r="G375" s="8">
        <v>0.433</v>
      </c>
    </row>
    <row r="376">
      <c r="A376" s="9" t="str">
        <f t="shared" si="436"/>
        <v>PROREP (L)</v>
      </c>
      <c r="B376" s="9" t="str">
        <f>IF(ISBLANK(A374),"",LEFT(B375,27)&amp;VALUE(RIGHT(B375,1)+1))</f>
        <v>JKL240702PROREP_20C_sample_3</v>
      </c>
      <c r="C376" s="6" t="str">
        <f t="shared" ref="C376:D376" si="437">C375</f>
        <v>Protea repens</v>
      </c>
      <c r="D376" s="6" t="str">
        <f t="shared" si="437"/>
        <v>20C</v>
      </c>
      <c r="E376" s="10">
        <f>IF(ISBLANK(A374),"",E375+1)</f>
        <v>3</v>
      </c>
      <c r="F376" s="11">
        <f t="shared" si="438"/>
        <v>45478.81319</v>
      </c>
      <c r="G376" s="8">
        <v>0.663</v>
      </c>
    </row>
    <row r="377">
      <c r="A377" s="9" t="str">
        <f t="shared" si="436"/>
        <v>PROREP (L)</v>
      </c>
      <c r="B377" s="9" t="str">
        <f>IF(ISBLANK(A374),"",LEFT(B376,27)&amp;VALUE(RIGHT(B376,1)+1))</f>
        <v>JKL240702PROREP_20C_sample_4</v>
      </c>
      <c r="C377" s="6" t="str">
        <f t="shared" ref="C377:D377" si="439">C376</f>
        <v>Protea repens</v>
      </c>
      <c r="D377" s="6" t="str">
        <f t="shared" si="439"/>
        <v>20C</v>
      </c>
      <c r="E377" s="10">
        <f>IF(ISBLANK(A374),"",E376+1)</f>
        <v>4</v>
      </c>
      <c r="F377" s="11">
        <f t="shared" si="438"/>
        <v>45478.81319</v>
      </c>
      <c r="G377" s="8">
        <v>0.345</v>
      </c>
    </row>
    <row r="378">
      <c r="A378" s="9" t="str">
        <f t="shared" si="436"/>
        <v>PROREP (L)</v>
      </c>
      <c r="B378" s="9" t="str">
        <f>IF(ISBLANK(A374),"",LEFT(B377,27)&amp;VALUE(RIGHT(B377,1)+1))</f>
        <v>JKL240702PROREP_20C_sample_5</v>
      </c>
      <c r="C378" s="6" t="str">
        <f t="shared" ref="C378:D378" si="440">C377</f>
        <v>Protea repens</v>
      </c>
      <c r="D378" s="6" t="str">
        <f t="shared" si="440"/>
        <v>20C</v>
      </c>
      <c r="E378" s="10">
        <f>IF(ISBLANK(A374),"",E377+1)</f>
        <v>5</v>
      </c>
      <c r="F378" s="11">
        <f t="shared" si="438"/>
        <v>45478.81319</v>
      </c>
      <c r="G378" s="8">
        <v>0.469</v>
      </c>
    </row>
    <row r="379">
      <c r="A379" s="12" t="str">
        <f t="shared" si="436"/>
        <v>PROREP (L)</v>
      </c>
      <c r="B379" s="12" t="str">
        <f>IF(ISBLANK(A374),"",LEFT(B378,27)&amp;VALUE(RIGHT(B378,1)+1))</f>
        <v>JKL240702PROREP_20C_sample_6</v>
      </c>
      <c r="C379" s="13" t="str">
        <f t="shared" ref="C379:D379" si="441">C378</f>
        <v>Protea repens</v>
      </c>
      <c r="D379" s="13" t="str">
        <f t="shared" si="441"/>
        <v>20C</v>
      </c>
      <c r="E379" s="14">
        <f>IF(ISBLANK(A374),"",E378+1)</f>
        <v>6</v>
      </c>
      <c r="F379" s="15">
        <f t="shared" si="438"/>
        <v>45478.81319</v>
      </c>
      <c r="G379" s="16">
        <v>0.393</v>
      </c>
    </row>
    <row r="380">
      <c r="A380" s="5" t="s">
        <v>9</v>
      </c>
      <c r="B380" s="6" t="str">
        <f t="array" ref="B380">IF(ISBLANK(A380),"",IF(A380="PROREP (L)",VLOOKUP(LEFT($A380,6),'Data Feed (20C)'!$A$1:$G$10,2,FALSE),IF(A380="PROREP (S)", INDEX('Data Feed (20C)'!B:B, MATCH(LEFT($A380,6), 'Data Feed (20C)'!$A$1:$A$10, 0) + 1), VLOOKUP($A380,'Data Feed (20C)'!$A$1:$G$10,2,FALSE))))</f>
        <v>JKS240702PROREP_20C_sample_1</v>
      </c>
      <c r="C380" s="6" t="str">
        <f t="array" ref="C380">IF(ISBLANK(A380),"",IF(A380="PROREP (L)",VLOOKUP(LEFT($A380,6),'Data Feed (20C)'!$A$1:$G$10,3,FALSE),IF(A380="PROREP (S)", INDEX('Data Feed (20C)'!C:C, MATCH(LEFT($A380,6), 'Data Feed (20C)'!$A$1:$A$10, 0) + 1, +1), VLOOKUP($A380,'Data Feed (20C)'!$A$1:$G$10,3,FALSE))))</f>
        <v>Protea repens</v>
      </c>
      <c r="D380" s="6" t="str">
        <f t="array" ref="D380">IF(ISBLANK(A380),"",IF(A380="PROREP (L)",VLOOKUP(LEFT($A380,6),'Data Feed (20C)'!$A$1:$G$10,4,FALSE),IF(A380="PROREP (S)", INDEX('Data Feed (20C)'!D:D, MATCH(LEFT($A380,6), 'Data Feed (20C)'!$A$1:$A$10, 0) + 1, +1), VLOOKUP($A380,'Data Feed (20C)'!$A$1:$G$10,4,FALSE))))</f>
        <v>20C</v>
      </c>
      <c r="E380" s="6">
        <f t="array" ref="E380">IF(ISBLANK(A380),"",IF(A380="PROREP (L)",VLOOKUP(LEFT($A380,6),'Data Feed (20C)'!$A$1:$G$10,7,FALSE),IF(A380="PROREP (S)", INDEX('Data Feed (20C)'!G:G, MATCH(LEFT($A380,6), 'Data Feed (20C)'!$A$1:$A$10, 0) + 1, +1), VLOOKUP($A380,'Data Feed (20C)'!$A$1:$G$10,7,FALSE))))</f>
        <v>1</v>
      </c>
      <c r="F380" s="7">
        <v>45478.81458333333</v>
      </c>
      <c r="G380" s="8">
        <v>3.264</v>
      </c>
    </row>
    <row r="381">
      <c r="A381" s="9" t="str">
        <f t="shared" ref="A381:A385" si="443">A380</f>
        <v>PROREP (S)</v>
      </c>
      <c r="B381" s="9" t="str">
        <f>IF(ISBLANK(A380),"",LEFT(B380,27)&amp;VALUE(RIGHT(B380,1)+1))</f>
        <v>JKS240702PROREP_20C_sample_2</v>
      </c>
      <c r="C381" s="6" t="str">
        <f t="shared" ref="C381:D381" si="442">C380</f>
        <v>Protea repens</v>
      </c>
      <c r="D381" s="6" t="str">
        <f t="shared" si="442"/>
        <v>20C</v>
      </c>
      <c r="E381" s="10">
        <f>IF(ISBLANK(A380),"",E380+1)</f>
        <v>2</v>
      </c>
      <c r="F381" s="11">
        <f t="shared" ref="F381:F385" si="445">F380</f>
        <v>45478.81458</v>
      </c>
      <c r="G381" s="8">
        <v>12.133</v>
      </c>
    </row>
    <row r="382">
      <c r="A382" s="9" t="str">
        <f t="shared" si="443"/>
        <v>PROREP (S)</v>
      </c>
      <c r="B382" s="9" t="str">
        <f>IF(ISBLANK(A380),"",LEFT(B381,27)&amp;VALUE(RIGHT(B381,1)+1))</f>
        <v>JKS240702PROREP_20C_sample_3</v>
      </c>
      <c r="C382" s="6" t="str">
        <f t="shared" ref="C382:D382" si="444">C381</f>
        <v>Protea repens</v>
      </c>
      <c r="D382" s="6" t="str">
        <f t="shared" si="444"/>
        <v>20C</v>
      </c>
      <c r="E382" s="10">
        <f>IF(ISBLANK(A380),"",E381+1)</f>
        <v>3</v>
      </c>
      <c r="F382" s="11">
        <f t="shared" si="445"/>
        <v>45478.81458</v>
      </c>
      <c r="G382" s="8">
        <v>12.222</v>
      </c>
    </row>
    <row r="383">
      <c r="A383" s="9" t="str">
        <f t="shared" si="443"/>
        <v>PROREP (S)</v>
      </c>
      <c r="B383" s="9" t="str">
        <f>IF(ISBLANK(A380),"",LEFT(B382,27)&amp;VALUE(RIGHT(B382,1)+1))</f>
        <v>JKS240702PROREP_20C_sample_4</v>
      </c>
      <c r="C383" s="6" t="str">
        <f t="shared" ref="C383:D383" si="446">C382</f>
        <v>Protea repens</v>
      </c>
      <c r="D383" s="6" t="str">
        <f t="shared" si="446"/>
        <v>20C</v>
      </c>
      <c r="E383" s="10">
        <f>IF(ISBLANK(A380),"",E382+1)</f>
        <v>4</v>
      </c>
      <c r="F383" s="11">
        <f t="shared" si="445"/>
        <v>45478.81458</v>
      </c>
      <c r="G383" s="8">
        <v>6.963</v>
      </c>
    </row>
    <row r="384">
      <c r="A384" s="9" t="str">
        <f t="shared" si="443"/>
        <v>PROREP (S)</v>
      </c>
      <c r="B384" s="9" t="str">
        <f>IF(ISBLANK(A380),"",LEFT(B383,27)&amp;VALUE(RIGHT(B383,1)+1))</f>
        <v>JKS240702PROREP_20C_sample_5</v>
      </c>
      <c r="C384" s="6" t="str">
        <f t="shared" ref="C384:D384" si="447">C383</f>
        <v>Protea repens</v>
      </c>
      <c r="D384" s="6" t="str">
        <f t="shared" si="447"/>
        <v>20C</v>
      </c>
      <c r="E384" s="10">
        <f>IF(ISBLANK(A380),"",E383+1)</f>
        <v>5</v>
      </c>
      <c r="F384" s="11">
        <f t="shared" si="445"/>
        <v>45478.81458</v>
      </c>
      <c r="G384" s="8">
        <v>6.597</v>
      </c>
    </row>
    <row r="385">
      <c r="A385" s="12" t="str">
        <f t="shared" si="443"/>
        <v>PROREP (S)</v>
      </c>
      <c r="B385" s="12" t="str">
        <f>IF(ISBLANK(A380),"",LEFT(B384,27)&amp;VALUE(RIGHT(B384,1)+1))</f>
        <v>JKS240702PROREP_20C_sample_6</v>
      </c>
      <c r="C385" s="13" t="str">
        <f t="shared" ref="C385:D385" si="448">C384</f>
        <v>Protea repens</v>
      </c>
      <c r="D385" s="13" t="str">
        <f t="shared" si="448"/>
        <v>20C</v>
      </c>
      <c r="E385" s="14">
        <f>IF(ISBLANK(A380),"",E384+1)</f>
        <v>6</v>
      </c>
      <c r="F385" s="15">
        <f t="shared" si="445"/>
        <v>45478.81458</v>
      </c>
      <c r="G385" s="16">
        <v>24.379</v>
      </c>
    </row>
    <row r="386">
      <c r="A386" s="5" t="s">
        <v>10</v>
      </c>
      <c r="B386" s="6" t="str">
        <f t="array" ref="B386">IF(ISBLANK(A386),"",IF(A386="PROREP (L)",VLOOKUP(LEFT($A386,6),'Data Feed (20C)'!$A$1:$G$10,2,FALSE),IF(A386="PROREP (S)", INDEX('Data Feed (20C)'!B:B, MATCH(LEFT($A386,6), 'Data Feed (20C)'!$A$1:$A$10, 0) + 1), VLOOKUP($A386,'Data Feed (20C)'!$A$1:$G$10,2,FALSE))))</f>
        <v>JKS240702CANCON_20C_sample_1</v>
      </c>
      <c r="C386" s="6" t="str">
        <f t="array" ref="C386">IF(ISBLANK(A386),"",IF(A386="PROREP (L)",VLOOKUP(LEFT($A386,6),'Data Feed (20C)'!$A$1:$G$10,3,FALSE),IF(A386="PROREP (S)", INDEX('Data Feed (20C)'!C:C, MATCH(LEFT($A386,6), 'Data Feed (20C)'!$A$1:$A$10, 0) + 1, +1), VLOOKUP($A386,'Data Feed (20C)'!$A$1:$G$10,3,FALSE))))</f>
        <v>Cannomois congesta</v>
      </c>
      <c r="D386" s="6" t="str">
        <f t="array" ref="D386">IF(ISBLANK(A386),"",IF(A386="PROREP (L)",VLOOKUP(LEFT($A386,6),'Data Feed (20C)'!$A$1:$G$10,4,FALSE),IF(A386="PROREP (S)", INDEX('Data Feed (20C)'!D:D, MATCH(LEFT($A386,6), 'Data Feed (20C)'!$A$1:$A$10, 0) + 1, +1), VLOOKUP($A386,'Data Feed (20C)'!$A$1:$G$10,4,FALSE))))</f>
        <v>20C</v>
      </c>
      <c r="E386" s="6">
        <f t="array" ref="E386">IF(ISBLANK(A386),"",IF(A386="PROREP (L)",VLOOKUP(LEFT($A386,6),'Data Feed (20C)'!$A$1:$G$10,7,FALSE),IF(A386="PROREP (S)", INDEX('Data Feed (20C)'!G:G, MATCH(LEFT($A386,6), 'Data Feed (20C)'!$A$1:$A$10, 0) + 1, +1), VLOOKUP($A386,'Data Feed (20C)'!$A$1:$G$10,7,FALSE))))</f>
        <v>1</v>
      </c>
      <c r="F386" s="7">
        <v>45478.816666666666</v>
      </c>
      <c r="G386" s="8">
        <v>1.862</v>
      </c>
    </row>
    <row r="387">
      <c r="A387" s="9" t="str">
        <f t="shared" ref="A387:A391" si="450">A386</f>
        <v>CANCON</v>
      </c>
      <c r="B387" s="9" t="str">
        <f>IF(ISBLANK(A386),"",LEFT(B386,27)&amp;VALUE(RIGHT(B386,1)+1))</f>
        <v>JKS240702CANCON_20C_sample_2</v>
      </c>
      <c r="C387" s="6" t="str">
        <f t="shared" ref="C387:D387" si="449">C386</f>
        <v>Cannomois congesta</v>
      </c>
      <c r="D387" s="6" t="str">
        <f t="shared" si="449"/>
        <v>20C</v>
      </c>
      <c r="E387" s="10">
        <f>IF(ISBLANK(A386),"",E386+1)</f>
        <v>2</v>
      </c>
      <c r="F387" s="11">
        <f t="shared" ref="F387:F391" si="452">F386</f>
        <v>45478.81667</v>
      </c>
      <c r="G387" s="8">
        <v>2.125</v>
      </c>
    </row>
    <row r="388">
      <c r="A388" s="9" t="str">
        <f t="shared" si="450"/>
        <v>CANCON</v>
      </c>
      <c r="B388" s="9" t="str">
        <f>IF(ISBLANK(A386),"",LEFT(B387,27)&amp;VALUE(RIGHT(B387,1)+1))</f>
        <v>JKS240702CANCON_20C_sample_3</v>
      </c>
      <c r="C388" s="6" t="str">
        <f t="shared" ref="C388:D388" si="451">C387</f>
        <v>Cannomois congesta</v>
      </c>
      <c r="D388" s="6" t="str">
        <f t="shared" si="451"/>
        <v>20C</v>
      </c>
      <c r="E388" s="10">
        <f>IF(ISBLANK(A386),"",E387+1)</f>
        <v>3</v>
      </c>
      <c r="F388" s="11">
        <f t="shared" si="452"/>
        <v>45478.81667</v>
      </c>
      <c r="G388" s="8">
        <v>1.039</v>
      </c>
    </row>
    <row r="389">
      <c r="A389" s="9" t="str">
        <f t="shared" si="450"/>
        <v>CANCON</v>
      </c>
      <c r="B389" s="9" t="str">
        <f>IF(ISBLANK(A386),"",LEFT(B388,27)&amp;VALUE(RIGHT(B388,1)+1))</f>
        <v>JKS240702CANCON_20C_sample_4</v>
      </c>
      <c r="C389" s="6" t="str">
        <f t="shared" ref="C389:D389" si="453">C388</f>
        <v>Cannomois congesta</v>
      </c>
      <c r="D389" s="6" t="str">
        <f t="shared" si="453"/>
        <v>20C</v>
      </c>
      <c r="E389" s="10">
        <f>IF(ISBLANK(A386),"",E388+1)</f>
        <v>4</v>
      </c>
      <c r="F389" s="11">
        <f t="shared" si="452"/>
        <v>45478.81667</v>
      </c>
      <c r="G389" s="8">
        <v>1.839</v>
      </c>
    </row>
    <row r="390">
      <c r="A390" s="9" t="str">
        <f t="shared" si="450"/>
        <v>CANCON</v>
      </c>
      <c r="B390" s="9" t="str">
        <f>IF(ISBLANK(A386),"",LEFT(B389,27)&amp;VALUE(RIGHT(B389,1)+1))</f>
        <v>JKS240702CANCON_20C_sample_5</v>
      </c>
      <c r="C390" s="6" t="str">
        <f t="shared" ref="C390:D390" si="454">C389</f>
        <v>Cannomois congesta</v>
      </c>
      <c r="D390" s="6" t="str">
        <f t="shared" si="454"/>
        <v>20C</v>
      </c>
      <c r="E390" s="10">
        <f>IF(ISBLANK(A386),"",E389+1)</f>
        <v>5</v>
      </c>
      <c r="F390" s="11">
        <f t="shared" si="452"/>
        <v>45478.81667</v>
      </c>
      <c r="G390" s="8">
        <v>1.985</v>
      </c>
    </row>
    <row r="391">
      <c r="A391" s="12" t="str">
        <f t="shared" si="450"/>
        <v>CANCON</v>
      </c>
      <c r="B391" s="12" t="str">
        <f>IF(ISBLANK(A386),"",LEFT(B390,27)&amp;VALUE(RIGHT(B390,1)+1))</f>
        <v>JKS240702CANCON_20C_sample_6</v>
      </c>
      <c r="C391" s="13" t="str">
        <f t="shared" ref="C391:D391" si="455">C390</f>
        <v>Cannomois congesta</v>
      </c>
      <c r="D391" s="13" t="str">
        <f t="shared" si="455"/>
        <v>20C</v>
      </c>
      <c r="E391" s="14">
        <f>IF(ISBLANK(A386),"",E390+1)</f>
        <v>6</v>
      </c>
      <c r="F391" s="15">
        <f t="shared" si="452"/>
        <v>45478.81667</v>
      </c>
      <c r="G391" s="16">
        <v>1.409</v>
      </c>
    </row>
    <row r="392">
      <c r="A392" s="5" t="s">
        <v>7</v>
      </c>
      <c r="B392" s="6" t="str">
        <f t="array" ref="B392">IF(ISBLANK(A392),"",IF(A392="PROREP (L)",VLOOKUP(LEFT($A392,6),'Data Feed (20C)'!$A$1:$G$10,2,FALSE),IF(A392="PROREP (S)", INDEX('Data Feed (20C)'!B:B, MATCH(LEFT($A392,6), 'Data Feed (20C)'!$A$1:$A$10, 0) + 1), VLOOKUP($A392,'Data Feed (20C)'!$A$1:$G$10,2,FALSE))))</f>
        <v>JKS240702ERIMON_20C_sample_1</v>
      </c>
      <c r="C392" s="6" t="str">
        <f t="array" ref="C392">IF(ISBLANK(A392),"",IF(A392="PROREP (L)",VLOOKUP(LEFT($A392,6),'Data Feed (20C)'!$A$1:$G$10,3,FALSE),IF(A392="PROREP (S)", INDEX('Data Feed (20C)'!C:C, MATCH(LEFT($A392,6), 'Data Feed (20C)'!$A$1:$A$10, 0) + 1, +1), VLOOKUP($A392,'Data Feed (20C)'!$A$1:$G$10,3,FALSE))))</f>
        <v>Erica monsoniana</v>
      </c>
      <c r="D392" s="6" t="str">
        <f t="array" ref="D392">IF(ISBLANK(A392),"",IF(A392="PROREP (L)",VLOOKUP(LEFT($A392,6),'Data Feed (20C)'!$A$1:$G$10,4,FALSE),IF(A392="PROREP (S)", INDEX('Data Feed (20C)'!D:D, MATCH(LEFT($A392,6), 'Data Feed (20C)'!$A$1:$A$10, 0) + 1, +1), VLOOKUP($A392,'Data Feed (20C)'!$A$1:$G$10,4,FALSE))))</f>
        <v>20C</v>
      </c>
      <c r="E392" s="6">
        <f t="array" ref="E392">IF(ISBLANK(A392),"",IF(A392="PROREP (L)",VLOOKUP(LEFT($A392,6),'Data Feed (20C)'!$A$1:$G$10,7,FALSE),IF(A392="PROREP (S)", INDEX('Data Feed (20C)'!G:G, MATCH(LEFT($A392,6), 'Data Feed (20C)'!$A$1:$A$10, 0) + 1, +1), VLOOKUP($A392,'Data Feed (20C)'!$A$1:$G$10,7,FALSE))))</f>
        <v>1</v>
      </c>
      <c r="F392" s="7">
        <v>45478.92916666667</v>
      </c>
      <c r="G392" s="8">
        <v>2.02</v>
      </c>
    </row>
    <row r="393">
      <c r="A393" s="9" t="str">
        <f t="shared" ref="A393:A397" si="457">A392</f>
        <v>ERIMON</v>
      </c>
      <c r="B393" s="9" t="str">
        <f>IF(ISBLANK(A392),"",LEFT(B392,27)&amp;VALUE(RIGHT(B392,1)+1))</f>
        <v>JKS240702ERIMON_20C_sample_2</v>
      </c>
      <c r="C393" s="6" t="str">
        <f t="shared" ref="C393:D393" si="456">C392</f>
        <v>Erica monsoniana</v>
      </c>
      <c r="D393" s="6" t="str">
        <f t="shared" si="456"/>
        <v>20C</v>
      </c>
      <c r="E393" s="10">
        <f>IF(ISBLANK(A392),"",E392+1)</f>
        <v>2</v>
      </c>
      <c r="F393" s="11">
        <f t="shared" ref="F393:F397" si="459">F392</f>
        <v>45478.92917</v>
      </c>
      <c r="G393" s="8">
        <v>1.763</v>
      </c>
    </row>
    <row r="394">
      <c r="A394" s="9" t="str">
        <f t="shared" si="457"/>
        <v>ERIMON</v>
      </c>
      <c r="B394" s="9" t="str">
        <f>IF(ISBLANK(A392),"",LEFT(B393,27)&amp;VALUE(RIGHT(B393,1)+1))</f>
        <v>JKS240702ERIMON_20C_sample_3</v>
      </c>
      <c r="C394" s="6" t="str">
        <f t="shared" ref="C394:D394" si="458">C393</f>
        <v>Erica monsoniana</v>
      </c>
      <c r="D394" s="6" t="str">
        <f t="shared" si="458"/>
        <v>20C</v>
      </c>
      <c r="E394" s="10">
        <f>IF(ISBLANK(A392),"",E393+1)</f>
        <v>3</v>
      </c>
      <c r="F394" s="11">
        <f t="shared" si="459"/>
        <v>45478.92917</v>
      </c>
      <c r="G394" s="8">
        <v>1.738</v>
      </c>
    </row>
    <row r="395">
      <c r="A395" s="9" t="str">
        <f t="shared" si="457"/>
        <v>ERIMON</v>
      </c>
      <c r="B395" s="9" t="str">
        <f>IF(ISBLANK(A392),"",LEFT(B394,27)&amp;VALUE(RIGHT(B394,1)+1))</f>
        <v>JKS240702ERIMON_20C_sample_4</v>
      </c>
      <c r="C395" s="6" t="str">
        <f t="shared" ref="C395:D395" si="460">C394</f>
        <v>Erica monsoniana</v>
      </c>
      <c r="D395" s="6" t="str">
        <f t="shared" si="460"/>
        <v>20C</v>
      </c>
      <c r="E395" s="10">
        <f>IF(ISBLANK(A392),"",E394+1)</f>
        <v>4</v>
      </c>
      <c r="F395" s="11">
        <f t="shared" si="459"/>
        <v>45478.92917</v>
      </c>
      <c r="G395" s="8">
        <v>1.043</v>
      </c>
    </row>
    <row r="396">
      <c r="A396" s="9" t="str">
        <f t="shared" si="457"/>
        <v>ERIMON</v>
      </c>
      <c r="B396" s="9" t="str">
        <f>IF(ISBLANK(A392),"",LEFT(B395,27)&amp;VALUE(RIGHT(B395,1)+1))</f>
        <v>JKS240702ERIMON_20C_sample_5</v>
      </c>
      <c r="C396" s="6" t="str">
        <f t="shared" ref="C396:D396" si="461">C395</f>
        <v>Erica monsoniana</v>
      </c>
      <c r="D396" s="6" t="str">
        <f t="shared" si="461"/>
        <v>20C</v>
      </c>
      <c r="E396" s="10">
        <f>IF(ISBLANK(A392),"",E395+1)</f>
        <v>5</v>
      </c>
      <c r="F396" s="11">
        <f t="shared" si="459"/>
        <v>45478.92917</v>
      </c>
      <c r="G396" s="8">
        <v>1.43</v>
      </c>
    </row>
    <row r="397">
      <c r="A397" s="12" t="str">
        <f t="shared" si="457"/>
        <v>ERIMON</v>
      </c>
      <c r="B397" s="12" t="str">
        <f>IF(ISBLANK(A392),"",LEFT(B396,27)&amp;VALUE(RIGHT(B396,1)+1))</f>
        <v>JKS240702ERIMON_20C_sample_6</v>
      </c>
      <c r="C397" s="13" t="str">
        <f t="shared" ref="C397:D397" si="462">C396</f>
        <v>Erica monsoniana</v>
      </c>
      <c r="D397" s="13" t="str">
        <f t="shared" si="462"/>
        <v>20C</v>
      </c>
      <c r="E397" s="14">
        <f>IF(ISBLANK(A392),"",E396+1)</f>
        <v>6</v>
      </c>
      <c r="F397" s="15">
        <f t="shared" si="459"/>
        <v>45478.92917</v>
      </c>
      <c r="G397" s="16">
        <v>0.698</v>
      </c>
    </row>
    <row r="398">
      <c r="A398" s="5" t="s">
        <v>8</v>
      </c>
      <c r="B398" s="6" t="str">
        <f t="array" ref="B398">IF(ISBLANK(A398),"",IF(A398="PROREP (L)",VLOOKUP(LEFT($A398,6),'Data Feed (20C)'!$A$1:$G$10,2,FALSE),IF(A398="PROREP (S)", INDEX('Data Feed (20C)'!B:B, MATCH(LEFT($A398,6), 'Data Feed (20C)'!$A$1:$A$10, 0) + 1), VLOOKUP($A398,'Data Feed (20C)'!$A$1:$G$10,2,FALSE))))</f>
        <v>JKL240702PROREP_20C_sample_1</v>
      </c>
      <c r="C398" s="6" t="str">
        <f t="array" ref="C398">IF(ISBLANK(A398),"",IF(A398="PROREP (L)",VLOOKUP(LEFT($A398,6),'Data Feed (20C)'!$A$1:$G$10,3,FALSE),IF(A398="PROREP (S)", INDEX('Data Feed (20C)'!C:C, MATCH(LEFT($A398,6), 'Data Feed (20C)'!$A$1:$A$10, 0) + 1, +1), VLOOKUP($A398,'Data Feed (20C)'!$A$1:$G$10,3,FALSE))))</f>
        <v>Protea repens</v>
      </c>
      <c r="D398" s="6" t="str">
        <f t="array" ref="D398">IF(ISBLANK(A398),"",IF(A398="PROREP (L)",VLOOKUP(LEFT($A398,6),'Data Feed (20C)'!$A$1:$G$10,4,FALSE),IF(A398="PROREP (S)", INDEX('Data Feed (20C)'!D:D, MATCH(LEFT($A398,6), 'Data Feed (20C)'!$A$1:$A$10, 0) + 1, +1), VLOOKUP($A398,'Data Feed (20C)'!$A$1:$G$10,4,FALSE))))</f>
        <v>20C</v>
      </c>
      <c r="E398" s="6">
        <f t="array" ref="E398">IF(ISBLANK(A398),"",IF(A398="PROREP (L)",VLOOKUP(LEFT($A398,6),'Data Feed (20C)'!$A$1:$G$10,7,FALSE),IF(A398="PROREP (S)", INDEX('Data Feed (20C)'!G:G, MATCH(LEFT($A398,6), 'Data Feed (20C)'!$A$1:$A$10, 0) + 1, +1), VLOOKUP($A398,'Data Feed (20C)'!$A$1:$G$10,7,FALSE))))</f>
        <v>1</v>
      </c>
      <c r="F398" s="7">
        <v>45478.93125</v>
      </c>
      <c r="G398" s="8">
        <v>0.554</v>
      </c>
    </row>
    <row r="399">
      <c r="A399" s="9" t="str">
        <f t="shared" ref="A399:A403" si="464">A398</f>
        <v>PROREP (L)</v>
      </c>
      <c r="B399" s="9" t="str">
        <f>IF(ISBLANK(A398),"",LEFT(B398,27)&amp;VALUE(RIGHT(B398,1)+1))</f>
        <v>JKL240702PROREP_20C_sample_2</v>
      </c>
      <c r="C399" s="6" t="str">
        <f t="shared" ref="C399:D399" si="463">C398</f>
        <v>Protea repens</v>
      </c>
      <c r="D399" s="6" t="str">
        <f t="shared" si="463"/>
        <v>20C</v>
      </c>
      <c r="E399" s="10">
        <f>IF(ISBLANK(A398),"",E398+1)</f>
        <v>2</v>
      </c>
      <c r="F399" s="11">
        <f t="shared" ref="F399:F403" si="466">F398</f>
        <v>45478.93125</v>
      </c>
      <c r="G399" s="8">
        <v>0.428</v>
      </c>
    </row>
    <row r="400">
      <c r="A400" s="9" t="str">
        <f t="shared" si="464"/>
        <v>PROREP (L)</v>
      </c>
      <c r="B400" s="9" t="str">
        <f>IF(ISBLANK(A398),"",LEFT(B399,27)&amp;VALUE(RIGHT(B399,1)+1))</f>
        <v>JKL240702PROREP_20C_sample_3</v>
      </c>
      <c r="C400" s="6" t="str">
        <f t="shared" ref="C400:D400" si="465">C399</f>
        <v>Protea repens</v>
      </c>
      <c r="D400" s="6" t="str">
        <f t="shared" si="465"/>
        <v>20C</v>
      </c>
      <c r="E400" s="10">
        <f>IF(ISBLANK(A398),"",E399+1)</f>
        <v>3</v>
      </c>
      <c r="F400" s="11">
        <f t="shared" si="466"/>
        <v>45478.93125</v>
      </c>
      <c r="G400" s="8">
        <v>0.661</v>
      </c>
    </row>
    <row r="401">
      <c r="A401" s="9" t="str">
        <f t="shared" si="464"/>
        <v>PROREP (L)</v>
      </c>
      <c r="B401" s="9" t="str">
        <f>IF(ISBLANK(A398),"",LEFT(B400,27)&amp;VALUE(RIGHT(B400,1)+1))</f>
        <v>JKL240702PROREP_20C_sample_4</v>
      </c>
      <c r="C401" s="6" t="str">
        <f t="shared" ref="C401:D401" si="467">C400</f>
        <v>Protea repens</v>
      </c>
      <c r="D401" s="6" t="str">
        <f t="shared" si="467"/>
        <v>20C</v>
      </c>
      <c r="E401" s="10">
        <f>IF(ISBLANK(A398),"",E400+1)</f>
        <v>4</v>
      </c>
      <c r="F401" s="11">
        <f t="shared" si="466"/>
        <v>45478.93125</v>
      </c>
      <c r="G401" s="8">
        <v>0.339</v>
      </c>
    </row>
    <row r="402">
      <c r="A402" s="9" t="str">
        <f t="shared" si="464"/>
        <v>PROREP (L)</v>
      </c>
      <c r="B402" s="9" t="str">
        <f>IF(ISBLANK(A398),"",LEFT(B401,27)&amp;VALUE(RIGHT(B401,1)+1))</f>
        <v>JKL240702PROREP_20C_sample_5</v>
      </c>
      <c r="C402" s="6" t="str">
        <f t="shared" ref="C402:D402" si="468">C401</f>
        <v>Protea repens</v>
      </c>
      <c r="D402" s="6" t="str">
        <f t="shared" si="468"/>
        <v>20C</v>
      </c>
      <c r="E402" s="10">
        <f>IF(ISBLANK(A398),"",E401+1)</f>
        <v>5</v>
      </c>
      <c r="F402" s="11">
        <f t="shared" si="466"/>
        <v>45478.93125</v>
      </c>
      <c r="G402" s="8">
        <v>0.459</v>
      </c>
    </row>
    <row r="403">
      <c r="A403" s="12" t="str">
        <f t="shared" si="464"/>
        <v>PROREP (L)</v>
      </c>
      <c r="B403" s="12" t="str">
        <f>IF(ISBLANK(A398),"",LEFT(B402,27)&amp;VALUE(RIGHT(B402,1)+1))</f>
        <v>JKL240702PROREP_20C_sample_6</v>
      </c>
      <c r="C403" s="13" t="str">
        <f t="shared" ref="C403:D403" si="469">C402</f>
        <v>Protea repens</v>
      </c>
      <c r="D403" s="13" t="str">
        <f t="shared" si="469"/>
        <v>20C</v>
      </c>
      <c r="E403" s="14">
        <f>IF(ISBLANK(A398),"",E402+1)</f>
        <v>6</v>
      </c>
      <c r="F403" s="15">
        <f t="shared" si="466"/>
        <v>45478.93125</v>
      </c>
      <c r="G403" s="16">
        <v>0.385</v>
      </c>
    </row>
    <row r="404">
      <c r="A404" s="5" t="s">
        <v>9</v>
      </c>
      <c r="B404" s="6" t="str">
        <f t="array" ref="B404">IF(ISBLANK(A404),"",IF(A404="PROREP (L)",VLOOKUP(LEFT($A404,6),'Data Feed (20C)'!$A$1:$G$10,2,FALSE),IF(A404="PROREP (S)", INDEX('Data Feed (20C)'!B:B, MATCH(LEFT($A404,6), 'Data Feed (20C)'!$A$1:$A$10, 0) + 1), VLOOKUP($A404,'Data Feed (20C)'!$A$1:$G$10,2,FALSE))))</f>
        <v>JKS240702PROREP_20C_sample_1</v>
      </c>
      <c r="C404" s="6" t="str">
        <f t="array" ref="C404">IF(ISBLANK(A404),"",IF(A404="PROREP (L)",VLOOKUP(LEFT($A404,6),'Data Feed (20C)'!$A$1:$G$10,3,FALSE),IF(A404="PROREP (S)", INDEX('Data Feed (20C)'!C:C, MATCH(LEFT($A404,6), 'Data Feed (20C)'!$A$1:$A$10, 0) + 1, +1), VLOOKUP($A404,'Data Feed (20C)'!$A$1:$G$10,3,FALSE))))</f>
        <v>Protea repens</v>
      </c>
      <c r="D404" s="6" t="str">
        <f t="array" ref="D404">IF(ISBLANK(A404),"",IF(A404="PROREP (L)",VLOOKUP(LEFT($A404,6),'Data Feed (20C)'!$A$1:$G$10,4,FALSE),IF(A404="PROREP (S)", INDEX('Data Feed (20C)'!D:D, MATCH(LEFT($A404,6), 'Data Feed (20C)'!$A$1:$A$10, 0) + 1, +1), VLOOKUP($A404,'Data Feed (20C)'!$A$1:$G$10,4,FALSE))))</f>
        <v>20C</v>
      </c>
      <c r="E404" s="6">
        <f t="array" ref="E404">IF(ISBLANK(A404),"",IF(A404="PROREP (L)",VLOOKUP(LEFT($A404,6),'Data Feed (20C)'!$A$1:$G$10,7,FALSE),IF(A404="PROREP (S)", INDEX('Data Feed (20C)'!G:G, MATCH(LEFT($A404,6), 'Data Feed (20C)'!$A$1:$A$10, 0) + 1, +1), VLOOKUP($A404,'Data Feed (20C)'!$A$1:$G$10,7,FALSE))))</f>
        <v>1</v>
      </c>
      <c r="F404" s="7">
        <v>45478.93263888889</v>
      </c>
      <c r="G404" s="8">
        <v>3.238</v>
      </c>
    </row>
    <row r="405">
      <c r="A405" s="9" t="str">
        <f t="shared" ref="A405:A409" si="471">A404</f>
        <v>PROREP (S)</v>
      </c>
      <c r="B405" s="9" t="str">
        <f>IF(ISBLANK(A404),"",LEFT(B404,27)&amp;VALUE(RIGHT(B404,1)+1))</f>
        <v>JKS240702PROREP_20C_sample_2</v>
      </c>
      <c r="C405" s="6" t="str">
        <f t="shared" ref="C405:D405" si="470">C404</f>
        <v>Protea repens</v>
      </c>
      <c r="D405" s="6" t="str">
        <f t="shared" si="470"/>
        <v>20C</v>
      </c>
      <c r="E405" s="10">
        <f>IF(ISBLANK(A404),"",E404+1)</f>
        <v>2</v>
      </c>
      <c r="F405" s="11">
        <f t="shared" ref="F405:F409" si="473">F404</f>
        <v>45478.93264</v>
      </c>
      <c r="G405" s="8">
        <v>12.044</v>
      </c>
    </row>
    <row r="406">
      <c r="A406" s="9" t="str">
        <f t="shared" si="471"/>
        <v>PROREP (S)</v>
      </c>
      <c r="B406" s="9" t="str">
        <f>IF(ISBLANK(A404),"",LEFT(B405,27)&amp;VALUE(RIGHT(B405,1)+1))</f>
        <v>JKS240702PROREP_20C_sample_3</v>
      </c>
      <c r="C406" s="6" t="str">
        <f t="shared" ref="C406:D406" si="472">C405</f>
        <v>Protea repens</v>
      </c>
      <c r="D406" s="6" t="str">
        <f t="shared" si="472"/>
        <v>20C</v>
      </c>
      <c r="E406" s="10">
        <f>IF(ISBLANK(A404),"",E405+1)</f>
        <v>3</v>
      </c>
      <c r="F406" s="11">
        <f t="shared" si="473"/>
        <v>45478.93264</v>
      </c>
      <c r="G406" s="8">
        <v>11.786</v>
      </c>
    </row>
    <row r="407">
      <c r="A407" s="9" t="str">
        <f t="shared" si="471"/>
        <v>PROREP (S)</v>
      </c>
      <c r="B407" s="9" t="str">
        <f>IF(ISBLANK(A404),"",LEFT(B406,27)&amp;VALUE(RIGHT(B406,1)+1))</f>
        <v>JKS240702PROREP_20C_sample_4</v>
      </c>
      <c r="C407" s="6" t="str">
        <f t="shared" ref="C407:D407" si="474">C406</f>
        <v>Protea repens</v>
      </c>
      <c r="D407" s="6" t="str">
        <f t="shared" si="474"/>
        <v>20C</v>
      </c>
      <c r="E407" s="10">
        <f>IF(ISBLANK(A404),"",E406+1)</f>
        <v>4</v>
      </c>
      <c r="F407" s="11">
        <f t="shared" si="473"/>
        <v>45478.93264</v>
      </c>
      <c r="G407" s="8">
        <v>6.897</v>
      </c>
    </row>
    <row r="408">
      <c r="A408" s="9" t="str">
        <f t="shared" si="471"/>
        <v>PROREP (S)</v>
      </c>
      <c r="B408" s="9" t="str">
        <f>IF(ISBLANK(A404),"",LEFT(B407,27)&amp;VALUE(RIGHT(B407,1)+1))</f>
        <v>JKS240702PROREP_20C_sample_5</v>
      </c>
      <c r="C408" s="6" t="str">
        <f t="shared" ref="C408:D408" si="475">C407</f>
        <v>Protea repens</v>
      </c>
      <c r="D408" s="6" t="str">
        <f t="shared" si="475"/>
        <v>20C</v>
      </c>
      <c r="E408" s="10">
        <f>IF(ISBLANK(A404),"",E407+1)</f>
        <v>5</v>
      </c>
      <c r="F408" s="11">
        <f t="shared" si="473"/>
        <v>45478.93264</v>
      </c>
      <c r="G408" s="8">
        <v>6.538</v>
      </c>
    </row>
    <row r="409">
      <c r="A409" s="12" t="str">
        <f t="shared" si="471"/>
        <v>PROREP (S)</v>
      </c>
      <c r="B409" s="12" t="str">
        <f>IF(ISBLANK(A404),"",LEFT(B408,27)&amp;VALUE(RIGHT(B408,1)+1))</f>
        <v>JKS240702PROREP_20C_sample_6</v>
      </c>
      <c r="C409" s="13" t="str">
        <f t="shared" ref="C409:D409" si="476">C408</f>
        <v>Protea repens</v>
      </c>
      <c r="D409" s="13" t="str">
        <f t="shared" si="476"/>
        <v>20C</v>
      </c>
      <c r="E409" s="14">
        <f>IF(ISBLANK(A404),"",E408+1)</f>
        <v>6</v>
      </c>
      <c r="F409" s="15">
        <f t="shared" si="473"/>
        <v>45478.93264</v>
      </c>
      <c r="G409" s="16">
        <v>24.145</v>
      </c>
    </row>
    <row r="410">
      <c r="A410" s="5" t="s">
        <v>10</v>
      </c>
      <c r="B410" s="6" t="str">
        <f t="array" ref="B410">IF(ISBLANK(A410),"",IF(A410="PROREP (L)",VLOOKUP(LEFT($A410,6),'Data Feed (20C)'!$A$1:$G$10,2,FALSE),IF(A410="PROREP (S)", INDEX('Data Feed (20C)'!B:B, MATCH(LEFT($A410,6), 'Data Feed (20C)'!$A$1:$A$10, 0) + 1), VLOOKUP($A410,'Data Feed (20C)'!$A$1:$G$10,2,FALSE))))</f>
        <v>JKS240702CANCON_20C_sample_1</v>
      </c>
      <c r="C410" s="6" t="str">
        <f t="array" ref="C410">IF(ISBLANK(A410),"",IF(A410="PROREP (L)",VLOOKUP(LEFT($A410,6),'Data Feed (20C)'!$A$1:$G$10,3,FALSE),IF(A410="PROREP (S)", INDEX('Data Feed (20C)'!C:C, MATCH(LEFT($A410,6), 'Data Feed (20C)'!$A$1:$A$10, 0) + 1, +1), VLOOKUP($A410,'Data Feed (20C)'!$A$1:$G$10,3,FALSE))))</f>
        <v>Cannomois congesta</v>
      </c>
      <c r="D410" s="6" t="str">
        <f t="array" ref="D410">IF(ISBLANK(A410),"",IF(A410="PROREP (L)",VLOOKUP(LEFT($A410,6),'Data Feed (20C)'!$A$1:$G$10,4,FALSE),IF(A410="PROREP (S)", INDEX('Data Feed (20C)'!D:D, MATCH(LEFT($A410,6), 'Data Feed (20C)'!$A$1:$A$10, 0) + 1, +1), VLOOKUP($A410,'Data Feed (20C)'!$A$1:$G$10,4,FALSE))))</f>
        <v>20C</v>
      </c>
      <c r="E410" s="6">
        <f t="array" ref="E410">IF(ISBLANK(A410),"",IF(A410="PROREP (L)",VLOOKUP(LEFT($A410,6),'Data Feed (20C)'!$A$1:$G$10,7,FALSE),IF(A410="PROREP (S)", INDEX('Data Feed (20C)'!G:G, MATCH(LEFT($A410,6), 'Data Feed (20C)'!$A$1:$A$10, 0) + 1, +1), VLOOKUP($A410,'Data Feed (20C)'!$A$1:$G$10,7,FALSE))))</f>
        <v>1</v>
      </c>
      <c r="F410" s="7">
        <v>45478.93541666667</v>
      </c>
      <c r="G410" s="8">
        <v>1.818</v>
      </c>
    </row>
    <row r="411">
      <c r="A411" s="9" t="str">
        <f t="shared" ref="A411:A415" si="478">A410</f>
        <v>CANCON</v>
      </c>
      <c r="B411" s="9" t="str">
        <f>IF(ISBLANK(A410),"",LEFT(B410,27)&amp;VALUE(RIGHT(B410,1)+1))</f>
        <v>JKS240702CANCON_20C_sample_2</v>
      </c>
      <c r="C411" s="6" t="str">
        <f t="shared" ref="C411:D411" si="477">C410</f>
        <v>Cannomois congesta</v>
      </c>
      <c r="D411" s="6" t="str">
        <f t="shared" si="477"/>
        <v>20C</v>
      </c>
      <c r="E411" s="10">
        <f>IF(ISBLANK(A410),"",E410+1)</f>
        <v>2</v>
      </c>
      <c r="F411" s="11">
        <f t="shared" ref="F411:F415" si="480">F410</f>
        <v>45478.93542</v>
      </c>
      <c r="G411" s="8">
        <v>2.094</v>
      </c>
    </row>
    <row r="412">
      <c r="A412" s="9" t="str">
        <f t="shared" si="478"/>
        <v>CANCON</v>
      </c>
      <c r="B412" s="9" t="str">
        <f>IF(ISBLANK(A410),"",LEFT(B411,27)&amp;VALUE(RIGHT(B411,1)+1))</f>
        <v>JKS240702CANCON_20C_sample_3</v>
      </c>
      <c r="C412" s="6" t="str">
        <f t="shared" ref="C412:D412" si="479">C411</f>
        <v>Cannomois congesta</v>
      </c>
      <c r="D412" s="6" t="str">
        <f t="shared" si="479"/>
        <v>20C</v>
      </c>
      <c r="E412" s="10">
        <f>IF(ISBLANK(A410),"",E411+1)</f>
        <v>3</v>
      </c>
      <c r="F412" s="11">
        <f t="shared" si="480"/>
        <v>45478.93542</v>
      </c>
      <c r="G412" s="8">
        <v>1.021</v>
      </c>
    </row>
    <row r="413">
      <c r="A413" s="9" t="str">
        <f t="shared" si="478"/>
        <v>CANCON</v>
      </c>
      <c r="B413" s="9" t="str">
        <f>IF(ISBLANK(A410),"",LEFT(B412,27)&amp;VALUE(RIGHT(B412,1)+1))</f>
        <v>JKS240702CANCON_20C_sample_4</v>
      </c>
      <c r="C413" s="6" t="str">
        <f t="shared" ref="C413:D413" si="481">C412</f>
        <v>Cannomois congesta</v>
      </c>
      <c r="D413" s="6" t="str">
        <f t="shared" si="481"/>
        <v>20C</v>
      </c>
      <c r="E413" s="10">
        <f>IF(ISBLANK(A410),"",E412+1)</f>
        <v>4</v>
      </c>
      <c r="F413" s="11">
        <f t="shared" si="480"/>
        <v>45478.93542</v>
      </c>
      <c r="G413" s="8">
        <v>1.8</v>
      </c>
    </row>
    <row r="414">
      <c r="A414" s="9" t="str">
        <f t="shared" si="478"/>
        <v>CANCON</v>
      </c>
      <c r="B414" s="9" t="str">
        <f>IF(ISBLANK(A410),"",LEFT(B413,27)&amp;VALUE(RIGHT(B413,1)+1))</f>
        <v>JKS240702CANCON_20C_sample_5</v>
      </c>
      <c r="C414" s="6" t="str">
        <f t="shared" ref="C414:D414" si="482">C413</f>
        <v>Cannomois congesta</v>
      </c>
      <c r="D414" s="6" t="str">
        <f t="shared" si="482"/>
        <v>20C</v>
      </c>
      <c r="E414" s="10">
        <f>IF(ISBLANK(A410),"",E413+1)</f>
        <v>5</v>
      </c>
      <c r="F414" s="11">
        <f t="shared" si="480"/>
        <v>45478.93542</v>
      </c>
      <c r="G414" s="8">
        <v>1.944</v>
      </c>
    </row>
    <row r="415">
      <c r="A415" s="12" t="str">
        <f t="shared" si="478"/>
        <v>CANCON</v>
      </c>
      <c r="B415" s="12" t="str">
        <f>IF(ISBLANK(A410),"",LEFT(B414,27)&amp;VALUE(RIGHT(B414,1)+1))</f>
        <v>JKS240702CANCON_20C_sample_6</v>
      </c>
      <c r="C415" s="13" t="str">
        <f t="shared" ref="C415:D415" si="483">C414</f>
        <v>Cannomois congesta</v>
      </c>
      <c r="D415" s="13" t="str">
        <f t="shared" si="483"/>
        <v>20C</v>
      </c>
      <c r="E415" s="14">
        <f>IF(ISBLANK(A410),"",E414+1)</f>
        <v>6</v>
      </c>
      <c r="F415" s="15">
        <f t="shared" si="480"/>
        <v>45478.93542</v>
      </c>
      <c r="G415" s="16">
        <v>1.375</v>
      </c>
    </row>
    <row r="416">
      <c r="A416" s="5" t="s">
        <v>7</v>
      </c>
      <c r="B416" s="6" t="str">
        <f t="array" ref="B416">IF(ISBLANK(A416),"",IF(A416="PROREP (L)",VLOOKUP(LEFT($A416,6),'Data Feed (20C)'!$A$1:$G$10,2,FALSE),IF(A416="PROREP (S)", INDEX('Data Feed (20C)'!B:B, MATCH(LEFT($A416,6), 'Data Feed (20C)'!$A$1:$A$10, 0) + 1), VLOOKUP($A416,'Data Feed (20C)'!$A$1:$G$10,2,FALSE))))</f>
        <v>JKS240702ERIMON_20C_sample_1</v>
      </c>
      <c r="C416" s="6" t="str">
        <f t="array" ref="C416">IF(ISBLANK(A416),"",IF(A416="PROREP (L)",VLOOKUP(LEFT($A416,6),'Data Feed (20C)'!$A$1:$G$10,3,FALSE),IF(A416="PROREP (S)", INDEX('Data Feed (20C)'!C:C, MATCH(LEFT($A416,6), 'Data Feed (20C)'!$A$1:$A$10, 0) + 1, +1), VLOOKUP($A416,'Data Feed (20C)'!$A$1:$G$10,3,FALSE))))</f>
        <v>Erica monsoniana</v>
      </c>
      <c r="D416" s="6" t="str">
        <f t="array" ref="D416">IF(ISBLANK(A416),"",IF(A416="PROREP (L)",VLOOKUP(LEFT($A416,6),'Data Feed (20C)'!$A$1:$G$10,4,FALSE),IF(A416="PROREP (S)", INDEX('Data Feed (20C)'!D:D, MATCH(LEFT($A416,6), 'Data Feed (20C)'!$A$1:$A$10, 0) + 1, +1), VLOOKUP($A416,'Data Feed (20C)'!$A$1:$G$10,4,FALSE))))</f>
        <v>20C</v>
      </c>
      <c r="E416" s="6">
        <f t="array" ref="E416">IF(ISBLANK(A416),"",IF(A416="PROREP (L)",VLOOKUP(LEFT($A416,6),'Data Feed (20C)'!$A$1:$G$10,7,FALSE),IF(A416="PROREP (S)", INDEX('Data Feed (20C)'!G:G, MATCH(LEFT($A416,6), 'Data Feed (20C)'!$A$1:$A$10, 0) + 1, +1), VLOOKUP($A416,'Data Feed (20C)'!$A$1:$G$10,7,FALSE))))</f>
        <v>1</v>
      </c>
      <c r="F416" s="7">
        <v>45479.441666666666</v>
      </c>
      <c r="G416" s="8">
        <v>1.783</v>
      </c>
    </row>
    <row r="417">
      <c r="A417" s="9" t="str">
        <f t="shared" ref="A417:A421" si="485">A416</f>
        <v>ERIMON</v>
      </c>
      <c r="B417" s="9" t="str">
        <f>IF(ISBLANK(A416),"",LEFT(B416,27)&amp;VALUE(RIGHT(B416,1)+1))</f>
        <v>JKS240702ERIMON_20C_sample_2</v>
      </c>
      <c r="C417" s="6" t="str">
        <f t="shared" ref="C417:D417" si="484">C416</f>
        <v>Erica monsoniana</v>
      </c>
      <c r="D417" s="6" t="str">
        <f t="shared" si="484"/>
        <v>20C</v>
      </c>
      <c r="E417" s="10">
        <f>IF(ISBLANK(A416),"",E416+1)</f>
        <v>2</v>
      </c>
      <c r="F417" s="11">
        <f t="shared" ref="F417:F421" si="487">F416</f>
        <v>45479.44167</v>
      </c>
      <c r="G417" s="8">
        <v>1.542</v>
      </c>
    </row>
    <row r="418">
      <c r="A418" s="9" t="str">
        <f t="shared" si="485"/>
        <v>ERIMON</v>
      </c>
      <c r="B418" s="9" t="str">
        <f>IF(ISBLANK(A416),"",LEFT(B417,27)&amp;VALUE(RIGHT(B417,1)+1))</f>
        <v>JKS240702ERIMON_20C_sample_3</v>
      </c>
      <c r="C418" s="6" t="str">
        <f t="shared" ref="C418:D418" si="486">C417</f>
        <v>Erica monsoniana</v>
      </c>
      <c r="D418" s="6" t="str">
        <f t="shared" si="486"/>
        <v>20C</v>
      </c>
      <c r="E418" s="10">
        <f>IF(ISBLANK(A416),"",E417+1)</f>
        <v>3</v>
      </c>
      <c r="F418" s="11">
        <f t="shared" si="487"/>
        <v>45479.44167</v>
      </c>
      <c r="G418" s="8">
        <v>1.662</v>
      </c>
    </row>
    <row r="419">
      <c r="A419" s="9" t="str">
        <f t="shared" si="485"/>
        <v>ERIMON</v>
      </c>
      <c r="B419" s="9" t="str">
        <f>IF(ISBLANK(A416),"",LEFT(B418,27)&amp;VALUE(RIGHT(B418,1)+1))</f>
        <v>JKS240702ERIMON_20C_sample_4</v>
      </c>
      <c r="C419" s="6" t="str">
        <f t="shared" ref="C419:D419" si="488">C418</f>
        <v>Erica monsoniana</v>
      </c>
      <c r="D419" s="6" t="str">
        <f t="shared" si="488"/>
        <v>20C</v>
      </c>
      <c r="E419" s="10">
        <f>IF(ISBLANK(A416),"",E418+1)</f>
        <v>4</v>
      </c>
      <c r="F419" s="11">
        <f t="shared" si="487"/>
        <v>45479.44167</v>
      </c>
      <c r="G419" s="8">
        <v>0.946</v>
      </c>
    </row>
    <row r="420">
      <c r="A420" s="9" t="str">
        <f t="shared" si="485"/>
        <v>ERIMON</v>
      </c>
      <c r="B420" s="9" t="str">
        <f>IF(ISBLANK(A416),"",LEFT(B419,27)&amp;VALUE(RIGHT(B419,1)+1))</f>
        <v>JKS240702ERIMON_20C_sample_5</v>
      </c>
      <c r="C420" s="6" t="str">
        <f t="shared" ref="C420:D420" si="489">C419</f>
        <v>Erica monsoniana</v>
      </c>
      <c r="D420" s="6" t="str">
        <f t="shared" si="489"/>
        <v>20C</v>
      </c>
      <c r="E420" s="10">
        <f>IF(ISBLANK(A416),"",E419+1)</f>
        <v>5</v>
      </c>
      <c r="F420" s="11">
        <f t="shared" si="487"/>
        <v>45479.44167</v>
      </c>
      <c r="G420" s="8">
        <v>1.319</v>
      </c>
    </row>
    <row r="421">
      <c r="A421" s="12" t="str">
        <f t="shared" si="485"/>
        <v>ERIMON</v>
      </c>
      <c r="B421" s="12" t="str">
        <f>IF(ISBLANK(A416),"",LEFT(B420,27)&amp;VALUE(RIGHT(B420,1)+1))</f>
        <v>JKS240702ERIMON_20C_sample_6</v>
      </c>
      <c r="C421" s="13" t="str">
        <f t="shared" ref="C421:D421" si="490">C420</f>
        <v>Erica monsoniana</v>
      </c>
      <c r="D421" s="13" t="str">
        <f t="shared" si="490"/>
        <v>20C</v>
      </c>
      <c r="E421" s="14">
        <f>IF(ISBLANK(A416),"",E420+1)</f>
        <v>6</v>
      </c>
      <c r="F421" s="15">
        <f t="shared" si="487"/>
        <v>45479.44167</v>
      </c>
      <c r="G421" s="16">
        <v>0.646</v>
      </c>
    </row>
    <row r="422">
      <c r="A422" s="5" t="s">
        <v>8</v>
      </c>
      <c r="B422" s="6" t="str">
        <f t="array" ref="B422">IF(ISBLANK(A422),"",IF(A422="PROREP (L)",VLOOKUP(LEFT($A422,6),'Data Feed (20C)'!$A$1:$G$10,2,FALSE),IF(A422="PROREP (S)", INDEX('Data Feed (20C)'!B:B, MATCH(LEFT($A422,6), 'Data Feed (20C)'!$A$1:$A$10, 0) + 1), VLOOKUP($A422,'Data Feed (20C)'!$A$1:$G$10,2,FALSE))))</f>
        <v>JKL240702PROREP_20C_sample_1</v>
      </c>
      <c r="C422" s="6" t="str">
        <f t="array" ref="C422">IF(ISBLANK(A422),"",IF(A422="PROREP (L)",VLOOKUP(LEFT($A422,6),'Data Feed (20C)'!$A$1:$G$10,3,FALSE),IF(A422="PROREP (S)", INDEX('Data Feed (20C)'!C:C, MATCH(LEFT($A422,6), 'Data Feed (20C)'!$A$1:$A$10, 0) + 1, +1), VLOOKUP($A422,'Data Feed (20C)'!$A$1:$G$10,3,FALSE))))</f>
        <v>Protea repens</v>
      </c>
      <c r="D422" s="6" t="str">
        <f t="array" ref="D422">IF(ISBLANK(A422),"",IF(A422="PROREP (L)",VLOOKUP(LEFT($A422,6),'Data Feed (20C)'!$A$1:$G$10,4,FALSE),IF(A422="PROREP (S)", INDEX('Data Feed (20C)'!D:D, MATCH(LEFT($A422,6), 'Data Feed (20C)'!$A$1:$A$10, 0) + 1, +1), VLOOKUP($A422,'Data Feed (20C)'!$A$1:$G$10,4,FALSE))))</f>
        <v>20C</v>
      </c>
      <c r="E422" s="6">
        <f t="array" ref="E422">IF(ISBLANK(A422),"",IF(A422="PROREP (L)",VLOOKUP(LEFT($A422,6),'Data Feed (20C)'!$A$1:$G$10,7,FALSE),IF(A422="PROREP (S)", INDEX('Data Feed (20C)'!G:G, MATCH(LEFT($A422,6), 'Data Feed (20C)'!$A$1:$A$10, 0) + 1, +1), VLOOKUP($A422,'Data Feed (20C)'!$A$1:$G$10,7,FALSE))))</f>
        <v>1</v>
      </c>
      <c r="F422" s="7">
        <v>45479.44305555556</v>
      </c>
      <c r="G422" s="8">
        <v>0.532</v>
      </c>
    </row>
    <row r="423">
      <c r="A423" s="9" t="str">
        <f t="shared" ref="A423:A427" si="492">A422</f>
        <v>PROREP (L)</v>
      </c>
      <c r="B423" s="9" t="str">
        <f>IF(ISBLANK(A422),"",LEFT(B422,27)&amp;VALUE(RIGHT(B422,1)+1))</f>
        <v>JKL240702PROREP_20C_sample_2</v>
      </c>
      <c r="C423" s="6" t="str">
        <f t="shared" ref="C423:D423" si="491">C422</f>
        <v>Protea repens</v>
      </c>
      <c r="D423" s="6" t="str">
        <f t="shared" si="491"/>
        <v>20C</v>
      </c>
      <c r="E423" s="10">
        <f>IF(ISBLANK(A422),"",E422+1)</f>
        <v>2</v>
      </c>
      <c r="F423" s="11">
        <f t="shared" ref="F423:F427" si="494">F422</f>
        <v>45479.44306</v>
      </c>
      <c r="G423" s="8">
        <v>0.412</v>
      </c>
    </row>
    <row r="424">
      <c r="A424" s="9" t="str">
        <f t="shared" si="492"/>
        <v>PROREP (L)</v>
      </c>
      <c r="B424" s="9" t="str">
        <f>IF(ISBLANK(A422),"",LEFT(B423,27)&amp;VALUE(RIGHT(B423,1)+1))</f>
        <v>JKL240702PROREP_20C_sample_3</v>
      </c>
      <c r="C424" s="6" t="str">
        <f t="shared" ref="C424:D424" si="493">C423</f>
        <v>Protea repens</v>
      </c>
      <c r="D424" s="6" t="str">
        <f t="shared" si="493"/>
        <v>20C</v>
      </c>
      <c r="E424" s="10">
        <f>IF(ISBLANK(A422),"",E423+1)</f>
        <v>3</v>
      </c>
      <c r="F424" s="11">
        <f t="shared" si="494"/>
        <v>45479.44306</v>
      </c>
      <c r="G424" s="8">
        <v>0.615</v>
      </c>
    </row>
    <row r="425">
      <c r="A425" s="9" t="str">
        <f t="shared" si="492"/>
        <v>PROREP (L)</v>
      </c>
      <c r="B425" s="9" t="str">
        <f>IF(ISBLANK(A422),"",LEFT(B424,27)&amp;VALUE(RIGHT(B424,1)+1))</f>
        <v>JKL240702PROREP_20C_sample_4</v>
      </c>
      <c r="C425" s="6" t="str">
        <f t="shared" ref="C425:D425" si="495">C424</f>
        <v>Protea repens</v>
      </c>
      <c r="D425" s="6" t="str">
        <f t="shared" si="495"/>
        <v>20C</v>
      </c>
      <c r="E425" s="10">
        <f>IF(ISBLANK(A422),"",E424+1)</f>
        <v>4</v>
      </c>
      <c r="F425" s="11">
        <f t="shared" si="494"/>
        <v>45479.44306</v>
      </c>
      <c r="G425" s="8">
        <v>0.328</v>
      </c>
    </row>
    <row r="426">
      <c r="A426" s="9" t="str">
        <f t="shared" si="492"/>
        <v>PROREP (L)</v>
      </c>
      <c r="B426" s="9" t="str">
        <f>IF(ISBLANK(A422),"",LEFT(B425,27)&amp;VALUE(RIGHT(B425,1)+1))</f>
        <v>JKL240702PROREP_20C_sample_5</v>
      </c>
      <c r="C426" s="6" t="str">
        <f t="shared" ref="C426:D426" si="496">C425</f>
        <v>Protea repens</v>
      </c>
      <c r="D426" s="6" t="str">
        <f t="shared" si="496"/>
        <v>20C</v>
      </c>
      <c r="E426" s="10">
        <f>IF(ISBLANK(A422),"",E425+1)</f>
        <v>5</v>
      </c>
      <c r="F426" s="11">
        <f t="shared" si="494"/>
        <v>45479.44306</v>
      </c>
      <c r="G426" s="8">
        <v>0.433</v>
      </c>
    </row>
    <row r="427">
      <c r="A427" s="12" t="str">
        <f t="shared" si="492"/>
        <v>PROREP (L)</v>
      </c>
      <c r="B427" s="12" t="str">
        <f>IF(ISBLANK(A422),"",LEFT(B426,27)&amp;VALUE(RIGHT(B426,1)+1))</f>
        <v>JKL240702PROREP_20C_sample_6</v>
      </c>
      <c r="C427" s="13" t="str">
        <f t="shared" ref="C427:D427" si="497">C426</f>
        <v>Protea repens</v>
      </c>
      <c r="D427" s="13" t="str">
        <f t="shared" si="497"/>
        <v>20C</v>
      </c>
      <c r="E427" s="14">
        <f>IF(ISBLANK(A422),"",E426+1)</f>
        <v>6</v>
      </c>
      <c r="F427" s="15">
        <f t="shared" si="494"/>
        <v>45479.44306</v>
      </c>
      <c r="G427" s="16">
        <v>0.352</v>
      </c>
    </row>
    <row r="428">
      <c r="A428" s="5" t="s">
        <v>9</v>
      </c>
      <c r="B428" s="6" t="str">
        <f t="array" ref="B428">IF(ISBLANK(A428),"",IF(A428="PROREP (L)",VLOOKUP(LEFT($A428,6),'Data Feed (20C)'!$A$1:$G$10,2,FALSE),IF(A428="PROREP (S)", INDEX('Data Feed (20C)'!B:B, MATCH(LEFT($A428,6), 'Data Feed (20C)'!$A$1:$A$10, 0) + 1), VLOOKUP($A428,'Data Feed (20C)'!$A$1:$G$10,2,FALSE))))</f>
        <v>JKS240702PROREP_20C_sample_1</v>
      </c>
      <c r="C428" s="6" t="str">
        <f t="array" ref="C428">IF(ISBLANK(A428),"",IF(A428="PROREP (L)",VLOOKUP(LEFT($A428,6),'Data Feed (20C)'!$A$1:$G$10,3,FALSE),IF(A428="PROREP (S)", INDEX('Data Feed (20C)'!C:C, MATCH(LEFT($A428,6), 'Data Feed (20C)'!$A$1:$A$10, 0) + 1, +1), VLOOKUP($A428,'Data Feed (20C)'!$A$1:$G$10,3,FALSE))))</f>
        <v>Protea repens</v>
      </c>
      <c r="D428" s="6" t="str">
        <f t="array" ref="D428">IF(ISBLANK(A428),"",IF(A428="PROREP (L)",VLOOKUP(LEFT($A428,6),'Data Feed (20C)'!$A$1:$G$10,4,FALSE),IF(A428="PROREP (S)", INDEX('Data Feed (20C)'!D:D, MATCH(LEFT($A428,6), 'Data Feed (20C)'!$A$1:$A$10, 0) + 1, +1), VLOOKUP($A428,'Data Feed (20C)'!$A$1:$G$10,4,FALSE))))</f>
        <v>20C</v>
      </c>
      <c r="E428" s="6">
        <f t="array" ref="E428">IF(ISBLANK(A428),"",IF(A428="PROREP (L)",VLOOKUP(LEFT($A428,6),'Data Feed (20C)'!$A$1:$G$10,7,FALSE),IF(A428="PROREP (S)", INDEX('Data Feed (20C)'!G:G, MATCH(LEFT($A428,6), 'Data Feed (20C)'!$A$1:$A$10, 0) + 1, +1), VLOOKUP($A428,'Data Feed (20C)'!$A$1:$G$10,7,FALSE))))</f>
        <v>1</v>
      </c>
      <c r="F428" s="7">
        <v>45479.444444444445</v>
      </c>
      <c r="G428" s="8">
        <v>3.139</v>
      </c>
    </row>
    <row r="429">
      <c r="A429" s="9" t="str">
        <f t="shared" ref="A429:A433" si="499">A428</f>
        <v>PROREP (S)</v>
      </c>
      <c r="B429" s="9" t="str">
        <f>IF(ISBLANK(A428),"",LEFT(B428,27)&amp;VALUE(RIGHT(B428,1)+1))</f>
        <v>JKS240702PROREP_20C_sample_2</v>
      </c>
      <c r="C429" s="6" t="str">
        <f t="shared" ref="C429:D429" si="498">C428</f>
        <v>Protea repens</v>
      </c>
      <c r="D429" s="6" t="str">
        <f t="shared" si="498"/>
        <v>20C</v>
      </c>
      <c r="E429" s="10">
        <f>IF(ISBLANK(A428),"",E428+1)</f>
        <v>2</v>
      </c>
      <c r="F429" s="11">
        <f t="shared" ref="F429:F433" si="501">F428</f>
        <v>45479.44444</v>
      </c>
      <c r="G429" s="8">
        <v>11.67</v>
      </c>
    </row>
    <row r="430">
      <c r="A430" s="9" t="str">
        <f t="shared" si="499"/>
        <v>PROREP (S)</v>
      </c>
      <c r="B430" s="9" t="str">
        <f>IF(ISBLANK(A428),"",LEFT(B429,27)&amp;VALUE(RIGHT(B429,1)+1))</f>
        <v>JKS240702PROREP_20C_sample_3</v>
      </c>
      <c r="C430" s="6" t="str">
        <f t="shared" ref="C430:D430" si="500">C429</f>
        <v>Protea repens</v>
      </c>
      <c r="D430" s="6" t="str">
        <f t="shared" si="500"/>
        <v>20C</v>
      </c>
      <c r="E430" s="10">
        <f>IF(ISBLANK(A428),"",E429+1)</f>
        <v>3</v>
      </c>
      <c r="F430" s="11">
        <f t="shared" si="501"/>
        <v>45479.44444</v>
      </c>
      <c r="G430" s="8">
        <v>10.111</v>
      </c>
    </row>
    <row r="431">
      <c r="A431" s="9" t="str">
        <f t="shared" si="499"/>
        <v>PROREP (S)</v>
      </c>
      <c r="B431" s="9" t="str">
        <f>IF(ISBLANK(A428),"",LEFT(B430,27)&amp;VALUE(RIGHT(B430,1)+1))</f>
        <v>JKS240702PROREP_20C_sample_4</v>
      </c>
      <c r="C431" s="6" t="str">
        <f t="shared" ref="C431:D431" si="502">C430</f>
        <v>Protea repens</v>
      </c>
      <c r="D431" s="6" t="str">
        <f t="shared" si="502"/>
        <v>20C</v>
      </c>
      <c r="E431" s="10">
        <f>IF(ISBLANK(A428),"",E430+1)</f>
        <v>4</v>
      </c>
      <c r="F431" s="11">
        <f t="shared" si="501"/>
        <v>45479.44444</v>
      </c>
      <c r="G431" s="8">
        <v>6.613</v>
      </c>
    </row>
    <row r="432">
      <c r="A432" s="9" t="str">
        <f t="shared" si="499"/>
        <v>PROREP (S)</v>
      </c>
      <c r="B432" s="9" t="str">
        <f>IF(ISBLANK(A428),"",LEFT(B431,27)&amp;VALUE(RIGHT(B431,1)+1))</f>
        <v>JKS240702PROREP_20C_sample_5</v>
      </c>
      <c r="C432" s="6" t="str">
        <f t="shared" ref="C432:D432" si="503">C431</f>
        <v>Protea repens</v>
      </c>
      <c r="D432" s="6" t="str">
        <f t="shared" si="503"/>
        <v>20C</v>
      </c>
      <c r="E432" s="10">
        <f>IF(ISBLANK(A428),"",E431+1)</f>
        <v>5</v>
      </c>
      <c r="F432" s="11">
        <f t="shared" si="501"/>
        <v>45479.44444</v>
      </c>
      <c r="G432" s="8">
        <v>6.262</v>
      </c>
    </row>
    <row r="433">
      <c r="A433" s="12" t="str">
        <f t="shared" si="499"/>
        <v>PROREP (S)</v>
      </c>
      <c r="B433" s="12" t="str">
        <f>IF(ISBLANK(A428),"",LEFT(B432,27)&amp;VALUE(RIGHT(B432,1)+1))</f>
        <v>JKS240702PROREP_20C_sample_6</v>
      </c>
      <c r="C433" s="13" t="str">
        <f t="shared" ref="C433:D433" si="504">C432</f>
        <v>Protea repens</v>
      </c>
      <c r="D433" s="13" t="str">
        <f t="shared" si="504"/>
        <v>20C</v>
      </c>
      <c r="E433" s="14">
        <f>IF(ISBLANK(A428),"",E432+1)</f>
        <v>6</v>
      </c>
      <c r="F433" s="15">
        <f t="shared" si="501"/>
        <v>45479.44444</v>
      </c>
      <c r="G433" s="16">
        <v>23.156</v>
      </c>
    </row>
    <row r="434">
      <c r="A434" s="5" t="s">
        <v>10</v>
      </c>
      <c r="B434" s="6" t="str">
        <f t="array" ref="B434">IF(ISBLANK(A434),"",IF(A434="PROREP (L)",VLOOKUP(LEFT($A434,6),'Data Feed (20C)'!$A$1:$G$10,2,FALSE),IF(A434="PROREP (S)", INDEX('Data Feed (20C)'!B:B, MATCH(LEFT($A434,6), 'Data Feed (20C)'!$A$1:$A$10, 0) + 1), VLOOKUP($A434,'Data Feed (20C)'!$A$1:$G$10,2,FALSE))))</f>
        <v>JKS240702CANCON_20C_sample_1</v>
      </c>
      <c r="C434" s="6" t="str">
        <f t="array" ref="C434">IF(ISBLANK(A434),"",IF(A434="PROREP (L)",VLOOKUP(LEFT($A434,6),'Data Feed (20C)'!$A$1:$G$10,3,FALSE),IF(A434="PROREP (S)", INDEX('Data Feed (20C)'!C:C, MATCH(LEFT($A434,6), 'Data Feed (20C)'!$A$1:$A$10, 0) + 1, +1), VLOOKUP($A434,'Data Feed (20C)'!$A$1:$G$10,3,FALSE))))</f>
        <v>Cannomois congesta</v>
      </c>
      <c r="D434" s="6" t="str">
        <f t="array" ref="D434">IF(ISBLANK(A434),"",IF(A434="PROREP (L)",VLOOKUP(LEFT($A434,6),'Data Feed (20C)'!$A$1:$G$10,4,FALSE),IF(A434="PROREP (S)", INDEX('Data Feed (20C)'!D:D, MATCH(LEFT($A434,6), 'Data Feed (20C)'!$A$1:$A$10, 0) + 1, +1), VLOOKUP($A434,'Data Feed (20C)'!$A$1:$G$10,4,FALSE))))</f>
        <v>20C</v>
      </c>
      <c r="E434" s="6">
        <f t="array" ref="E434">IF(ISBLANK(A434),"",IF(A434="PROREP (L)",VLOOKUP(LEFT($A434,6),'Data Feed (20C)'!$A$1:$G$10,7,FALSE),IF(A434="PROREP (S)", INDEX('Data Feed (20C)'!G:G, MATCH(LEFT($A434,6), 'Data Feed (20C)'!$A$1:$A$10, 0) + 1, +1), VLOOKUP($A434,'Data Feed (20C)'!$A$1:$G$10,7,FALSE))))</f>
        <v>1</v>
      </c>
      <c r="F434" s="7">
        <v>45479.44583333333</v>
      </c>
      <c r="G434" s="8">
        <v>1.656</v>
      </c>
    </row>
    <row r="435">
      <c r="A435" s="9" t="str">
        <f t="shared" ref="A435:A439" si="506">A434</f>
        <v>CANCON</v>
      </c>
      <c r="B435" s="9" t="str">
        <f>IF(ISBLANK(A434),"",LEFT(B434,27)&amp;VALUE(RIGHT(B434,1)+1))</f>
        <v>JKS240702CANCON_20C_sample_2</v>
      </c>
      <c r="C435" s="6" t="str">
        <f t="shared" ref="C435:D435" si="505">C434</f>
        <v>Cannomois congesta</v>
      </c>
      <c r="D435" s="6" t="str">
        <f t="shared" si="505"/>
        <v>20C</v>
      </c>
      <c r="E435" s="10">
        <f>IF(ISBLANK(A434),"",E434+1)</f>
        <v>2</v>
      </c>
      <c r="F435" s="11">
        <f t="shared" ref="F435:F439" si="508">F434</f>
        <v>45479.44583</v>
      </c>
      <c r="G435" s="8">
        <v>1.979</v>
      </c>
    </row>
    <row r="436">
      <c r="A436" s="9" t="str">
        <f t="shared" si="506"/>
        <v>CANCON</v>
      </c>
      <c r="B436" s="9" t="str">
        <f>IF(ISBLANK(A434),"",LEFT(B435,27)&amp;VALUE(RIGHT(B435,1)+1))</f>
        <v>JKS240702CANCON_20C_sample_3</v>
      </c>
      <c r="C436" s="6" t="str">
        <f t="shared" ref="C436:D436" si="507">C435</f>
        <v>Cannomois congesta</v>
      </c>
      <c r="D436" s="6" t="str">
        <f t="shared" si="507"/>
        <v>20C</v>
      </c>
      <c r="E436" s="10">
        <f>IF(ISBLANK(A434),"",E435+1)</f>
        <v>3</v>
      </c>
      <c r="F436" s="11">
        <f t="shared" si="508"/>
        <v>45479.44583</v>
      </c>
      <c r="G436" s="8">
        <v>0.957</v>
      </c>
    </row>
    <row r="437">
      <c r="A437" s="9" t="str">
        <f t="shared" si="506"/>
        <v>CANCON</v>
      </c>
      <c r="B437" s="9" t="str">
        <f>IF(ISBLANK(A434),"",LEFT(B436,27)&amp;VALUE(RIGHT(B436,1)+1))</f>
        <v>JKS240702CANCON_20C_sample_4</v>
      </c>
      <c r="C437" s="6" t="str">
        <f t="shared" ref="C437:D437" si="509">C436</f>
        <v>Cannomois congesta</v>
      </c>
      <c r="D437" s="6" t="str">
        <f t="shared" si="509"/>
        <v>20C</v>
      </c>
      <c r="E437" s="10">
        <f>IF(ISBLANK(A434),"",E436+1)</f>
        <v>4</v>
      </c>
      <c r="F437" s="11">
        <f t="shared" si="508"/>
        <v>45479.44583</v>
      </c>
      <c r="G437" s="8">
        <v>1.638</v>
      </c>
    </row>
    <row r="438">
      <c r="A438" s="9" t="str">
        <f t="shared" si="506"/>
        <v>CANCON</v>
      </c>
      <c r="B438" s="9" t="str">
        <f>IF(ISBLANK(A434),"",LEFT(B437,27)&amp;VALUE(RIGHT(B437,1)+1))</f>
        <v>JKS240702CANCON_20C_sample_5</v>
      </c>
      <c r="C438" s="6" t="str">
        <f t="shared" ref="C438:D438" si="510">C437</f>
        <v>Cannomois congesta</v>
      </c>
      <c r="D438" s="6" t="str">
        <f t="shared" si="510"/>
        <v>20C</v>
      </c>
      <c r="E438" s="10">
        <f>IF(ISBLANK(A434),"",E437+1)</f>
        <v>5</v>
      </c>
      <c r="F438" s="11">
        <f t="shared" si="508"/>
        <v>45479.44583</v>
      </c>
      <c r="G438" s="8">
        <v>1.782</v>
      </c>
    </row>
    <row r="439">
      <c r="A439" s="12" t="str">
        <f t="shared" si="506"/>
        <v>CANCON</v>
      </c>
      <c r="B439" s="12" t="str">
        <f>IF(ISBLANK(A434),"",LEFT(B438,27)&amp;VALUE(RIGHT(B438,1)+1))</f>
        <v>JKS240702CANCON_20C_sample_6</v>
      </c>
      <c r="C439" s="13" t="str">
        <f t="shared" ref="C439:D439" si="511">C438</f>
        <v>Cannomois congesta</v>
      </c>
      <c r="D439" s="13" t="str">
        <f t="shared" si="511"/>
        <v>20C</v>
      </c>
      <c r="E439" s="14">
        <f>IF(ISBLANK(A434),"",E438+1)</f>
        <v>6</v>
      </c>
      <c r="F439" s="15">
        <f t="shared" si="508"/>
        <v>45479.44583</v>
      </c>
      <c r="G439" s="16">
        <v>1.288</v>
      </c>
    </row>
    <row r="440">
      <c r="A440" s="5" t="s">
        <v>7</v>
      </c>
      <c r="B440" s="6" t="str">
        <f t="array" ref="B440">IF(ISBLANK(A440),"",IF(A440="PROREP (L)",VLOOKUP(LEFT($A440,6),'Data Feed (20C)'!$A$1:$G$10,2,FALSE),IF(A440="PROREP (S)", INDEX('Data Feed (20C)'!B:B, MATCH(LEFT($A440,6), 'Data Feed (20C)'!$A$1:$A$10, 0) + 1), VLOOKUP($A440,'Data Feed (20C)'!$A$1:$G$10,2,FALSE))))</f>
        <v>JKS240702ERIMON_20C_sample_1</v>
      </c>
      <c r="C440" s="6" t="str">
        <f t="array" ref="C440">IF(ISBLANK(A440),"",IF(A440="PROREP (L)",VLOOKUP(LEFT($A440,6),'Data Feed (20C)'!$A$1:$G$10,3,FALSE),IF(A440="PROREP (S)", INDEX('Data Feed (20C)'!C:C, MATCH(LEFT($A440,6), 'Data Feed (20C)'!$A$1:$A$10, 0) + 1, +1), VLOOKUP($A440,'Data Feed (20C)'!$A$1:$G$10,3,FALSE))))</f>
        <v>Erica monsoniana</v>
      </c>
      <c r="D440" s="6" t="str">
        <f t="array" ref="D440">IF(ISBLANK(A440),"",IF(A440="PROREP (L)",VLOOKUP(LEFT($A440,6),'Data Feed (20C)'!$A$1:$G$10,4,FALSE),IF(A440="PROREP (S)", INDEX('Data Feed (20C)'!D:D, MATCH(LEFT($A440,6), 'Data Feed (20C)'!$A$1:$A$10, 0) + 1, +1), VLOOKUP($A440,'Data Feed (20C)'!$A$1:$G$10,4,FALSE))))</f>
        <v>20C</v>
      </c>
      <c r="E440" s="6">
        <f t="array" ref="E440">IF(ISBLANK(A440),"",IF(A440="PROREP (L)",VLOOKUP(LEFT($A440,6),'Data Feed (20C)'!$A$1:$G$10,7,FALSE),IF(A440="PROREP (S)", INDEX('Data Feed (20C)'!G:G, MATCH(LEFT($A440,6), 'Data Feed (20C)'!$A$1:$A$10, 0) + 1, +1), VLOOKUP($A440,'Data Feed (20C)'!$A$1:$G$10,7,FALSE))))</f>
        <v>1</v>
      </c>
      <c r="F440" s="7">
        <v>45479.76944444444</v>
      </c>
      <c r="G440" s="8">
        <v>1.707</v>
      </c>
    </row>
    <row r="441">
      <c r="A441" s="9" t="str">
        <f t="shared" ref="A441:A445" si="513">A440</f>
        <v>ERIMON</v>
      </c>
      <c r="B441" s="9" t="str">
        <f>IF(ISBLANK(A440),"",LEFT(B440,27)&amp;VALUE(RIGHT(B440,1)+1))</f>
        <v>JKS240702ERIMON_20C_sample_2</v>
      </c>
      <c r="C441" s="6" t="str">
        <f t="shared" ref="C441:D441" si="512">C440</f>
        <v>Erica monsoniana</v>
      </c>
      <c r="D441" s="6" t="str">
        <f t="shared" si="512"/>
        <v>20C</v>
      </c>
      <c r="E441" s="10">
        <f>IF(ISBLANK(A440),"",E440+1)</f>
        <v>2</v>
      </c>
      <c r="F441" s="11">
        <f t="shared" ref="F441:F445" si="515">F440</f>
        <v>45479.76944</v>
      </c>
      <c r="G441" s="8">
        <v>1.435</v>
      </c>
    </row>
    <row r="442">
      <c r="A442" s="9" t="str">
        <f t="shared" si="513"/>
        <v>ERIMON</v>
      </c>
      <c r="B442" s="9" t="str">
        <f>IF(ISBLANK(A440),"",LEFT(B441,27)&amp;VALUE(RIGHT(B441,1)+1))</f>
        <v>JKS240702ERIMON_20C_sample_3</v>
      </c>
      <c r="C442" s="6" t="str">
        <f t="shared" ref="C442:D442" si="514">C441</f>
        <v>Erica monsoniana</v>
      </c>
      <c r="D442" s="6" t="str">
        <f t="shared" si="514"/>
        <v>20C</v>
      </c>
      <c r="E442" s="10">
        <f>IF(ISBLANK(A440),"",E441+1)</f>
        <v>3</v>
      </c>
      <c r="F442" s="11">
        <f t="shared" si="515"/>
        <v>45479.76944</v>
      </c>
      <c r="G442" s="8">
        <v>1.622</v>
      </c>
    </row>
    <row r="443">
      <c r="A443" s="9" t="str">
        <f t="shared" si="513"/>
        <v>ERIMON</v>
      </c>
      <c r="B443" s="9" t="str">
        <f>IF(ISBLANK(A440),"",LEFT(B442,27)&amp;VALUE(RIGHT(B442,1)+1))</f>
        <v>JKS240702ERIMON_20C_sample_4</v>
      </c>
      <c r="C443" s="6" t="str">
        <f t="shared" ref="C443:D443" si="516">C442</f>
        <v>Erica monsoniana</v>
      </c>
      <c r="D443" s="6" t="str">
        <f t="shared" si="516"/>
        <v>20C</v>
      </c>
      <c r="E443" s="10">
        <f>IF(ISBLANK(A440),"",E442+1)</f>
        <v>4</v>
      </c>
      <c r="F443" s="11">
        <f t="shared" si="515"/>
        <v>45479.76944</v>
      </c>
      <c r="G443" s="8">
        <v>0.898</v>
      </c>
    </row>
    <row r="444">
      <c r="A444" s="9" t="str">
        <f t="shared" si="513"/>
        <v>ERIMON</v>
      </c>
      <c r="B444" s="9" t="str">
        <f>IF(ISBLANK(A440),"",LEFT(B443,27)&amp;VALUE(RIGHT(B443,1)+1))</f>
        <v>JKS240702ERIMON_20C_sample_5</v>
      </c>
      <c r="C444" s="6" t="str">
        <f t="shared" ref="C444:D444" si="517">C443</f>
        <v>Erica monsoniana</v>
      </c>
      <c r="D444" s="6" t="str">
        <f t="shared" si="517"/>
        <v>20C</v>
      </c>
      <c r="E444" s="10">
        <f>IF(ISBLANK(A440),"",E443+1)</f>
        <v>5</v>
      </c>
      <c r="F444" s="11">
        <f t="shared" si="515"/>
        <v>45479.76944</v>
      </c>
      <c r="G444" s="8">
        <v>1.291</v>
      </c>
    </row>
    <row r="445">
      <c r="A445" s="12" t="str">
        <f t="shared" si="513"/>
        <v>ERIMON</v>
      </c>
      <c r="B445" s="12" t="str">
        <f>IF(ISBLANK(A440),"",LEFT(B444,27)&amp;VALUE(RIGHT(B444,1)+1))</f>
        <v>JKS240702ERIMON_20C_sample_6</v>
      </c>
      <c r="C445" s="13" t="str">
        <f t="shared" ref="C445:D445" si="518">C444</f>
        <v>Erica monsoniana</v>
      </c>
      <c r="D445" s="13" t="str">
        <f t="shared" si="518"/>
        <v>20C</v>
      </c>
      <c r="E445" s="14">
        <f>IF(ISBLANK(A440),"",E444+1)</f>
        <v>6</v>
      </c>
      <c r="F445" s="15">
        <f t="shared" si="515"/>
        <v>45479.76944</v>
      </c>
      <c r="G445" s="16">
        <v>0.625</v>
      </c>
    </row>
    <row r="446">
      <c r="A446" s="5" t="s">
        <v>8</v>
      </c>
      <c r="B446" s="6" t="str">
        <f t="array" ref="B446">IF(ISBLANK(A446),"",IF(A446="PROREP (L)",VLOOKUP(LEFT($A446,6),'Data Feed (20C)'!$A$1:$G$10,2,FALSE),IF(A446="PROREP (S)", INDEX('Data Feed (20C)'!B:B, MATCH(LEFT($A446,6), 'Data Feed (20C)'!$A$1:$A$10, 0) + 1), VLOOKUP($A446,'Data Feed (20C)'!$A$1:$G$10,2,FALSE))))</f>
        <v>JKL240702PROREP_20C_sample_1</v>
      </c>
      <c r="C446" s="6" t="str">
        <f t="array" ref="C446">IF(ISBLANK(A446),"",IF(A446="PROREP (L)",VLOOKUP(LEFT($A446,6),'Data Feed (20C)'!$A$1:$G$10,3,FALSE),IF(A446="PROREP (S)", INDEX('Data Feed (20C)'!C:C, MATCH(LEFT($A446,6), 'Data Feed (20C)'!$A$1:$A$10, 0) + 1, +1), VLOOKUP($A446,'Data Feed (20C)'!$A$1:$G$10,3,FALSE))))</f>
        <v>Protea repens</v>
      </c>
      <c r="D446" s="6" t="str">
        <f t="array" ref="D446">IF(ISBLANK(A446),"",IF(A446="PROREP (L)",VLOOKUP(LEFT($A446,6),'Data Feed (20C)'!$A$1:$G$10,4,FALSE),IF(A446="PROREP (S)", INDEX('Data Feed (20C)'!D:D, MATCH(LEFT($A446,6), 'Data Feed (20C)'!$A$1:$A$10, 0) + 1, +1), VLOOKUP($A446,'Data Feed (20C)'!$A$1:$G$10,4,FALSE))))</f>
        <v>20C</v>
      </c>
      <c r="E446" s="6">
        <f t="array" ref="E446">IF(ISBLANK(A446),"",IF(A446="PROREP (L)",VLOOKUP(LEFT($A446,6),'Data Feed (20C)'!$A$1:$G$10,7,FALSE),IF(A446="PROREP (S)", INDEX('Data Feed (20C)'!G:G, MATCH(LEFT($A446,6), 'Data Feed (20C)'!$A$1:$A$10, 0) + 1, +1), VLOOKUP($A446,'Data Feed (20C)'!$A$1:$G$10,7,FALSE))))</f>
        <v>1</v>
      </c>
      <c r="F446" s="7">
        <v>45479.770833333336</v>
      </c>
      <c r="G446" s="8">
        <v>0.523</v>
      </c>
    </row>
    <row r="447">
      <c r="A447" s="9" t="str">
        <f t="shared" ref="A447:A451" si="520">A446</f>
        <v>PROREP (L)</v>
      </c>
      <c r="B447" s="9" t="str">
        <f>IF(ISBLANK(A446),"",LEFT(B446,27)&amp;VALUE(RIGHT(B446,1)+1))</f>
        <v>JKL240702PROREP_20C_sample_2</v>
      </c>
      <c r="C447" s="6" t="str">
        <f t="shared" ref="C447:D447" si="519">C446</f>
        <v>Protea repens</v>
      </c>
      <c r="D447" s="6" t="str">
        <f t="shared" si="519"/>
        <v>20C</v>
      </c>
      <c r="E447" s="10">
        <f>IF(ISBLANK(A446),"",E446+1)</f>
        <v>2</v>
      </c>
      <c r="F447" s="11">
        <f t="shared" ref="F447:F451" si="522">F446</f>
        <v>45479.77083</v>
      </c>
      <c r="G447" s="8">
        <v>0.415</v>
      </c>
    </row>
    <row r="448">
      <c r="A448" s="9" t="str">
        <f t="shared" si="520"/>
        <v>PROREP (L)</v>
      </c>
      <c r="B448" s="9" t="str">
        <f>IF(ISBLANK(A446),"",LEFT(B447,27)&amp;VALUE(RIGHT(B447,1)+1))</f>
        <v>JKL240702PROREP_20C_sample_3</v>
      </c>
      <c r="C448" s="6" t="str">
        <f t="shared" ref="C448:D448" si="521">C447</f>
        <v>Protea repens</v>
      </c>
      <c r="D448" s="6" t="str">
        <f t="shared" si="521"/>
        <v>20C</v>
      </c>
      <c r="E448" s="10">
        <f>IF(ISBLANK(A446),"",E447+1)</f>
        <v>3</v>
      </c>
      <c r="F448" s="11">
        <f t="shared" si="522"/>
        <v>45479.77083</v>
      </c>
      <c r="G448" s="8">
        <v>0.575</v>
      </c>
    </row>
    <row r="449">
      <c r="A449" s="9" t="str">
        <f t="shared" si="520"/>
        <v>PROREP (L)</v>
      </c>
      <c r="B449" s="9" t="str">
        <f>IF(ISBLANK(A446),"",LEFT(B448,27)&amp;VALUE(RIGHT(B448,1)+1))</f>
        <v>JKL240702PROREP_20C_sample_4</v>
      </c>
      <c r="C449" s="6" t="str">
        <f t="shared" ref="C449:D449" si="523">C448</f>
        <v>Protea repens</v>
      </c>
      <c r="D449" s="6" t="str">
        <f t="shared" si="523"/>
        <v>20C</v>
      </c>
      <c r="E449" s="10">
        <f>IF(ISBLANK(A446),"",E448+1)</f>
        <v>4</v>
      </c>
      <c r="F449" s="11">
        <f t="shared" si="522"/>
        <v>45479.77083</v>
      </c>
      <c r="G449" s="8">
        <v>0.329</v>
      </c>
    </row>
    <row r="450">
      <c r="A450" s="9" t="str">
        <f t="shared" si="520"/>
        <v>PROREP (L)</v>
      </c>
      <c r="B450" s="9" t="str">
        <f>IF(ISBLANK(A446),"",LEFT(B449,27)&amp;VALUE(RIGHT(B449,1)+1))</f>
        <v>JKL240702PROREP_20C_sample_5</v>
      </c>
      <c r="C450" s="6" t="str">
        <f t="shared" ref="C450:D450" si="524">C449</f>
        <v>Protea repens</v>
      </c>
      <c r="D450" s="6" t="str">
        <f t="shared" si="524"/>
        <v>20C</v>
      </c>
      <c r="E450" s="10">
        <f>IF(ISBLANK(A446),"",E449+1)</f>
        <v>5</v>
      </c>
      <c r="F450" s="11">
        <f t="shared" si="522"/>
        <v>45479.77083</v>
      </c>
      <c r="G450" s="8">
        <v>0.43</v>
      </c>
    </row>
    <row r="451">
      <c r="A451" s="12" t="str">
        <f t="shared" si="520"/>
        <v>PROREP (L)</v>
      </c>
      <c r="B451" s="12" t="str">
        <f>IF(ISBLANK(A446),"",LEFT(B450,27)&amp;VALUE(RIGHT(B450,1)+1))</f>
        <v>JKL240702PROREP_20C_sample_6</v>
      </c>
      <c r="C451" s="13" t="str">
        <f t="shared" ref="C451:D451" si="525">C450</f>
        <v>Protea repens</v>
      </c>
      <c r="D451" s="13" t="str">
        <f t="shared" si="525"/>
        <v>20C</v>
      </c>
      <c r="E451" s="14">
        <f>IF(ISBLANK(A446),"",E450+1)</f>
        <v>6</v>
      </c>
      <c r="F451" s="15">
        <f t="shared" si="522"/>
        <v>45479.77083</v>
      </c>
      <c r="G451" s="16">
        <v>0.337</v>
      </c>
    </row>
    <row r="452">
      <c r="A452" s="5" t="s">
        <v>9</v>
      </c>
      <c r="B452" s="6" t="str">
        <f t="array" ref="B452">IF(ISBLANK(A452),"",IF(A452="PROREP (L)",VLOOKUP(LEFT($A452,6),'Data Feed (20C)'!$A$1:$G$10,2,FALSE),IF(A452="PROREP (S)", INDEX('Data Feed (20C)'!B:B, MATCH(LEFT($A452,6), 'Data Feed (20C)'!$A$1:$A$10, 0) + 1), VLOOKUP($A452,'Data Feed (20C)'!$A$1:$G$10,2,FALSE))))</f>
        <v>JKS240702PROREP_20C_sample_1</v>
      </c>
      <c r="C452" s="6" t="str">
        <f t="array" ref="C452">IF(ISBLANK(A452),"",IF(A452="PROREP (L)",VLOOKUP(LEFT($A452,6),'Data Feed (20C)'!$A$1:$G$10,3,FALSE),IF(A452="PROREP (S)", INDEX('Data Feed (20C)'!C:C, MATCH(LEFT($A452,6), 'Data Feed (20C)'!$A$1:$A$10, 0) + 1, +1), VLOOKUP($A452,'Data Feed (20C)'!$A$1:$G$10,3,FALSE))))</f>
        <v>Protea repens</v>
      </c>
      <c r="D452" s="6" t="str">
        <f t="array" ref="D452">IF(ISBLANK(A452),"",IF(A452="PROREP (L)",VLOOKUP(LEFT($A452,6),'Data Feed (20C)'!$A$1:$G$10,4,FALSE),IF(A452="PROREP (S)", INDEX('Data Feed (20C)'!D:D, MATCH(LEFT($A452,6), 'Data Feed (20C)'!$A$1:$A$10, 0) + 1, +1), VLOOKUP($A452,'Data Feed (20C)'!$A$1:$G$10,4,FALSE))))</f>
        <v>20C</v>
      </c>
      <c r="E452" s="6">
        <f t="array" ref="E452">IF(ISBLANK(A452),"",IF(A452="PROREP (L)",VLOOKUP(LEFT($A452,6),'Data Feed (20C)'!$A$1:$G$10,7,FALSE),IF(A452="PROREP (S)", INDEX('Data Feed (20C)'!G:G, MATCH(LEFT($A452,6), 'Data Feed (20C)'!$A$1:$A$10, 0) + 1, +1), VLOOKUP($A452,'Data Feed (20C)'!$A$1:$G$10,7,FALSE))))</f>
        <v>1</v>
      </c>
      <c r="F452" s="7">
        <v>45479.77222222222</v>
      </c>
      <c r="G452" s="8">
        <v>3.063</v>
      </c>
    </row>
    <row r="453">
      <c r="A453" s="9" t="str">
        <f t="shared" ref="A453:A457" si="527">A452</f>
        <v>PROREP (S)</v>
      </c>
      <c r="B453" s="9" t="str">
        <f>IF(ISBLANK(A452),"",LEFT(B452,27)&amp;VALUE(RIGHT(B452,1)+1))</f>
        <v>JKS240702PROREP_20C_sample_2</v>
      </c>
      <c r="C453" s="6" t="str">
        <f t="shared" ref="C453:D453" si="526">C452</f>
        <v>Protea repens</v>
      </c>
      <c r="D453" s="6" t="str">
        <f t="shared" si="526"/>
        <v>20C</v>
      </c>
      <c r="E453" s="10">
        <f>IF(ISBLANK(A452),"",E452+1)</f>
        <v>2</v>
      </c>
      <c r="F453" s="11">
        <f t="shared" ref="F453:F457" si="529">F452</f>
        <v>45479.77222</v>
      </c>
      <c r="G453" s="8">
        <v>11.418</v>
      </c>
    </row>
    <row r="454">
      <c r="A454" s="9" t="str">
        <f t="shared" si="527"/>
        <v>PROREP (S)</v>
      </c>
      <c r="B454" s="9" t="str">
        <f>IF(ISBLANK(A452),"",LEFT(B453,27)&amp;VALUE(RIGHT(B453,1)+1))</f>
        <v>JKS240702PROREP_20C_sample_3</v>
      </c>
      <c r="C454" s="6" t="str">
        <f t="shared" ref="C454:D454" si="528">C453</f>
        <v>Protea repens</v>
      </c>
      <c r="D454" s="6" t="str">
        <f t="shared" si="528"/>
        <v>20C</v>
      </c>
      <c r="E454" s="10">
        <f>IF(ISBLANK(A452),"",E453+1)</f>
        <v>3</v>
      </c>
      <c r="F454" s="11">
        <f t="shared" si="529"/>
        <v>45479.77222</v>
      </c>
      <c r="G454" s="8">
        <v>9.365</v>
      </c>
    </row>
    <row r="455">
      <c r="A455" s="9" t="str">
        <f t="shared" si="527"/>
        <v>PROREP (S)</v>
      </c>
      <c r="B455" s="9" t="str">
        <f>IF(ISBLANK(A452),"",LEFT(B454,27)&amp;VALUE(RIGHT(B454,1)+1))</f>
        <v>JKS240702PROREP_20C_sample_4</v>
      </c>
      <c r="C455" s="6" t="str">
        <f t="shared" ref="C455:D455" si="530">C454</f>
        <v>Protea repens</v>
      </c>
      <c r="D455" s="6" t="str">
        <f t="shared" si="530"/>
        <v>20C</v>
      </c>
      <c r="E455" s="10">
        <f>IF(ISBLANK(A452),"",E454+1)</f>
        <v>4</v>
      </c>
      <c r="F455" s="11">
        <f t="shared" si="529"/>
        <v>45479.77222</v>
      </c>
      <c r="G455" s="8">
        <v>6.434</v>
      </c>
    </row>
    <row r="456">
      <c r="A456" s="9" t="str">
        <f t="shared" si="527"/>
        <v>PROREP (S)</v>
      </c>
      <c r="B456" s="9" t="str">
        <f>IF(ISBLANK(A452),"",LEFT(B455,27)&amp;VALUE(RIGHT(B455,1)+1))</f>
        <v>JKS240702PROREP_20C_sample_5</v>
      </c>
      <c r="C456" s="6" t="str">
        <f t="shared" ref="C456:D456" si="531">C455</f>
        <v>Protea repens</v>
      </c>
      <c r="D456" s="6" t="str">
        <f t="shared" si="531"/>
        <v>20C</v>
      </c>
      <c r="E456" s="10">
        <f>IF(ISBLANK(A452),"",E455+1)</f>
        <v>5</v>
      </c>
      <c r="F456" s="11">
        <f t="shared" si="529"/>
        <v>45479.77222</v>
      </c>
      <c r="G456" s="8">
        <v>6.115</v>
      </c>
    </row>
    <row r="457">
      <c r="A457" s="12" t="str">
        <f t="shared" si="527"/>
        <v>PROREP (S)</v>
      </c>
      <c r="B457" s="12" t="str">
        <f>IF(ISBLANK(A452),"",LEFT(B456,27)&amp;VALUE(RIGHT(B456,1)+1))</f>
        <v>JKS240702PROREP_20C_sample_6</v>
      </c>
      <c r="C457" s="13" t="str">
        <f t="shared" ref="C457:D457" si="532">C456</f>
        <v>Protea repens</v>
      </c>
      <c r="D457" s="13" t="str">
        <f t="shared" si="532"/>
        <v>20C</v>
      </c>
      <c r="E457" s="14">
        <f>IF(ISBLANK(A452),"",E456+1)</f>
        <v>6</v>
      </c>
      <c r="F457" s="15">
        <f t="shared" si="529"/>
        <v>45479.77222</v>
      </c>
      <c r="G457" s="16">
        <v>22.518</v>
      </c>
    </row>
    <row r="458">
      <c r="A458" s="5" t="s">
        <v>10</v>
      </c>
      <c r="B458" s="6" t="str">
        <f t="array" ref="B458">IF(ISBLANK(A458),"",IF(A458="PROREP (L)",VLOOKUP(LEFT($A458,6),'Data Feed (20C)'!$A$1:$G$10,2,FALSE),IF(A458="PROREP (S)", INDEX('Data Feed (20C)'!B:B, MATCH(LEFT($A458,6), 'Data Feed (20C)'!$A$1:$A$10, 0) + 1), VLOOKUP($A458,'Data Feed (20C)'!$A$1:$G$10,2,FALSE))))</f>
        <v>JKS240702CANCON_20C_sample_1</v>
      </c>
      <c r="C458" s="6" t="str">
        <f t="array" ref="C458">IF(ISBLANK(A458),"",IF(A458="PROREP (L)",VLOOKUP(LEFT($A458,6),'Data Feed (20C)'!$A$1:$G$10,3,FALSE),IF(A458="PROREP (S)", INDEX('Data Feed (20C)'!C:C, MATCH(LEFT($A458,6), 'Data Feed (20C)'!$A$1:$A$10, 0) + 1, +1), VLOOKUP($A458,'Data Feed (20C)'!$A$1:$G$10,3,FALSE))))</f>
        <v>Cannomois congesta</v>
      </c>
      <c r="D458" s="6" t="str">
        <f t="array" ref="D458">IF(ISBLANK(A458),"",IF(A458="PROREP (L)",VLOOKUP(LEFT($A458,6),'Data Feed (20C)'!$A$1:$G$10,4,FALSE),IF(A458="PROREP (S)", INDEX('Data Feed (20C)'!D:D, MATCH(LEFT($A458,6), 'Data Feed (20C)'!$A$1:$A$10, 0) + 1, +1), VLOOKUP($A458,'Data Feed (20C)'!$A$1:$G$10,4,FALSE))))</f>
        <v>20C</v>
      </c>
      <c r="E458" s="6">
        <f t="array" ref="E458">IF(ISBLANK(A458),"",IF(A458="PROREP (L)",VLOOKUP(LEFT($A458,6),'Data Feed (20C)'!$A$1:$G$10,7,FALSE),IF(A458="PROREP (S)", INDEX('Data Feed (20C)'!G:G, MATCH(LEFT($A458,6), 'Data Feed (20C)'!$A$1:$A$10, 0) + 1, +1), VLOOKUP($A458,'Data Feed (20C)'!$A$1:$G$10,7,FALSE))))</f>
        <v>1</v>
      </c>
      <c r="F458" s="7">
        <v>45479.77361111111</v>
      </c>
      <c r="G458" s="8">
        <v>1.553</v>
      </c>
    </row>
    <row r="459">
      <c r="A459" s="9" t="str">
        <f t="shared" ref="A459:A463" si="534">A458</f>
        <v>CANCON</v>
      </c>
      <c r="B459" s="9" t="str">
        <f>IF(ISBLANK(A458),"",LEFT(B458,27)&amp;VALUE(RIGHT(B458,1)+1))</f>
        <v>JKS240702CANCON_20C_sample_2</v>
      </c>
      <c r="C459" s="6" t="str">
        <f t="shared" ref="C459:D459" si="533">C458</f>
        <v>Cannomois congesta</v>
      </c>
      <c r="D459" s="6" t="str">
        <f t="shared" si="533"/>
        <v>20C</v>
      </c>
      <c r="E459" s="10">
        <f>IF(ISBLANK(A458),"",E458+1)</f>
        <v>2</v>
      </c>
      <c r="F459" s="11">
        <f t="shared" ref="F459:F463" si="536">F458</f>
        <v>45479.77361</v>
      </c>
      <c r="G459" s="8">
        <v>1.913</v>
      </c>
    </row>
    <row r="460">
      <c r="A460" s="9" t="str">
        <f t="shared" si="534"/>
        <v>CANCON</v>
      </c>
      <c r="B460" s="9" t="str">
        <f>IF(ISBLANK(A458),"",LEFT(B459,27)&amp;VALUE(RIGHT(B459,1)+1))</f>
        <v>JKS240702CANCON_20C_sample_3</v>
      </c>
      <c r="C460" s="6" t="str">
        <f t="shared" ref="C460:D460" si="535">C459</f>
        <v>Cannomois congesta</v>
      </c>
      <c r="D460" s="6" t="str">
        <f t="shared" si="535"/>
        <v>20C</v>
      </c>
      <c r="E460" s="10">
        <f>IF(ISBLANK(A458),"",E459+1)</f>
        <v>3</v>
      </c>
      <c r="F460" s="11">
        <f t="shared" si="536"/>
        <v>45479.77361</v>
      </c>
      <c r="G460" s="8">
        <v>0.915</v>
      </c>
    </row>
    <row r="461">
      <c r="A461" s="9" t="str">
        <f t="shared" si="534"/>
        <v>CANCON</v>
      </c>
      <c r="B461" s="9" t="str">
        <f>IF(ISBLANK(A458),"",LEFT(B460,27)&amp;VALUE(RIGHT(B460,1)+1))</f>
        <v>JKS240702CANCON_20C_sample_4</v>
      </c>
      <c r="C461" s="6" t="str">
        <f t="shared" ref="C461:D461" si="537">C460</f>
        <v>Cannomois congesta</v>
      </c>
      <c r="D461" s="6" t="str">
        <f t="shared" si="537"/>
        <v>20C</v>
      </c>
      <c r="E461" s="10">
        <f>IF(ISBLANK(A458),"",E460+1)</f>
        <v>4</v>
      </c>
      <c r="F461" s="11">
        <f t="shared" si="536"/>
        <v>45479.77361</v>
      </c>
      <c r="G461" s="8">
        <v>1.538</v>
      </c>
    </row>
    <row r="462">
      <c r="A462" s="9" t="str">
        <f t="shared" si="534"/>
        <v>CANCON</v>
      </c>
      <c r="B462" s="9" t="str">
        <f>IF(ISBLANK(A458),"",LEFT(B461,27)&amp;VALUE(RIGHT(B461,1)+1))</f>
        <v>JKS240702CANCON_20C_sample_5</v>
      </c>
      <c r="C462" s="6" t="str">
        <f t="shared" ref="C462:D462" si="538">C461</f>
        <v>Cannomois congesta</v>
      </c>
      <c r="D462" s="6" t="str">
        <f t="shared" si="538"/>
        <v>20C</v>
      </c>
      <c r="E462" s="10">
        <f>IF(ISBLANK(A458),"",E461+1)</f>
        <v>5</v>
      </c>
      <c r="F462" s="11">
        <f t="shared" si="536"/>
        <v>45479.77361</v>
      </c>
      <c r="G462" s="8">
        <v>1.692</v>
      </c>
    </row>
    <row r="463">
      <c r="A463" s="12" t="str">
        <f t="shared" si="534"/>
        <v>CANCON</v>
      </c>
      <c r="B463" s="12" t="str">
        <f>IF(ISBLANK(A458),"",LEFT(B462,27)&amp;VALUE(RIGHT(B462,1)+1))</f>
        <v>JKS240702CANCON_20C_sample_6</v>
      </c>
      <c r="C463" s="13" t="str">
        <f t="shared" ref="C463:D463" si="539">C462</f>
        <v>Cannomois congesta</v>
      </c>
      <c r="D463" s="13" t="str">
        <f t="shared" si="539"/>
        <v>20C</v>
      </c>
      <c r="E463" s="14">
        <f>IF(ISBLANK(A458),"",E462+1)</f>
        <v>6</v>
      </c>
      <c r="F463" s="15">
        <f t="shared" si="536"/>
        <v>45479.77361</v>
      </c>
      <c r="G463" s="16">
        <v>1.238</v>
      </c>
    </row>
    <row r="464">
      <c r="A464" s="5" t="s">
        <v>7</v>
      </c>
      <c r="B464" s="6" t="str">
        <f t="array" ref="B464">IF(ISBLANK(A464),"",IF(A464="PROREP (L)",VLOOKUP(LEFT($A464,6),'Data Feed (20C)'!$A$1:$G$10,2,FALSE),IF(A464="PROREP (S)", INDEX('Data Feed (20C)'!B:B, MATCH(LEFT($A464,6), 'Data Feed (20C)'!$A$1:$A$10, 0) + 1), VLOOKUP($A464,'Data Feed (20C)'!$A$1:$G$10,2,FALSE))))</f>
        <v>JKS240702ERIMON_20C_sample_1</v>
      </c>
      <c r="C464" s="6" t="str">
        <f t="array" ref="C464">IF(ISBLANK(A464),"",IF(A464="PROREP (L)",VLOOKUP(LEFT($A464,6),'Data Feed (20C)'!$A$1:$G$10,3,FALSE),IF(A464="PROREP (S)", INDEX('Data Feed (20C)'!C:C, MATCH(LEFT($A464,6), 'Data Feed (20C)'!$A$1:$A$10, 0) + 1, +1), VLOOKUP($A464,'Data Feed (20C)'!$A$1:$G$10,3,FALSE))))</f>
        <v>Erica monsoniana</v>
      </c>
      <c r="D464" s="6" t="str">
        <f t="array" ref="D464">IF(ISBLANK(A464),"",IF(A464="PROREP (L)",VLOOKUP(LEFT($A464,6),'Data Feed (20C)'!$A$1:$G$10,4,FALSE),IF(A464="PROREP (S)", INDEX('Data Feed (20C)'!D:D, MATCH(LEFT($A464,6), 'Data Feed (20C)'!$A$1:$A$10, 0) + 1, +1), VLOOKUP($A464,'Data Feed (20C)'!$A$1:$G$10,4,FALSE))))</f>
        <v>20C</v>
      </c>
      <c r="E464" s="6">
        <f t="array" ref="E464">IF(ISBLANK(A464),"",IF(A464="PROREP (L)",VLOOKUP(LEFT($A464,6),'Data Feed (20C)'!$A$1:$G$10,7,FALSE),IF(A464="PROREP (S)", INDEX('Data Feed (20C)'!G:G, MATCH(LEFT($A464,6), 'Data Feed (20C)'!$A$1:$A$10, 0) + 1, +1), VLOOKUP($A464,'Data Feed (20C)'!$A$1:$G$10,7,FALSE))))</f>
        <v>1</v>
      </c>
      <c r="F464" s="7">
        <v>45480.478472222225</v>
      </c>
      <c r="G464" s="8">
        <v>1.609</v>
      </c>
    </row>
    <row r="465">
      <c r="A465" s="9" t="str">
        <f t="shared" ref="A465:A469" si="541">A464</f>
        <v>ERIMON</v>
      </c>
      <c r="B465" s="9" t="str">
        <f>IF(ISBLANK(A464),"",LEFT(B464,27)&amp;VALUE(RIGHT(B464,1)+1))</f>
        <v>JKS240702ERIMON_20C_sample_2</v>
      </c>
      <c r="C465" s="6" t="str">
        <f t="shared" ref="C465:D465" si="540">C464</f>
        <v>Erica monsoniana</v>
      </c>
      <c r="D465" s="6" t="str">
        <f t="shared" si="540"/>
        <v>20C</v>
      </c>
      <c r="E465" s="10">
        <f>IF(ISBLANK(A464),"",E464+1)</f>
        <v>2</v>
      </c>
      <c r="F465" s="11">
        <f t="shared" ref="F465:F469" si="543">F464</f>
        <v>45480.47847</v>
      </c>
      <c r="G465" s="8">
        <v>1.327</v>
      </c>
    </row>
    <row r="466">
      <c r="A466" s="9" t="str">
        <f t="shared" si="541"/>
        <v>ERIMON</v>
      </c>
      <c r="B466" s="9" t="str">
        <f>IF(ISBLANK(A464),"",LEFT(B465,27)&amp;VALUE(RIGHT(B465,1)+1))</f>
        <v>JKS240702ERIMON_20C_sample_3</v>
      </c>
      <c r="C466" s="6" t="str">
        <f t="shared" ref="C466:D466" si="542">C465</f>
        <v>Erica monsoniana</v>
      </c>
      <c r="D466" s="6" t="str">
        <f t="shared" si="542"/>
        <v>20C</v>
      </c>
      <c r="E466" s="10">
        <f>IF(ISBLANK(A464),"",E465+1)</f>
        <v>3</v>
      </c>
      <c r="F466" s="11">
        <f t="shared" si="543"/>
        <v>45480.47847</v>
      </c>
      <c r="G466" s="8">
        <v>1.581</v>
      </c>
    </row>
    <row r="467">
      <c r="A467" s="9" t="str">
        <f t="shared" si="541"/>
        <v>ERIMON</v>
      </c>
      <c r="B467" s="9" t="str">
        <f>IF(ISBLANK(A464),"",LEFT(B466,27)&amp;VALUE(RIGHT(B466,1)+1))</f>
        <v>JKS240702ERIMON_20C_sample_4</v>
      </c>
      <c r="C467" s="6" t="str">
        <f t="shared" ref="C467:D467" si="544">C466</f>
        <v>Erica monsoniana</v>
      </c>
      <c r="D467" s="6" t="str">
        <f t="shared" si="544"/>
        <v>20C</v>
      </c>
      <c r="E467" s="10">
        <f>IF(ISBLANK(A464),"",E466+1)</f>
        <v>4</v>
      </c>
      <c r="F467" s="11">
        <f t="shared" si="543"/>
        <v>45480.47847</v>
      </c>
      <c r="G467" s="8">
        <v>0.864</v>
      </c>
    </row>
    <row r="468">
      <c r="A468" s="9" t="str">
        <f t="shared" si="541"/>
        <v>ERIMON</v>
      </c>
      <c r="B468" s="9" t="str">
        <f>IF(ISBLANK(A464),"",LEFT(B467,27)&amp;VALUE(RIGHT(B467,1)+1))</f>
        <v>JKS240702ERIMON_20C_sample_5</v>
      </c>
      <c r="C468" s="6" t="str">
        <f t="shared" ref="C468:D468" si="545">C467</f>
        <v>Erica monsoniana</v>
      </c>
      <c r="D468" s="6" t="str">
        <f t="shared" si="545"/>
        <v>20C</v>
      </c>
      <c r="E468" s="10">
        <f>IF(ISBLANK(A464),"",E467+1)</f>
        <v>5</v>
      </c>
      <c r="F468" s="11">
        <f t="shared" si="543"/>
        <v>45480.47847</v>
      </c>
      <c r="G468" s="8">
        <v>1.258</v>
      </c>
    </row>
    <row r="469">
      <c r="A469" s="12" t="str">
        <f t="shared" si="541"/>
        <v>ERIMON</v>
      </c>
      <c r="B469" s="12" t="str">
        <f>IF(ISBLANK(A464),"",LEFT(B468,27)&amp;VALUE(RIGHT(B468,1)+1))</f>
        <v>JKS240702ERIMON_20C_sample_6</v>
      </c>
      <c r="C469" s="13" t="str">
        <f t="shared" ref="C469:D469" si="546">C468</f>
        <v>Erica monsoniana</v>
      </c>
      <c r="D469" s="13" t="str">
        <f t="shared" si="546"/>
        <v>20C</v>
      </c>
      <c r="E469" s="14">
        <f>IF(ISBLANK(A464),"",E468+1)</f>
        <v>6</v>
      </c>
      <c r="F469" s="15">
        <f t="shared" si="543"/>
        <v>45480.47847</v>
      </c>
      <c r="G469" s="16">
        <v>0.599</v>
      </c>
    </row>
    <row r="470">
      <c r="A470" s="5" t="s">
        <v>8</v>
      </c>
      <c r="B470" s="6" t="str">
        <f t="array" ref="B470">IF(ISBLANK(A470),"",IF(A470="PROREP (L)",VLOOKUP(LEFT($A470,6),'Data Feed (20C)'!$A$1:$G$10,2,FALSE),IF(A470="PROREP (S)", INDEX('Data Feed (20C)'!B:B, MATCH(LEFT($A470,6), 'Data Feed (20C)'!$A$1:$A$10, 0) + 1), VLOOKUP($A470,'Data Feed (20C)'!$A$1:$G$10,2,FALSE))))</f>
        <v>JKL240702PROREP_20C_sample_1</v>
      </c>
      <c r="C470" s="6" t="str">
        <f t="array" ref="C470">IF(ISBLANK(A470),"",IF(A470="PROREP (L)",VLOOKUP(LEFT($A470,6),'Data Feed (20C)'!$A$1:$G$10,3,FALSE),IF(A470="PROREP (S)", INDEX('Data Feed (20C)'!C:C, MATCH(LEFT($A470,6), 'Data Feed (20C)'!$A$1:$A$10, 0) + 1, +1), VLOOKUP($A470,'Data Feed (20C)'!$A$1:$G$10,3,FALSE))))</f>
        <v>Protea repens</v>
      </c>
      <c r="D470" s="6" t="str">
        <f t="array" ref="D470">IF(ISBLANK(A470),"",IF(A470="PROREP (L)",VLOOKUP(LEFT($A470,6),'Data Feed (20C)'!$A$1:$G$10,4,FALSE),IF(A470="PROREP (S)", INDEX('Data Feed (20C)'!D:D, MATCH(LEFT($A470,6), 'Data Feed (20C)'!$A$1:$A$10, 0) + 1, +1), VLOOKUP($A470,'Data Feed (20C)'!$A$1:$G$10,4,FALSE))))</f>
        <v>20C</v>
      </c>
      <c r="E470" s="6">
        <f t="array" ref="E470">IF(ISBLANK(A470),"",IF(A470="PROREP (L)",VLOOKUP(LEFT($A470,6),'Data Feed (20C)'!$A$1:$G$10,7,FALSE),IF(A470="PROREP (S)", INDEX('Data Feed (20C)'!G:G, MATCH(LEFT($A470,6), 'Data Feed (20C)'!$A$1:$A$10, 0) + 1, +1), VLOOKUP($A470,'Data Feed (20C)'!$A$1:$G$10,7,FALSE))))</f>
        <v>1</v>
      </c>
      <c r="F470" s="7">
        <v>45480.47986111111</v>
      </c>
      <c r="G470" s="8">
        <v>0.498</v>
      </c>
    </row>
    <row r="471">
      <c r="A471" s="9" t="str">
        <f t="shared" ref="A471:A475" si="548">A470</f>
        <v>PROREP (L)</v>
      </c>
      <c r="B471" s="9" t="str">
        <f>IF(ISBLANK(A470),"",LEFT(B470,27)&amp;VALUE(RIGHT(B470,1)+1))</f>
        <v>JKL240702PROREP_20C_sample_2</v>
      </c>
      <c r="C471" s="6" t="str">
        <f t="shared" ref="C471:D471" si="547">C470</f>
        <v>Protea repens</v>
      </c>
      <c r="D471" s="6" t="str">
        <f t="shared" si="547"/>
        <v>20C</v>
      </c>
      <c r="E471" s="10">
        <f>IF(ISBLANK(A470),"",E470+1)</f>
        <v>2</v>
      </c>
      <c r="F471" s="11">
        <f t="shared" ref="F471:F475" si="550">F470</f>
        <v>45480.47986</v>
      </c>
      <c r="G471" s="8">
        <v>0.387</v>
      </c>
    </row>
    <row r="472">
      <c r="A472" s="9" t="str">
        <f t="shared" si="548"/>
        <v>PROREP (L)</v>
      </c>
      <c r="B472" s="9" t="str">
        <f>IF(ISBLANK(A470),"",LEFT(B471,27)&amp;VALUE(RIGHT(B471,1)+1))</f>
        <v>JKL240702PROREP_20C_sample_3</v>
      </c>
      <c r="C472" s="6" t="str">
        <f t="shared" ref="C472:D472" si="549">C471</f>
        <v>Protea repens</v>
      </c>
      <c r="D472" s="6" t="str">
        <f t="shared" si="549"/>
        <v>20C</v>
      </c>
      <c r="E472" s="10">
        <f>IF(ISBLANK(A470),"",E471+1)</f>
        <v>3</v>
      </c>
      <c r="F472" s="11">
        <f t="shared" si="550"/>
        <v>45480.47986</v>
      </c>
      <c r="G472" s="8">
        <v>0.488</v>
      </c>
    </row>
    <row r="473">
      <c r="A473" s="9" t="str">
        <f t="shared" si="548"/>
        <v>PROREP (L)</v>
      </c>
      <c r="B473" s="9" t="str">
        <f>IF(ISBLANK(A470),"",LEFT(B472,27)&amp;VALUE(RIGHT(B472,1)+1))</f>
        <v>JKL240702PROREP_20C_sample_4</v>
      </c>
      <c r="C473" s="6" t="str">
        <f t="shared" ref="C473:D473" si="551">C472</f>
        <v>Protea repens</v>
      </c>
      <c r="D473" s="6" t="str">
        <f t="shared" si="551"/>
        <v>20C</v>
      </c>
      <c r="E473" s="10">
        <f>IF(ISBLANK(A470),"",E472+1)</f>
        <v>4</v>
      </c>
      <c r="F473" s="11">
        <f t="shared" si="550"/>
        <v>45480.47986</v>
      </c>
      <c r="G473" s="8">
        <v>0.309</v>
      </c>
    </row>
    <row r="474">
      <c r="A474" s="9" t="str">
        <f t="shared" si="548"/>
        <v>PROREP (L)</v>
      </c>
      <c r="B474" s="9" t="str">
        <f>IF(ISBLANK(A470),"",LEFT(B473,27)&amp;VALUE(RIGHT(B473,1)+1))</f>
        <v>JKL240702PROREP_20C_sample_5</v>
      </c>
      <c r="C474" s="6" t="str">
        <f t="shared" ref="C474:D474" si="552">C473</f>
        <v>Protea repens</v>
      </c>
      <c r="D474" s="6" t="str">
        <f t="shared" si="552"/>
        <v>20C</v>
      </c>
      <c r="E474" s="10">
        <f>IF(ISBLANK(A470),"",E473+1)</f>
        <v>5</v>
      </c>
      <c r="F474" s="11">
        <f t="shared" si="550"/>
        <v>45480.47986</v>
      </c>
      <c r="G474" s="8">
        <v>0.395</v>
      </c>
    </row>
    <row r="475">
      <c r="A475" s="12" t="str">
        <f t="shared" si="548"/>
        <v>PROREP (L)</v>
      </c>
      <c r="B475" s="12" t="str">
        <f>IF(ISBLANK(A470),"",LEFT(B474,27)&amp;VALUE(RIGHT(B474,1)+1))</f>
        <v>JKL240702PROREP_20C_sample_6</v>
      </c>
      <c r="C475" s="13" t="str">
        <f t="shared" ref="C475:D475" si="553">C474</f>
        <v>Protea repens</v>
      </c>
      <c r="D475" s="13" t="str">
        <f t="shared" si="553"/>
        <v>20C</v>
      </c>
      <c r="E475" s="14">
        <f>IF(ISBLANK(A470),"",E474+1)</f>
        <v>6</v>
      </c>
      <c r="F475" s="15">
        <f t="shared" si="550"/>
        <v>45480.47986</v>
      </c>
      <c r="G475" s="16">
        <v>0.285</v>
      </c>
    </row>
    <row r="476">
      <c r="A476" s="5" t="s">
        <v>9</v>
      </c>
      <c r="B476" s="6" t="str">
        <f t="array" ref="B476">IF(ISBLANK(A476),"",IF(A476="PROREP (L)",VLOOKUP(LEFT($A476,6),'Data Feed (20C)'!$A$1:$G$10,2,FALSE),IF(A476="PROREP (S)", INDEX('Data Feed (20C)'!B:B, MATCH(LEFT($A476,6), 'Data Feed (20C)'!$A$1:$A$10, 0) + 1), VLOOKUP($A476,'Data Feed (20C)'!$A$1:$G$10,2,FALSE))))</f>
        <v>JKS240702PROREP_20C_sample_1</v>
      </c>
      <c r="C476" s="6" t="str">
        <f t="array" ref="C476">IF(ISBLANK(A476),"",IF(A476="PROREP (L)",VLOOKUP(LEFT($A476,6),'Data Feed (20C)'!$A$1:$G$10,3,FALSE),IF(A476="PROREP (S)", INDEX('Data Feed (20C)'!C:C, MATCH(LEFT($A476,6), 'Data Feed (20C)'!$A$1:$A$10, 0) + 1, +1), VLOOKUP($A476,'Data Feed (20C)'!$A$1:$G$10,3,FALSE))))</f>
        <v>Protea repens</v>
      </c>
      <c r="D476" s="6" t="str">
        <f t="array" ref="D476">IF(ISBLANK(A476),"",IF(A476="PROREP (L)",VLOOKUP(LEFT($A476,6),'Data Feed (20C)'!$A$1:$G$10,4,FALSE),IF(A476="PROREP (S)", INDEX('Data Feed (20C)'!D:D, MATCH(LEFT($A476,6), 'Data Feed (20C)'!$A$1:$A$10, 0) + 1, +1), VLOOKUP($A476,'Data Feed (20C)'!$A$1:$G$10,4,FALSE))))</f>
        <v>20C</v>
      </c>
      <c r="E476" s="6">
        <f t="array" ref="E476">IF(ISBLANK(A476),"",IF(A476="PROREP (L)",VLOOKUP(LEFT($A476,6),'Data Feed (20C)'!$A$1:$G$10,7,FALSE),IF(A476="PROREP (S)", INDEX('Data Feed (20C)'!G:G, MATCH(LEFT($A476,6), 'Data Feed (20C)'!$A$1:$A$10, 0) + 1, +1), VLOOKUP($A476,'Data Feed (20C)'!$A$1:$G$10,7,FALSE))))</f>
        <v>1</v>
      </c>
      <c r="F476" s="7">
        <v>45480.48055555556</v>
      </c>
      <c r="G476" s="8">
        <v>2.91</v>
      </c>
    </row>
    <row r="477">
      <c r="A477" s="9" t="str">
        <f t="shared" ref="A477:A481" si="555">A476</f>
        <v>PROREP (S)</v>
      </c>
      <c r="B477" s="9" t="str">
        <f>IF(ISBLANK(A476),"",LEFT(B476,27)&amp;VALUE(RIGHT(B476,1)+1))</f>
        <v>JKS240702PROREP_20C_sample_2</v>
      </c>
      <c r="C477" s="6" t="str">
        <f t="shared" ref="C477:D477" si="554">C476</f>
        <v>Protea repens</v>
      </c>
      <c r="D477" s="6" t="str">
        <f t="shared" si="554"/>
        <v>20C</v>
      </c>
      <c r="E477" s="10">
        <f>IF(ISBLANK(A476),"",E476+1)</f>
        <v>2</v>
      </c>
      <c r="F477" s="11">
        <f t="shared" ref="F477:F481" si="557">F476</f>
        <v>45480.48056</v>
      </c>
      <c r="G477" s="8">
        <v>10.888</v>
      </c>
    </row>
    <row r="478">
      <c r="A478" s="9" t="str">
        <f t="shared" si="555"/>
        <v>PROREP (S)</v>
      </c>
      <c r="B478" s="9" t="str">
        <f>IF(ISBLANK(A476),"",LEFT(B477,27)&amp;VALUE(RIGHT(B477,1)+1))</f>
        <v>JKS240702PROREP_20C_sample_3</v>
      </c>
      <c r="C478" s="6" t="str">
        <f t="shared" ref="C478:D478" si="556">C477</f>
        <v>Protea repens</v>
      </c>
      <c r="D478" s="6" t="str">
        <f t="shared" si="556"/>
        <v>20C</v>
      </c>
      <c r="E478" s="10">
        <f>IF(ISBLANK(A476),"",E477+1)</f>
        <v>3</v>
      </c>
      <c r="F478" s="11">
        <f t="shared" si="557"/>
        <v>45480.48056</v>
      </c>
      <c r="G478" s="8">
        <v>8.681</v>
      </c>
    </row>
    <row r="479">
      <c r="A479" s="9" t="str">
        <f t="shared" si="555"/>
        <v>PROREP (S)</v>
      </c>
      <c r="B479" s="9" t="str">
        <f>IF(ISBLANK(A476),"",LEFT(B478,27)&amp;VALUE(RIGHT(B478,1)+1))</f>
        <v>JKS240702PROREP_20C_sample_4</v>
      </c>
      <c r="C479" s="6" t="str">
        <f t="shared" ref="C479:D479" si="558">C478</f>
        <v>Protea repens</v>
      </c>
      <c r="D479" s="6" t="str">
        <f t="shared" si="558"/>
        <v>20C</v>
      </c>
      <c r="E479" s="10">
        <f>IF(ISBLANK(A476),"",E478+1)</f>
        <v>4</v>
      </c>
      <c r="F479" s="11">
        <f t="shared" si="557"/>
        <v>45480.48056</v>
      </c>
      <c r="G479" s="8">
        <v>6.069</v>
      </c>
    </row>
    <row r="480">
      <c r="A480" s="9" t="str">
        <f t="shared" si="555"/>
        <v>PROREP (S)</v>
      </c>
      <c r="B480" s="9" t="str">
        <f>IF(ISBLANK(A476),"",LEFT(B479,27)&amp;VALUE(RIGHT(B479,1)+1))</f>
        <v>JKS240702PROREP_20C_sample_5</v>
      </c>
      <c r="C480" s="6" t="str">
        <f t="shared" ref="C480:D480" si="559">C479</f>
        <v>Protea repens</v>
      </c>
      <c r="D480" s="6" t="str">
        <f t="shared" si="559"/>
        <v>20C</v>
      </c>
      <c r="E480" s="10">
        <f>IF(ISBLANK(A476),"",E479+1)</f>
        <v>5</v>
      </c>
      <c r="F480" s="11">
        <f t="shared" si="557"/>
        <v>45480.48056</v>
      </c>
      <c r="G480" s="8">
        <v>5.781</v>
      </c>
    </row>
    <row r="481">
      <c r="A481" s="12" t="str">
        <f t="shared" si="555"/>
        <v>PROREP (S)</v>
      </c>
      <c r="B481" s="12" t="str">
        <f>IF(ISBLANK(A476),"",LEFT(B480,27)&amp;VALUE(RIGHT(B480,1)+1))</f>
        <v>JKS240702PROREP_20C_sample_6</v>
      </c>
      <c r="C481" s="13" t="str">
        <f t="shared" ref="C481:D481" si="560">C480</f>
        <v>Protea repens</v>
      </c>
      <c r="D481" s="13" t="str">
        <f t="shared" si="560"/>
        <v>20C</v>
      </c>
      <c r="E481" s="14">
        <f>IF(ISBLANK(A476),"",E480+1)</f>
        <v>6</v>
      </c>
      <c r="F481" s="15">
        <f t="shared" si="557"/>
        <v>45480.48056</v>
      </c>
      <c r="G481" s="16">
        <v>21.181</v>
      </c>
    </row>
    <row r="482">
      <c r="A482" s="5" t="s">
        <v>10</v>
      </c>
      <c r="B482" s="6" t="str">
        <f t="array" ref="B482">IF(ISBLANK(A482),"",IF(A482="PROREP (L)",VLOOKUP(LEFT($A482,6),'Data Feed (20C)'!$A$1:$G$10,2,FALSE),IF(A482="PROREP (S)", INDEX('Data Feed (20C)'!B:B, MATCH(LEFT($A482,6), 'Data Feed (20C)'!$A$1:$A$10, 0) + 1), VLOOKUP($A482,'Data Feed (20C)'!$A$1:$G$10,2,FALSE))))</f>
        <v>JKS240702CANCON_20C_sample_1</v>
      </c>
      <c r="C482" s="6" t="str">
        <f t="array" ref="C482">IF(ISBLANK(A482),"",IF(A482="PROREP (L)",VLOOKUP(LEFT($A482,6),'Data Feed (20C)'!$A$1:$G$10,3,FALSE),IF(A482="PROREP (S)", INDEX('Data Feed (20C)'!C:C, MATCH(LEFT($A482,6), 'Data Feed (20C)'!$A$1:$A$10, 0) + 1, +1), VLOOKUP($A482,'Data Feed (20C)'!$A$1:$G$10,3,FALSE))))</f>
        <v>Cannomois congesta</v>
      </c>
      <c r="D482" s="6" t="str">
        <f t="array" ref="D482">IF(ISBLANK(A482),"",IF(A482="PROREP (L)",VLOOKUP(LEFT($A482,6),'Data Feed (20C)'!$A$1:$G$10,4,FALSE),IF(A482="PROREP (S)", INDEX('Data Feed (20C)'!D:D, MATCH(LEFT($A482,6), 'Data Feed (20C)'!$A$1:$A$10, 0) + 1, +1), VLOOKUP($A482,'Data Feed (20C)'!$A$1:$G$10,4,FALSE))))</f>
        <v>20C</v>
      </c>
      <c r="E482" s="6">
        <f t="array" ref="E482">IF(ISBLANK(A482),"",IF(A482="PROREP (L)",VLOOKUP(LEFT($A482,6),'Data Feed (20C)'!$A$1:$G$10,7,FALSE),IF(A482="PROREP (S)", INDEX('Data Feed (20C)'!G:G, MATCH(LEFT($A482,6), 'Data Feed (20C)'!$A$1:$A$10, 0) + 1, +1), VLOOKUP($A482,'Data Feed (20C)'!$A$1:$G$10,7,FALSE))))</f>
        <v>1</v>
      </c>
      <c r="F482" s="7">
        <v>45480.481944444444</v>
      </c>
      <c r="G482" s="8">
        <v>1.407</v>
      </c>
    </row>
    <row r="483">
      <c r="A483" s="9" t="str">
        <f t="shared" ref="A483:A487" si="562">A482</f>
        <v>CANCON</v>
      </c>
      <c r="B483" s="9" t="str">
        <f>IF(ISBLANK(A482),"",LEFT(B482,27)&amp;VALUE(RIGHT(B482,1)+1))</f>
        <v>JKS240702CANCON_20C_sample_2</v>
      </c>
      <c r="C483" s="6" t="str">
        <f t="shared" ref="C483:D483" si="561">C482</f>
        <v>Cannomois congesta</v>
      </c>
      <c r="D483" s="6" t="str">
        <f t="shared" si="561"/>
        <v>20C</v>
      </c>
      <c r="E483" s="10">
        <f>IF(ISBLANK(A482),"",E482+1)</f>
        <v>2</v>
      </c>
      <c r="F483" s="11">
        <f t="shared" ref="F483:F487" si="564">F482</f>
        <v>45480.48194</v>
      </c>
      <c r="G483" s="8">
        <v>1.795</v>
      </c>
    </row>
    <row r="484">
      <c r="A484" s="9" t="str">
        <f t="shared" si="562"/>
        <v>CANCON</v>
      </c>
      <c r="B484" s="9" t="str">
        <f>IF(ISBLANK(A482),"",LEFT(B483,27)&amp;VALUE(RIGHT(B483,1)+1))</f>
        <v>JKS240702CANCON_20C_sample_3</v>
      </c>
      <c r="C484" s="6" t="str">
        <f t="shared" ref="C484:D484" si="563">C483</f>
        <v>Cannomois congesta</v>
      </c>
      <c r="D484" s="6" t="str">
        <f t="shared" si="563"/>
        <v>20C</v>
      </c>
      <c r="E484" s="10">
        <f>IF(ISBLANK(A482),"",E483+1)</f>
        <v>3</v>
      </c>
      <c r="F484" s="11">
        <f t="shared" si="564"/>
        <v>45480.48194</v>
      </c>
      <c r="G484" s="8">
        <v>0.861</v>
      </c>
    </row>
    <row r="485">
      <c r="A485" s="9" t="str">
        <f t="shared" si="562"/>
        <v>CANCON</v>
      </c>
      <c r="B485" s="9" t="str">
        <f>IF(ISBLANK(A482),"",LEFT(B484,27)&amp;VALUE(RIGHT(B484,1)+1))</f>
        <v>JKS240702CANCON_20C_sample_4</v>
      </c>
      <c r="C485" s="6" t="str">
        <f t="shared" ref="C485:D485" si="565">C484</f>
        <v>Cannomois congesta</v>
      </c>
      <c r="D485" s="6" t="str">
        <f t="shared" si="565"/>
        <v>20C</v>
      </c>
      <c r="E485" s="10">
        <f>IF(ISBLANK(A482),"",E484+1)</f>
        <v>4</v>
      </c>
      <c r="F485" s="11">
        <f t="shared" si="564"/>
        <v>45480.48194</v>
      </c>
      <c r="G485" s="8">
        <v>1.381</v>
      </c>
    </row>
    <row r="486">
      <c r="A486" s="9" t="str">
        <f t="shared" si="562"/>
        <v>CANCON</v>
      </c>
      <c r="B486" s="9" t="str">
        <f>IF(ISBLANK(A482),"",LEFT(B485,27)&amp;VALUE(RIGHT(B485,1)+1))</f>
        <v>JKS240702CANCON_20C_sample_5</v>
      </c>
      <c r="C486" s="6" t="str">
        <f t="shared" ref="C486:D486" si="566">C485</f>
        <v>Cannomois congesta</v>
      </c>
      <c r="D486" s="6" t="str">
        <f t="shared" si="566"/>
        <v>20C</v>
      </c>
      <c r="E486" s="10">
        <f>IF(ISBLANK(A482),"",E485+1)</f>
        <v>5</v>
      </c>
      <c r="F486" s="11">
        <f t="shared" si="564"/>
        <v>45480.48194</v>
      </c>
      <c r="G486" s="8">
        <v>1.583</v>
      </c>
    </row>
    <row r="487">
      <c r="A487" s="12" t="str">
        <f t="shared" si="562"/>
        <v>CANCON</v>
      </c>
      <c r="B487" s="12" t="str">
        <f>IF(ISBLANK(A482),"",LEFT(B486,27)&amp;VALUE(RIGHT(B486,1)+1))</f>
        <v>JKS240702CANCON_20C_sample_6</v>
      </c>
      <c r="C487" s="13" t="str">
        <f t="shared" ref="C487:D487" si="567">C486</f>
        <v>Cannomois congesta</v>
      </c>
      <c r="D487" s="13" t="str">
        <f t="shared" si="567"/>
        <v>20C</v>
      </c>
      <c r="E487" s="14">
        <f>IF(ISBLANK(A482),"",E486+1)</f>
        <v>6</v>
      </c>
      <c r="F487" s="15">
        <f t="shared" si="564"/>
        <v>45480.48194</v>
      </c>
      <c r="G487" s="16">
        <v>1.179</v>
      </c>
    </row>
    <row r="488">
      <c r="A488" s="5" t="s">
        <v>7</v>
      </c>
      <c r="B488" s="6" t="str">
        <f t="array" ref="B488">IF(ISBLANK(A488),"",IF(A488="PROREP (L)",VLOOKUP(LEFT($A488,6),'Data Feed (20C)'!$A$1:$G$10,2,FALSE),IF(A488="PROREP (S)", INDEX('Data Feed (20C)'!B:B, MATCH(LEFT($A488,6), 'Data Feed (20C)'!$A$1:$A$10, 0) + 1), VLOOKUP($A488,'Data Feed (20C)'!$A$1:$G$10,2,FALSE))))</f>
        <v>JKS240702ERIMON_20C_sample_1</v>
      </c>
      <c r="C488" s="6" t="str">
        <f t="array" ref="C488">IF(ISBLANK(A488),"",IF(A488="PROREP (L)",VLOOKUP(LEFT($A488,6),'Data Feed (20C)'!$A$1:$G$10,3,FALSE),IF(A488="PROREP (S)", INDEX('Data Feed (20C)'!C:C, MATCH(LEFT($A488,6), 'Data Feed (20C)'!$A$1:$A$10, 0) + 1, +1), VLOOKUP($A488,'Data Feed (20C)'!$A$1:$G$10,3,FALSE))))</f>
        <v>Erica monsoniana</v>
      </c>
      <c r="D488" s="6" t="str">
        <f t="array" ref="D488">IF(ISBLANK(A488),"",IF(A488="PROREP (L)",VLOOKUP(LEFT($A488,6),'Data Feed (20C)'!$A$1:$G$10,4,FALSE),IF(A488="PROREP (S)", INDEX('Data Feed (20C)'!D:D, MATCH(LEFT($A488,6), 'Data Feed (20C)'!$A$1:$A$10, 0) + 1, +1), VLOOKUP($A488,'Data Feed (20C)'!$A$1:$G$10,4,FALSE))))</f>
        <v>20C</v>
      </c>
      <c r="E488" s="6">
        <f t="array" ref="E488">IF(ISBLANK(A488),"",IF(A488="PROREP (L)",VLOOKUP(LEFT($A488,6),'Data Feed (20C)'!$A$1:$G$10,7,FALSE),IF(A488="PROREP (S)", INDEX('Data Feed (20C)'!G:G, MATCH(LEFT($A488,6), 'Data Feed (20C)'!$A$1:$A$10, 0) + 1, +1), VLOOKUP($A488,'Data Feed (20C)'!$A$1:$G$10,7,FALSE))))</f>
        <v>1</v>
      </c>
      <c r="F488" s="7">
        <v>45481.59722222222</v>
      </c>
      <c r="G488" s="8">
        <v>1.639</v>
      </c>
    </row>
    <row r="489">
      <c r="A489" s="9" t="str">
        <f t="shared" ref="A489:A493" si="569">A488</f>
        <v>ERIMON</v>
      </c>
      <c r="B489" s="9" t="str">
        <f>IF(ISBLANK(A488),"",LEFT(B488,27)&amp;VALUE(RIGHT(B488,1)+1))</f>
        <v>JKS240702ERIMON_20C_sample_2</v>
      </c>
      <c r="C489" s="6" t="str">
        <f t="shared" ref="C489:D489" si="568">C488</f>
        <v>Erica monsoniana</v>
      </c>
      <c r="D489" s="6" t="str">
        <f t="shared" si="568"/>
        <v>20C</v>
      </c>
      <c r="E489" s="10">
        <f>IF(ISBLANK(A488),"",E488+1)</f>
        <v>2</v>
      </c>
      <c r="F489" s="11">
        <f t="shared" ref="F489:F493" si="571">F488</f>
        <v>45481.59722</v>
      </c>
      <c r="G489" s="8">
        <v>1.336</v>
      </c>
    </row>
    <row r="490">
      <c r="A490" s="9" t="str">
        <f t="shared" si="569"/>
        <v>ERIMON</v>
      </c>
      <c r="B490" s="9" t="str">
        <f>IF(ISBLANK(A488),"",LEFT(B489,27)&amp;VALUE(RIGHT(B489,1)+1))</f>
        <v>JKS240702ERIMON_20C_sample_3</v>
      </c>
      <c r="C490" s="6" t="str">
        <f t="shared" ref="C490:D490" si="570">C489</f>
        <v>Erica monsoniana</v>
      </c>
      <c r="D490" s="6" t="str">
        <f t="shared" si="570"/>
        <v>20C</v>
      </c>
      <c r="E490" s="10">
        <f>IF(ISBLANK(A488),"",E489+1)</f>
        <v>3</v>
      </c>
      <c r="F490" s="11">
        <f t="shared" si="571"/>
        <v>45481.59722</v>
      </c>
      <c r="G490" s="8">
        <v>1.605</v>
      </c>
    </row>
    <row r="491">
      <c r="A491" s="9" t="str">
        <f t="shared" si="569"/>
        <v>ERIMON</v>
      </c>
      <c r="B491" s="9" t="str">
        <f>IF(ISBLANK(A488),"",LEFT(B490,27)&amp;VALUE(RIGHT(B490,1)+1))</f>
        <v>JKS240702ERIMON_20C_sample_4</v>
      </c>
      <c r="C491" s="6" t="str">
        <f t="shared" ref="C491:D491" si="572">C490</f>
        <v>Erica monsoniana</v>
      </c>
      <c r="D491" s="6" t="str">
        <f t="shared" si="572"/>
        <v>20C</v>
      </c>
      <c r="E491" s="10">
        <f>IF(ISBLANK(A488),"",E490+1)</f>
        <v>4</v>
      </c>
      <c r="F491" s="11">
        <f t="shared" si="571"/>
        <v>45481.59722</v>
      </c>
      <c r="G491" s="8">
        <v>0.884</v>
      </c>
    </row>
    <row r="492">
      <c r="A492" s="9" t="str">
        <f t="shared" si="569"/>
        <v>ERIMON</v>
      </c>
      <c r="B492" s="9" t="str">
        <f>IF(ISBLANK(A488),"",LEFT(B491,27)&amp;VALUE(RIGHT(B491,1)+1))</f>
        <v>JKS240702ERIMON_20C_sample_5</v>
      </c>
      <c r="C492" s="6" t="str">
        <f t="shared" ref="C492:D492" si="573">C491</f>
        <v>Erica monsoniana</v>
      </c>
      <c r="D492" s="6" t="str">
        <f t="shared" si="573"/>
        <v>20C</v>
      </c>
      <c r="E492" s="10">
        <f>IF(ISBLANK(A488),"",E491+1)</f>
        <v>5</v>
      </c>
      <c r="F492" s="11">
        <f t="shared" si="571"/>
        <v>45481.59722</v>
      </c>
      <c r="G492" s="8">
        <v>1.295</v>
      </c>
    </row>
    <row r="493">
      <c r="A493" s="12" t="str">
        <f t="shared" si="569"/>
        <v>ERIMON</v>
      </c>
      <c r="B493" s="12" t="str">
        <f>IF(ISBLANK(A488),"",LEFT(B492,27)&amp;VALUE(RIGHT(B492,1)+1))</f>
        <v>JKS240702ERIMON_20C_sample_6</v>
      </c>
      <c r="C493" s="13" t="str">
        <f t="shared" ref="C493:D493" si="574">C492</f>
        <v>Erica monsoniana</v>
      </c>
      <c r="D493" s="13" t="str">
        <f t="shared" si="574"/>
        <v>20C</v>
      </c>
      <c r="E493" s="14">
        <f>IF(ISBLANK(A488),"",E492+1)</f>
        <v>6</v>
      </c>
      <c r="F493" s="15">
        <f t="shared" si="571"/>
        <v>45481.59722</v>
      </c>
      <c r="G493" s="16">
        <v>0.617</v>
      </c>
    </row>
    <row r="494">
      <c r="A494" s="5" t="s">
        <v>8</v>
      </c>
      <c r="B494" s="6" t="str">
        <f t="array" ref="B494">IF(ISBLANK(A494),"",IF(A494="PROREP (L)",VLOOKUP(LEFT($A494,6),'Data Feed (20C)'!$A$1:$G$10,2,FALSE),IF(A494="PROREP (S)", INDEX('Data Feed (20C)'!B:B, MATCH(LEFT($A494,6), 'Data Feed (20C)'!$A$1:$A$10, 0) + 1), VLOOKUP($A494,'Data Feed (20C)'!$A$1:$G$10,2,FALSE))))</f>
        <v>JKL240702PROREP_20C_sample_1</v>
      </c>
      <c r="C494" s="6" t="str">
        <f t="array" ref="C494">IF(ISBLANK(A494),"",IF(A494="PROREP (L)",VLOOKUP(LEFT($A494,6),'Data Feed (20C)'!$A$1:$G$10,3,FALSE),IF(A494="PROREP (S)", INDEX('Data Feed (20C)'!C:C, MATCH(LEFT($A494,6), 'Data Feed (20C)'!$A$1:$A$10, 0) + 1, +1), VLOOKUP($A494,'Data Feed (20C)'!$A$1:$G$10,3,FALSE))))</f>
        <v>Protea repens</v>
      </c>
      <c r="D494" s="6" t="str">
        <f t="array" ref="D494">IF(ISBLANK(A494),"",IF(A494="PROREP (L)",VLOOKUP(LEFT($A494,6),'Data Feed (20C)'!$A$1:$G$10,4,FALSE),IF(A494="PROREP (S)", INDEX('Data Feed (20C)'!D:D, MATCH(LEFT($A494,6), 'Data Feed (20C)'!$A$1:$A$10, 0) + 1, +1), VLOOKUP($A494,'Data Feed (20C)'!$A$1:$G$10,4,FALSE))))</f>
        <v>20C</v>
      </c>
      <c r="E494" s="6">
        <f t="array" ref="E494">IF(ISBLANK(A494),"",IF(A494="PROREP (L)",VLOOKUP(LEFT($A494,6),'Data Feed (20C)'!$A$1:$G$10,7,FALSE),IF(A494="PROREP (S)", INDEX('Data Feed (20C)'!G:G, MATCH(LEFT($A494,6), 'Data Feed (20C)'!$A$1:$A$10, 0) + 1, +1), VLOOKUP($A494,'Data Feed (20C)'!$A$1:$G$10,7,FALSE))))</f>
        <v>1</v>
      </c>
      <c r="F494" s="7">
        <v>45481.59930555556</v>
      </c>
      <c r="G494" s="8">
        <v>0.4</v>
      </c>
    </row>
    <row r="495">
      <c r="A495" s="9" t="str">
        <f t="shared" ref="A495:A499" si="576">A494</f>
        <v>PROREP (L)</v>
      </c>
      <c r="B495" s="9" t="str">
        <f>IF(ISBLANK(A494),"",LEFT(B494,27)&amp;VALUE(RIGHT(B494,1)+1))</f>
        <v>JKL240702PROREP_20C_sample_2</v>
      </c>
      <c r="C495" s="6" t="str">
        <f t="shared" ref="C495:D495" si="575">C494</f>
        <v>Protea repens</v>
      </c>
      <c r="D495" s="6" t="str">
        <f t="shared" si="575"/>
        <v>20C</v>
      </c>
      <c r="E495" s="10">
        <f>IF(ISBLANK(A494),"",E494+1)</f>
        <v>2</v>
      </c>
      <c r="F495" s="11">
        <f t="shared" ref="F495:F499" si="578">F494</f>
        <v>45481.59931</v>
      </c>
      <c r="G495" s="8">
        <v>0.366</v>
      </c>
    </row>
    <row r="496">
      <c r="A496" s="9" t="str">
        <f t="shared" si="576"/>
        <v>PROREP (L)</v>
      </c>
      <c r="B496" s="9" t="str">
        <f>IF(ISBLANK(A494),"",LEFT(B495,27)&amp;VALUE(RIGHT(B495,1)+1))</f>
        <v>JKL240702PROREP_20C_sample_3</v>
      </c>
      <c r="C496" s="6" t="str">
        <f t="shared" ref="C496:D496" si="577">C495</f>
        <v>Protea repens</v>
      </c>
      <c r="D496" s="6" t="str">
        <f t="shared" si="577"/>
        <v>20C</v>
      </c>
      <c r="E496" s="10">
        <f>IF(ISBLANK(A494),"",E495+1)</f>
        <v>3</v>
      </c>
      <c r="F496" s="11">
        <f t="shared" si="578"/>
        <v>45481.59931</v>
      </c>
      <c r="G496" s="8">
        <v>0.408</v>
      </c>
    </row>
    <row r="497">
      <c r="A497" s="9" t="str">
        <f t="shared" si="576"/>
        <v>PROREP (L)</v>
      </c>
      <c r="B497" s="9" t="str">
        <f>IF(ISBLANK(A494),"",LEFT(B496,27)&amp;VALUE(RIGHT(B496,1)+1))</f>
        <v>JKL240702PROREP_20C_sample_4</v>
      </c>
      <c r="C497" s="6" t="str">
        <f t="shared" ref="C497:D497" si="579">C496</f>
        <v>Protea repens</v>
      </c>
      <c r="D497" s="6" t="str">
        <f t="shared" si="579"/>
        <v>20C</v>
      </c>
      <c r="E497" s="10">
        <f>IF(ISBLANK(A494),"",E496+1)</f>
        <v>4</v>
      </c>
      <c r="F497" s="11">
        <f t="shared" si="578"/>
        <v>45481.59931</v>
      </c>
      <c r="G497" s="8">
        <v>0.296</v>
      </c>
    </row>
    <row r="498">
      <c r="A498" s="9" t="str">
        <f t="shared" si="576"/>
        <v>PROREP (L)</v>
      </c>
      <c r="B498" s="9" t="str">
        <f>IF(ISBLANK(A494),"",LEFT(B497,27)&amp;VALUE(RIGHT(B497,1)+1))</f>
        <v>JKL240702PROREP_20C_sample_5</v>
      </c>
      <c r="C498" s="6" t="str">
        <f t="shared" ref="C498:D498" si="580">C497</f>
        <v>Protea repens</v>
      </c>
      <c r="D498" s="6" t="str">
        <f t="shared" si="580"/>
        <v>20C</v>
      </c>
      <c r="E498" s="10">
        <f>IF(ISBLANK(A494),"",E497+1)</f>
        <v>5</v>
      </c>
      <c r="F498" s="11">
        <f t="shared" si="578"/>
        <v>45481.59931</v>
      </c>
      <c r="G498" s="8">
        <v>0.286</v>
      </c>
    </row>
    <row r="499">
      <c r="A499" s="12" t="str">
        <f t="shared" si="576"/>
        <v>PROREP (L)</v>
      </c>
      <c r="B499" s="12" t="str">
        <f>IF(ISBLANK(A494),"",LEFT(B498,27)&amp;VALUE(RIGHT(B498,1)+1))</f>
        <v>JKL240702PROREP_20C_sample_6</v>
      </c>
      <c r="C499" s="13" t="str">
        <f t="shared" ref="C499:D499" si="581">C498</f>
        <v>Protea repens</v>
      </c>
      <c r="D499" s="13" t="str">
        <f t="shared" si="581"/>
        <v>20C</v>
      </c>
      <c r="E499" s="14">
        <f>IF(ISBLANK(A494),"",E498+1)</f>
        <v>6</v>
      </c>
      <c r="F499" s="15">
        <f t="shared" si="578"/>
        <v>45481.59931</v>
      </c>
      <c r="G499" s="16">
        <v>0.246</v>
      </c>
    </row>
    <row r="500">
      <c r="A500" s="5" t="s">
        <v>9</v>
      </c>
      <c r="B500" s="6" t="str">
        <f t="array" ref="B500">IF(ISBLANK(A500),"",IF(A500="PROREP (L)",VLOOKUP(LEFT($A500,6),'Data Feed (20C)'!$A$1:$G$10,2,FALSE),IF(A500="PROREP (S)", INDEX('Data Feed (20C)'!B:B, MATCH(LEFT($A500,6), 'Data Feed (20C)'!$A$1:$A$10, 0) + 1), VLOOKUP($A500,'Data Feed (20C)'!$A$1:$G$10,2,FALSE))))</f>
        <v>JKS240702PROREP_20C_sample_1</v>
      </c>
      <c r="C500" s="6" t="str">
        <f t="array" ref="C500">IF(ISBLANK(A500),"",IF(A500="PROREP (L)",VLOOKUP(LEFT($A500,6),'Data Feed (20C)'!$A$1:$G$10,3,FALSE),IF(A500="PROREP (S)", INDEX('Data Feed (20C)'!C:C, MATCH(LEFT($A500,6), 'Data Feed (20C)'!$A$1:$A$10, 0) + 1, +1), VLOOKUP($A500,'Data Feed (20C)'!$A$1:$G$10,3,FALSE))))</f>
        <v>Protea repens</v>
      </c>
      <c r="D500" s="6" t="str">
        <f t="array" ref="D500">IF(ISBLANK(A500),"",IF(A500="PROREP (L)",VLOOKUP(LEFT($A500,6),'Data Feed (20C)'!$A$1:$G$10,4,FALSE),IF(A500="PROREP (S)", INDEX('Data Feed (20C)'!D:D, MATCH(LEFT($A500,6), 'Data Feed (20C)'!$A$1:$A$10, 0) + 1, +1), VLOOKUP($A500,'Data Feed (20C)'!$A$1:$G$10,4,FALSE))))</f>
        <v>20C</v>
      </c>
      <c r="E500" s="6">
        <f t="array" ref="E500">IF(ISBLANK(A500),"",IF(A500="PROREP (L)",VLOOKUP(LEFT($A500,6),'Data Feed (20C)'!$A$1:$G$10,7,FALSE),IF(A500="PROREP (S)", INDEX('Data Feed (20C)'!G:G, MATCH(LEFT($A500,6), 'Data Feed (20C)'!$A$1:$A$10, 0) + 1, +1), VLOOKUP($A500,'Data Feed (20C)'!$A$1:$G$10,7,FALSE))))</f>
        <v>1</v>
      </c>
      <c r="F500" s="7">
        <v>45481.6</v>
      </c>
      <c r="G500" s="8">
        <v>2.427</v>
      </c>
    </row>
    <row r="501">
      <c r="A501" s="9" t="str">
        <f t="shared" ref="A501:A505" si="583">A500</f>
        <v>PROREP (S)</v>
      </c>
      <c r="B501" s="9" t="str">
        <f>IF(ISBLANK(A500),"",LEFT(B500,27)&amp;VALUE(RIGHT(B500,1)+1))</f>
        <v>JKS240702PROREP_20C_sample_2</v>
      </c>
      <c r="C501" s="6" t="str">
        <f t="shared" ref="C501:D501" si="582">C500</f>
        <v>Protea repens</v>
      </c>
      <c r="D501" s="6" t="str">
        <f t="shared" si="582"/>
        <v>20C</v>
      </c>
      <c r="E501" s="10">
        <f>IF(ISBLANK(A500),"",E500+1)</f>
        <v>2</v>
      </c>
      <c r="F501" s="11">
        <f t="shared" ref="F501:F505" si="585">F500</f>
        <v>45481.6</v>
      </c>
      <c r="G501" s="8">
        <v>10.253</v>
      </c>
    </row>
    <row r="502">
      <c r="A502" s="9" t="str">
        <f t="shared" si="583"/>
        <v>PROREP (S)</v>
      </c>
      <c r="B502" s="9" t="str">
        <f>IF(ISBLANK(A500),"",LEFT(B501,27)&amp;VALUE(RIGHT(B501,1)+1))</f>
        <v>JKS240702PROREP_20C_sample_3</v>
      </c>
      <c r="C502" s="6" t="str">
        <f t="shared" ref="C502:D502" si="584">C501</f>
        <v>Protea repens</v>
      </c>
      <c r="D502" s="6" t="str">
        <f t="shared" si="584"/>
        <v>20C</v>
      </c>
      <c r="E502" s="10">
        <f>IF(ISBLANK(A500),"",E501+1)</f>
        <v>3</v>
      </c>
      <c r="F502" s="11">
        <f t="shared" si="585"/>
        <v>45481.6</v>
      </c>
      <c r="G502" s="8">
        <v>8.722</v>
      </c>
    </row>
    <row r="503">
      <c r="A503" s="9" t="str">
        <f t="shared" si="583"/>
        <v>PROREP (S)</v>
      </c>
      <c r="B503" s="9" t="str">
        <f>IF(ISBLANK(A500),"",LEFT(B502,27)&amp;VALUE(RIGHT(B502,1)+1))</f>
        <v>JKS240702PROREP_20C_sample_4</v>
      </c>
      <c r="C503" s="6" t="str">
        <f t="shared" ref="C503:D503" si="586">C502</f>
        <v>Protea repens</v>
      </c>
      <c r="D503" s="6" t="str">
        <f t="shared" si="586"/>
        <v>20C</v>
      </c>
      <c r="E503" s="10">
        <f>IF(ISBLANK(A500),"",E502+1)</f>
        <v>4</v>
      </c>
      <c r="F503" s="11">
        <f t="shared" si="585"/>
        <v>45481.6</v>
      </c>
      <c r="G503" s="8">
        <v>5.135</v>
      </c>
    </row>
    <row r="504">
      <c r="A504" s="9" t="str">
        <f t="shared" si="583"/>
        <v>PROREP (S)</v>
      </c>
      <c r="B504" s="9" t="str">
        <f>IF(ISBLANK(A500),"",LEFT(B503,27)&amp;VALUE(RIGHT(B503,1)+1))</f>
        <v>JKS240702PROREP_20C_sample_5</v>
      </c>
      <c r="C504" s="6" t="str">
        <f t="shared" ref="C504:D504" si="587">C503</f>
        <v>Protea repens</v>
      </c>
      <c r="D504" s="6" t="str">
        <f t="shared" si="587"/>
        <v>20C</v>
      </c>
      <c r="E504" s="10">
        <f>IF(ISBLANK(A500),"",E503+1)</f>
        <v>5</v>
      </c>
      <c r="F504" s="11">
        <f t="shared" si="585"/>
        <v>45481.6</v>
      </c>
      <c r="G504" s="8">
        <v>5.396</v>
      </c>
    </row>
    <row r="505">
      <c r="A505" s="12" t="str">
        <f t="shared" si="583"/>
        <v>PROREP (S)</v>
      </c>
      <c r="B505" s="12" t="str">
        <f>IF(ISBLANK(A500),"",LEFT(B504,27)&amp;VALUE(RIGHT(B504,1)+1))</f>
        <v>JKS240702PROREP_20C_sample_6</v>
      </c>
      <c r="C505" s="13" t="str">
        <f t="shared" ref="C505:D505" si="588">C504</f>
        <v>Protea repens</v>
      </c>
      <c r="D505" s="13" t="str">
        <f t="shared" si="588"/>
        <v>20C</v>
      </c>
      <c r="E505" s="14">
        <f>IF(ISBLANK(A500),"",E504+1)</f>
        <v>6</v>
      </c>
      <c r="F505" s="15">
        <f t="shared" si="585"/>
        <v>45481.6</v>
      </c>
      <c r="G505" s="16">
        <v>19.532</v>
      </c>
    </row>
    <row r="506">
      <c r="A506" s="5" t="s">
        <v>10</v>
      </c>
      <c r="B506" s="6" t="str">
        <f t="array" ref="B506">IF(ISBLANK(A506),"",IF(A506="PROREP (L)",VLOOKUP(LEFT($A506,6),'Data Feed (20C)'!$A$1:$G$10,2,FALSE),IF(A506="PROREP (S)", INDEX('Data Feed (20C)'!B:B, MATCH(LEFT($A506,6), 'Data Feed (20C)'!$A$1:$A$10, 0) + 1), VLOOKUP($A506,'Data Feed (20C)'!$A$1:$G$10,2,FALSE))))</f>
        <v>JKS240702CANCON_20C_sample_1</v>
      </c>
      <c r="C506" s="6" t="str">
        <f t="array" ref="C506">IF(ISBLANK(A506),"",IF(A506="PROREP (L)",VLOOKUP(LEFT($A506,6),'Data Feed (20C)'!$A$1:$G$10,3,FALSE),IF(A506="PROREP (S)", INDEX('Data Feed (20C)'!C:C, MATCH(LEFT($A506,6), 'Data Feed (20C)'!$A$1:$A$10, 0) + 1, +1), VLOOKUP($A506,'Data Feed (20C)'!$A$1:$G$10,3,FALSE))))</f>
        <v>Cannomois congesta</v>
      </c>
      <c r="D506" s="6" t="str">
        <f t="array" ref="D506">IF(ISBLANK(A506),"",IF(A506="PROREP (L)",VLOOKUP(LEFT($A506,6),'Data Feed (20C)'!$A$1:$G$10,4,FALSE),IF(A506="PROREP (S)", INDEX('Data Feed (20C)'!D:D, MATCH(LEFT($A506,6), 'Data Feed (20C)'!$A$1:$A$10, 0) + 1, +1), VLOOKUP($A506,'Data Feed (20C)'!$A$1:$G$10,4,FALSE))))</f>
        <v>20C</v>
      </c>
      <c r="E506" s="6">
        <f t="array" ref="E506">IF(ISBLANK(A506),"",IF(A506="PROREP (L)",VLOOKUP(LEFT($A506,6),'Data Feed (20C)'!$A$1:$G$10,7,FALSE),IF(A506="PROREP (S)", INDEX('Data Feed (20C)'!G:G, MATCH(LEFT($A506,6), 'Data Feed (20C)'!$A$1:$A$10, 0) + 1, +1), VLOOKUP($A506,'Data Feed (20C)'!$A$1:$G$10,7,FALSE))))</f>
        <v>1</v>
      </c>
      <c r="F506" s="7">
        <v>45481.60208333333</v>
      </c>
      <c r="G506" s="8">
        <v>1.334</v>
      </c>
    </row>
    <row r="507">
      <c r="A507" s="9" t="str">
        <f t="shared" ref="A507:A511" si="590">A506</f>
        <v>CANCON</v>
      </c>
      <c r="B507" s="9" t="str">
        <f>IF(ISBLANK(A506),"",LEFT(B506,27)&amp;VALUE(RIGHT(B506,1)+1))</f>
        <v>JKS240702CANCON_20C_sample_2</v>
      </c>
      <c r="C507" s="6" t="str">
        <f t="shared" ref="C507:D507" si="589">C506</f>
        <v>Cannomois congesta</v>
      </c>
      <c r="D507" s="6" t="str">
        <f t="shared" si="589"/>
        <v>20C</v>
      </c>
      <c r="E507" s="10">
        <f>IF(ISBLANK(A506),"",E506+1)</f>
        <v>2</v>
      </c>
      <c r="F507" s="11">
        <f t="shared" ref="F507:F511" si="592">F506</f>
        <v>45481.60208</v>
      </c>
      <c r="G507" s="8">
        <v>1.707</v>
      </c>
    </row>
    <row r="508">
      <c r="A508" s="9" t="str">
        <f t="shared" si="590"/>
        <v>CANCON</v>
      </c>
      <c r="B508" s="9" t="str">
        <f>IF(ISBLANK(A506),"",LEFT(B507,27)&amp;VALUE(RIGHT(B507,1)+1))</f>
        <v>JKS240702CANCON_20C_sample_3</v>
      </c>
      <c r="C508" s="6" t="str">
        <f t="shared" ref="C508:D508" si="591">C507</f>
        <v>Cannomois congesta</v>
      </c>
      <c r="D508" s="6" t="str">
        <f t="shared" si="591"/>
        <v>20C</v>
      </c>
      <c r="E508" s="10">
        <f>IF(ISBLANK(A506),"",E507+1)</f>
        <v>3</v>
      </c>
      <c r="F508" s="11">
        <f t="shared" si="592"/>
        <v>45481.60208</v>
      </c>
      <c r="G508" s="8">
        <v>0.826</v>
      </c>
    </row>
    <row r="509">
      <c r="A509" s="9" t="str">
        <f t="shared" si="590"/>
        <v>CANCON</v>
      </c>
      <c r="B509" s="9" t="str">
        <f>IF(ISBLANK(A506),"",LEFT(B508,27)&amp;VALUE(RIGHT(B508,1)+1))</f>
        <v>JKS240702CANCON_20C_sample_4</v>
      </c>
      <c r="C509" s="6" t="str">
        <f t="shared" ref="C509:D509" si="593">C508</f>
        <v>Cannomois congesta</v>
      </c>
      <c r="D509" s="6" t="str">
        <f t="shared" si="593"/>
        <v>20C</v>
      </c>
      <c r="E509" s="10">
        <f>IF(ISBLANK(A506),"",E508+1)</f>
        <v>4</v>
      </c>
      <c r="F509" s="11">
        <f t="shared" si="592"/>
        <v>45481.60208</v>
      </c>
      <c r="G509" s="8">
        <v>1.341</v>
      </c>
    </row>
    <row r="510">
      <c r="A510" s="9" t="str">
        <f t="shared" si="590"/>
        <v>CANCON</v>
      </c>
      <c r="B510" s="9" t="str">
        <f>IF(ISBLANK(A506),"",LEFT(B509,27)&amp;VALUE(RIGHT(B509,1)+1))</f>
        <v>JKS240702CANCON_20C_sample_5</v>
      </c>
      <c r="C510" s="6" t="str">
        <f t="shared" ref="C510:D510" si="594">C509</f>
        <v>Cannomois congesta</v>
      </c>
      <c r="D510" s="6" t="str">
        <f t="shared" si="594"/>
        <v>20C</v>
      </c>
      <c r="E510" s="10">
        <f>IF(ISBLANK(A506),"",E509+1)</f>
        <v>5</v>
      </c>
      <c r="F510" s="11">
        <f t="shared" si="592"/>
        <v>45481.60208</v>
      </c>
      <c r="G510" s="8">
        <v>1.567</v>
      </c>
    </row>
    <row r="511">
      <c r="A511" s="12" t="str">
        <f t="shared" si="590"/>
        <v>CANCON</v>
      </c>
      <c r="B511" s="12" t="str">
        <f>IF(ISBLANK(A506),"",LEFT(B510,27)&amp;VALUE(RIGHT(B510,1)+1))</f>
        <v>JKS240702CANCON_20C_sample_6</v>
      </c>
      <c r="C511" s="13" t="str">
        <f t="shared" ref="C511:D511" si="595">C510</f>
        <v>Cannomois congesta</v>
      </c>
      <c r="D511" s="13" t="str">
        <f t="shared" si="595"/>
        <v>20C</v>
      </c>
      <c r="E511" s="14">
        <f>IF(ISBLANK(A506),"",E510+1)</f>
        <v>6</v>
      </c>
      <c r="F511" s="15">
        <f t="shared" si="592"/>
        <v>45481.60208</v>
      </c>
      <c r="G511" s="16">
        <v>1.167</v>
      </c>
    </row>
    <row r="512">
      <c r="A512" s="5" t="s">
        <v>8</v>
      </c>
      <c r="B512" s="6" t="str">
        <f t="array" ref="B512">IF(ISBLANK(A512),"",IF(A512="PROREP (L)",VLOOKUP(LEFT($A512,6),'Data Feed (20C)'!$A$1:$G$10,2,FALSE),IF(A512="PROREP (S)", INDEX('Data Feed (20C)'!B:B, MATCH(LEFT($A512,6), 'Data Feed (20C)'!$A$1:$A$10, 0) + 1), VLOOKUP($A512,'Data Feed (20C)'!$A$1:$G$10,2,FALSE))))</f>
        <v>JKL240702PROREP_20C_sample_1</v>
      </c>
      <c r="C512" s="6" t="str">
        <f t="array" ref="C512">IF(ISBLANK(A512),"",IF(A512="PROREP (L)",VLOOKUP(LEFT($A512,6),'Data Feed (20C)'!$A$1:$G$10,3,FALSE),IF(A512="PROREP (S)", INDEX('Data Feed (20C)'!C:C, MATCH(LEFT($A512,6), 'Data Feed (20C)'!$A$1:$A$10, 0) + 1, +1), VLOOKUP($A512,'Data Feed (20C)'!$A$1:$G$10,3,FALSE))))</f>
        <v>Protea repens</v>
      </c>
      <c r="D512" s="6" t="str">
        <f t="array" ref="D512">IF(ISBLANK(A512),"",IF(A512="PROREP (L)",VLOOKUP(LEFT($A512,6),'Data Feed (20C)'!$A$1:$G$10,4,FALSE),IF(A512="PROREP (S)", INDEX('Data Feed (20C)'!D:D, MATCH(LEFT($A512,6), 'Data Feed (20C)'!$A$1:$A$10, 0) + 1, +1), VLOOKUP($A512,'Data Feed (20C)'!$A$1:$G$10,4,FALSE))))</f>
        <v>20C</v>
      </c>
      <c r="E512" s="6">
        <f t="array" ref="E512">IF(ISBLANK(A512),"",IF(A512="PROREP (L)",VLOOKUP(LEFT($A512,6),'Data Feed (20C)'!$A$1:$G$10,7,FALSE),IF(A512="PROREP (S)", INDEX('Data Feed (20C)'!G:G, MATCH(LEFT($A512,6), 'Data Feed (20C)'!$A$1:$A$10, 0) + 1, +1), VLOOKUP($A512,'Data Feed (20C)'!$A$1:$G$10,7,FALSE))))</f>
        <v>1</v>
      </c>
      <c r="F512" s="7">
        <v>45482.59375</v>
      </c>
      <c r="G512" s="8">
        <v>0.32</v>
      </c>
    </row>
    <row r="513">
      <c r="A513" s="9" t="str">
        <f t="shared" ref="A513:A517" si="597">A512</f>
        <v>PROREP (L)</v>
      </c>
      <c r="B513" s="9" t="str">
        <f>IF(ISBLANK(A512),"",LEFT(B512,27)&amp;VALUE(RIGHT(B512,1)+1))</f>
        <v>JKL240702PROREP_20C_sample_2</v>
      </c>
      <c r="C513" s="6" t="str">
        <f t="shared" ref="C513:D513" si="596">C512</f>
        <v>Protea repens</v>
      </c>
      <c r="D513" s="6" t="str">
        <f t="shared" si="596"/>
        <v>20C</v>
      </c>
      <c r="E513" s="10">
        <f>IF(ISBLANK(A512),"",E512+1)</f>
        <v>2</v>
      </c>
      <c r="F513" s="11">
        <f t="shared" ref="F513:F517" si="599">F512</f>
        <v>45482.59375</v>
      </c>
      <c r="G513" s="8">
        <v>0.325</v>
      </c>
    </row>
    <row r="514">
      <c r="A514" s="9" t="str">
        <f t="shared" si="597"/>
        <v>PROREP (L)</v>
      </c>
      <c r="B514" s="9" t="str">
        <f>IF(ISBLANK(A512),"",LEFT(B513,27)&amp;VALUE(RIGHT(B513,1)+1))</f>
        <v>JKL240702PROREP_20C_sample_3</v>
      </c>
      <c r="C514" s="6" t="str">
        <f t="shared" ref="C514:D514" si="598">C513</f>
        <v>Protea repens</v>
      </c>
      <c r="D514" s="6" t="str">
        <f t="shared" si="598"/>
        <v>20C</v>
      </c>
      <c r="E514" s="10">
        <f>IF(ISBLANK(A512),"",E513+1)</f>
        <v>3</v>
      </c>
      <c r="F514" s="11">
        <f t="shared" si="599"/>
        <v>45482.59375</v>
      </c>
      <c r="G514" s="8">
        <v>0.357</v>
      </c>
    </row>
    <row r="515">
      <c r="A515" s="9" t="str">
        <f t="shared" si="597"/>
        <v>PROREP (L)</v>
      </c>
      <c r="B515" s="9" t="str">
        <f>IF(ISBLANK(A512),"",LEFT(B514,27)&amp;VALUE(RIGHT(B514,1)+1))</f>
        <v>JKL240702PROREP_20C_sample_4</v>
      </c>
      <c r="C515" s="6" t="str">
        <f t="shared" ref="C515:D515" si="600">C514</f>
        <v>Protea repens</v>
      </c>
      <c r="D515" s="6" t="str">
        <f t="shared" si="600"/>
        <v>20C</v>
      </c>
      <c r="E515" s="10">
        <f>IF(ISBLANK(A512),"",E514+1)</f>
        <v>4</v>
      </c>
      <c r="F515" s="11">
        <f t="shared" si="599"/>
        <v>45482.59375</v>
      </c>
      <c r="G515" s="8">
        <v>0.278</v>
      </c>
    </row>
    <row r="516">
      <c r="A516" s="9" t="str">
        <f t="shared" si="597"/>
        <v>PROREP (L)</v>
      </c>
      <c r="B516" s="9" t="str">
        <f>IF(ISBLANK(A512),"",LEFT(B515,27)&amp;VALUE(RIGHT(B515,1)+1))</f>
        <v>JKL240702PROREP_20C_sample_5</v>
      </c>
      <c r="C516" s="6" t="str">
        <f t="shared" ref="C516:D516" si="601">C515</f>
        <v>Protea repens</v>
      </c>
      <c r="D516" s="6" t="str">
        <f t="shared" si="601"/>
        <v>20C</v>
      </c>
      <c r="E516" s="10">
        <f>IF(ISBLANK(A512),"",E515+1)</f>
        <v>5</v>
      </c>
      <c r="F516" s="11">
        <f t="shared" si="599"/>
        <v>45482.59375</v>
      </c>
      <c r="G516" s="8">
        <v>0.282</v>
      </c>
    </row>
    <row r="517">
      <c r="A517" s="12" t="str">
        <f t="shared" si="597"/>
        <v>PROREP (L)</v>
      </c>
      <c r="B517" s="12" t="str">
        <f>IF(ISBLANK(A512),"",LEFT(B516,27)&amp;VALUE(RIGHT(B516,1)+1))</f>
        <v>JKL240702PROREP_20C_sample_6</v>
      </c>
      <c r="C517" s="13" t="str">
        <f t="shared" ref="C517:D517" si="602">C516</f>
        <v>Protea repens</v>
      </c>
      <c r="D517" s="13" t="str">
        <f t="shared" si="602"/>
        <v>20C</v>
      </c>
      <c r="E517" s="14">
        <f>IF(ISBLANK(A512),"",E516+1)</f>
        <v>6</v>
      </c>
      <c r="F517" s="15">
        <f t="shared" si="599"/>
        <v>45482.59375</v>
      </c>
      <c r="G517" s="16">
        <v>0.235</v>
      </c>
    </row>
    <row r="518">
      <c r="A518" s="5" t="s">
        <v>9</v>
      </c>
      <c r="B518" s="6" t="str">
        <f t="array" ref="B518">IF(ISBLANK(A518),"",IF(A518="PROREP (L)",VLOOKUP(LEFT($A518,6),'Data Feed (20C)'!$A$1:$G$10,2,FALSE),IF(A518="PROREP (S)", INDEX('Data Feed (20C)'!B:B, MATCH(LEFT($A518,6), 'Data Feed (20C)'!$A$1:$A$10, 0) + 1), VLOOKUP($A518,'Data Feed (20C)'!$A$1:$G$10,2,FALSE))))</f>
        <v>JKS240702PROREP_20C_sample_1</v>
      </c>
      <c r="C518" s="6" t="str">
        <f t="array" ref="C518">IF(ISBLANK(A518),"",IF(A518="PROREP (L)",VLOOKUP(LEFT($A518,6),'Data Feed (20C)'!$A$1:$G$10,3,FALSE),IF(A518="PROREP (S)", INDEX('Data Feed (20C)'!C:C, MATCH(LEFT($A518,6), 'Data Feed (20C)'!$A$1:$A$10, 0) + 1, +1), VLOOKUP($A518,'Data Feed (20C)'!$A$1:$G$10,3,FALSE))))</f>
        <v>Protea repens</v>
      </c>
      <c r="D518" s="6" t="str">
        <f t="array" ref="D518">IF(ISBLANK(A518),"",IF(A518="PROREP (L)",VLOOKUP(LEFT($A518,6),'Data Feed (20C)'!$A$1:$G$10,4,FALSE),IF(A518="PROREP (S)", INDEX('Data Feed (20C)'!D:D, MATCH(LEFT($A518,6), 'Data Feed (20C)'!$A$1:$A$10, 0) + 1, +1), VLOOKUP($A518,'Data Feed (20C)'!$A$1:$G$10,4,FALSE))))</f>
        <v>20C</v>
      </c>
      <c r="E518" s="6">
        <f t="array" ref="E518">IF(ISBLANK(A518),"",IF(A518="PROREP (L)",VLOOKUP(LEFT($A518,6),'Data Feed (20C)'!$A$1:$G$10,7,FALSE),IF(A518="PROREP (S)", INDEX('Data Feed (20C)'!G:G, MATCH(LEFT($A518,6), 'Data Feed (20C)'!$A$1:$A$10, 0) + 1, +1), VLOOKUP($A518,'Data Feed (20C)'!$A$1:$G$10,7,FALSE))))</f>
        <v>1</v>
      </c>
      <c r="F518" s="7">
        <v>45482.595138888886</v>
      </c>
      <c r="G518" s="8">
        <v>1.974</v>
      </c>
    </row>
    <row r="519">
      <c r="A519" s="9" t="str">
        <f t="shared" ref="A519:A523" si="604">A518</f>
        <v>PROREP (S)</v>
      </c>
      <c r="B519" s="9" t="str">
        <f>IF(ISBLANK(A518),"",LEFT(B518,27)&amp;VALUE(RIGHT(B518,1)+1))</f>
        <v>JKS240702PROREP_20C_sample_2</v>
      </c>
      <c r="C519" s="6" t="str">
        <f t="shared" ref="C519:D519" si="603">C518</f>
        <v>Protea repens</v>
      </c>
      <c r="D519" s="6" t="str">
        <f t="shared" si="603"/>
        <v>20C</v>
      </c>
      <c r="E519" s="10">
        <f>IF(ISBLANK(A518),"",E518+1)</f>
        <v>2</v>
      </c>
      <c r="F519" s="11">
        <f t="shared" ref="F519:F523" si="606">F518</f>
        <v>45482.59514</v>
      </c>
      <c r="G519" s="8">
        <v>9.656</v>
      </c>
    </row>
    <row r="520">
      <c r="A520" s="9" t="str">
        <f t="shared" si="604"/>
        <v>PROREP (S)</v>
      </c>
      <c r="B520" s="9" t="str">
        <f>IF(ISBLANK(A518),"",LEFT(B519,27)&amp;VALUE(RIGHT(B519,1)+1))</f>
        <v>JKS240702PROREP_20C_sample_3</v>
      </c>
      <c r="C520" s="6" t="str">
        <f t="shared" ref="C520:D520" si="605">C519</f>
        <v>Protea repens</v>
      </c>
      <c r="D520" s="6" t="str">
        <f t="shared" si="605"/>
        <v>20C</v>
      </c>
      <c r="E520" s="10">
        <f>IF(ISBLANK(A518),"",E519+1)</f>
        <v>3</v>
      </c>
      <c r="F520" s="11">
        <f t="shared" si="606"/>
        <v>45482.59514</v>
      </c>
      <c r="G520" s="8">
        <v>8.338</v>
      </c>
    </row>
    <row r="521">
      <c r="A521" s="9" t="str">
        <f t="shared" si="604"/>
        <v>PROREP (S)</v>
      </c>
      <c r="B521" s="9" t="str">
        <f>IF(ISBLANK(A518),"",LEFT(B520,27)&amp;VALUE(RIGHT(B520,1)+1))</f>
        <v>JKS240702PROREP_20C_sample_4</v>
      </c>
      <c r="C521" s="6" t="str">
        <f t="shared" ref="C521:D521" si="607">C520</f>
        <v>Protea repens</v>
      </c>
      <c r="D521" s="6" t="str">
        <f t="shared" si="607"/>
        <v>20C</v>
      </c>
      <c r="E521" s="10">
        <f>IF(ISBLANK(A518),"",E520+1)</f>
        <v>4</v>
      </c>
      <c r="F521" s="11">
        <f t="shared" si="606"/>
        <v>45482.59514</v>
      </c>
      <c r="G521" s="8">
        <v>4.135</v>
      </c>
    </row>
    <row r="522">
      <c r="A522" s="9" t="str">
        <f t="shared" si="604"/>
        <v>PROREP (S)</v>
      </c>
      <c r="B522" s="9" t="str">
        <f>IF(ISBLANK(A518),"",LEFT(B521,27)&amp;VALUE(RIGHT(B521,1)+1))</f>
        <v>JKS240702PROREP_20C_sample_5</v>
      </c>
      <c r="C522" s="6" t="str">
        <f t="shared" ref="C522:D522" si="608">C521</f>
        <v>Protea repens</v>
      </c>
      <c r="D522" s="6" t="str">
        <f t="shared" si="608"/>
        <v>20C</v>
      </c>
      <c r="E522" s="10">
        <f>IF(ISBLANK(A518),"",E521+1)</f>
        <v>5</v>
      </c>
      <c r="F522" s="11">
        <f t="shared" si="606"/>
        <v>45482.59514</v>
      </c>
      <c r="G522" s="8">
        <v>4.994</v>
      </c>
    </row>
    <row r="523">
      <c r="A523" s="12" t="str">
        <f t="shared" si="604"/>
        <v>PROREP (S)</v>
      </c>
      <c r="B523" s="12" t="str">
        <f>IF(ISBLANK(A518),"",LEFT(B522,27)&amp;VALUE(RIGHT(B522,1)+1))</f>
        <v>JKS240702PROREP_20C_sample_6</v>
      </c>
      <c r="C523" s="13" t="str">
        <f t="shared" ref="C523:D523" si="609">C522</f>
        <v>Protea repens</v>
      </c>
      <c r="D523" s="13" t="str">
        <f t="shared" si="609"/>
        <v>20C</v>
      </c>
      <c r="E523" s="14">
        <f>IF(ISBLANK(A518),"",E522+1)</f>
        <v>6</v>
      </c>
      <c r="F523" s="15">
        <f t="shared" si="606"/>
        <v>45482.59514</v>
      </c>
      <c r="G523" s="16">
        <v>18.08</v>
      </c>
    </row>
    <row r="524">
      <c r="A524" s="5" t="s">
        <v>10</v>
      </c>
      <c r="B524" s="6" t="str">
        <f t="array" ref="B524">IF(ISBLANK(A524),"",IF(A524="PROREP (L)",VLOOKUP(LEFT($A524,6),'Data Feed (20C)'!$A$1:$G$10,2,FALSE),IF(A524="PROREP (S)", INDEX('Data Feed (20C)'!B:B, MATCH(LEFT($A524,6), 'Data Feed (20C)'!$A$1:$A$10, 0) + 1), VLOOKUP($A524,'Data Feed (20C)'!$A$1:$G$10,2,FALSE))))</f>
        <v>JKS240702CANCON_20C_sample_1</v>
      </c>
      <c r="C524" s="6" t="str">
        <f t="array" ref="C524">IF(ISBLANK(A524),"",IF(A524="PROREP (L)",VLOOKUP(LEFT($A524,6),'Data Feed (20C)'!$A$1:$G$10,3,FALSE),IF(A524="PROREP (S)", INDEX('Data Feed (20C)'!C:C, MATCH(LEFT($A524,6), 'Data Feed (20C)'!$A$1:$A$10, 0) + 1, +1), VLOOKUP($A524,'Data Feed (20C)'!$A$1:$G$10,3,FALSE))))</f>
        <v>Cannomois congesta</v>
      </c>
      <c r="D524" s="6" t="str">
        <f t="array" ref="D524">IF(ISBLANK(A524),"",IF(A524="PROREP (L)",VLOOKUP(LEFT($A524,6),'Data Feed (20C)'!$A$1:$G$10,4,FALSE),IF(A524="PROREP (S)", INDEX('Data Feed (20C)'!D:D, MATCH(LEFT($A524,6), 'Data Feed (20C)'!$A$1:$A$10, 0) + 1, +1), VLOOKUP($A524,'Data Feed (20C)'!$A$1:$G$10,4,FALSE))))</f>
        <v>20C</v>
      </c>
      <c r="E524" s="6">
        <f t="array" ref="E524">IF(ISBLANK(A524),"",IF(A524="PROREP (L)",VLOOKUP(LEFT($A524,6),'Data Feed (20C)'!$A$1:$G$10,7,FALSE),IF(A524="PROREP (S)", INDEX('Data Feed (20C)'!G:G, MATCH(LEFT($A524,6), 'Data Feed (20C)'!$A$1:$A$10, 0) + 1, +1), VLOOKUP($A524,'Data Feed (20C)'!$A$1:$G$10,7,FALSE))))</f>
        <v>1</v>
      </c>
      <c r="F524" s="7">
        <v>45482.59652777778</v>
      </c>
      <c r="G524" s="8">
        <v>1.242</v>
      </c>
    </row>
    <row r="525">
      <c r="A525" s="9" t="str">
        <f t="shared" ref="A525:A529" si="611">A524</f>
        <v>CANCON</v>
      </c>
      <c r="B525" s="9" t="str">
        <f>IF(ISBLANK(A524),"",LEFT(B524,27)&amp;VALUE(RIGHT(B524,1)+1))</f>
        <v>JKS240702CANCON_20C_sample_2</v>
      </c>
      <c r="C525" s="6" t="str">
        <f t="shared" ref="C525:D525" si="610">C524</f>
        <v>Cannomois congesta</v>
      </c>
      <c r="D525" s="6" t="str">
        <f t="shared" si="610"/>
        <v>20C</v>
      </c>
      <c r="E525" s="10">
        <f>IF(ISBLANK(A524),"",E524+1)</f>
        <v>2</v>
      </c>
      <c r="F525" s="11">
        <f t="shared" ref="F525:F529" si="613">F524</f>
        <v>45482.59653</v>
      </c>
      <c r="G525" s="8">
        <v>1.593</v>
      </c>
    </row>
    <row r="526">
      <c r="A526" s="9" t="str">
        <f t="shared" si="611"/>
        <v>CANCON</v>
      </c>
      <c r="B526" s="9" t="str">
        <f>IF(ISBLANK(A524),"",LEFT(B525,27)&amp;VALUE(RIGHT(B525,1)+1))</f>
        <v>JKS240702CANCON_20C_sample_3</v>
      </c>
      <c r="C526" s="6" t="str">
        <f t="shared" ref="C526:D526" si="612">C525</f>
        <v>Cannomois congesta</v>
      </c>
      <c r="D526" s="6" t="str">
        <f t="shared" si="612"/>
        <v>20C</v>
      </c>
      <c r="E526" s="10">
        <f>IF(ISBLANK(A524),"",E525+1)</f>
        <v>3</v>
      </c>
      <c r="F526" s="11">
        <f t="shared" si="613"/>
        <v>45482.59653</v>
      </c>
      <c r="G526" s="8">
        <v>0.776</v>
      </c>
    </row>
    <row r="527">
      <c r="A527" s="9" t="str">
        <f t="shared" si="611"/>
        <v>CANCON</v>
      </c>
      <c r="B527" s="9" t="str">
        <f>IF(ISBLANK(A524),"",LEFT(B526,27)&amp;VALUE(RIGHT(B526,1)+1))</f>
        <v>JKS240702CANCON_20C_sample_4</v>
      </c>
      <c r="C527" s="6" t="str">
        <f t="shared" ref="C527:D527" si="614">C526</f>
        <v>Cannomois congesta</v>
      </c>
      <c r="D527" s="6" t="str">
        <f t="shared" si="614"/>
        <v>20C</v>
      </c>
      <c r="E527" s="10">
        <f>IF(ISBLANK(A524),"",E526+1)</f>
        <v>4</v>
      </c>
      <c r="F527" s="11">
        <f t="shared" si="613"/>
        <v>45482.59653</v>
      </c>
      <c r="G527" s="8">
        <v>1.293</v>
      </c>
    </row>
    <row r="528">
      <c r="A528" s="9" t="str">
        <f t="shared" si="611"/>
        <v>CANCON</v>
      </c>
      <c r="B528" s="9" t="str">
        <f>IF(ISBLANK(A524),"",LEFT(B527,27)&amp;VALUE(RIGHT(B527,1)+1))</f>
        <v>JKS240702CANCON_20C_sample_5</v>
      </c>
      <c r="C528" s="6" t="str">
        <f t="shared" ref="C528:D528" si="615">C527</f>
        <v>Cannomois congesta</v>
      </c>
      <c r="D528" s="6" t="str">
        <f t="shared" si="615"/>
        <v>20C</v>
      </c>
      <c r="E528" s="10">
        <f>IF(ISBLANK(A524),"",E527+1)</f>
        <v>5</v>
      </c>
      <c r="F528" s="11">
        <f t="shared" si="613"/>
        <v>45482.59653</v>
      </c>
      <c r="G528" s="8">
        <v>1.515</v>
      </c>
    </row>
    <row r="529">
      <c r="A529" s="12" t="str">
        <f t="shared" si="611"/>
        <v>CANCON</v>
      </c>
      <c r="B529" s="12" t="str">
        <f>IF(ISBLANK(A524),"",LEFT(B528,27)&amp;VALUE(RIGHT(B528,1)+1))</f>
        <v>JKS240702CANCON_20C_sample_6</v>
      </c>
      <c r="C529" s="13" t="str">
        <f t="shared" ref="C529:D529" si="616">C528</f>
        <v>Cannomois congesta</v>
      </c>
      <c r="D529" s="13" t="str">
        <f t="shared" si="616"/>
        <v>20C</v>
      </c>
      <c r="E529" s="14">
        <f>IF(ISBLANK(A524),"",E528+1)</f>
        <v>6</v>
      </c>
      <c r="F529" s="15">
        <f t="shared" si="613"/>
        <v>45482.59653</v>
      </c>
      <c r="G529" s="16">
        <v>1.139</v>
      </c>
    </row>
    <row r="530">
      <c r="A530" s="5" t="s">
        <v>8</v>
      </c>
      <c r="B530" s="6" t="str">
        <f t="array" ref="B530">IF(ISBLANK(A530),"",IF(A530="PROREP (L)",VLOOKUP(LEFT($A530,6),'Data Feed (20C)'!$A$1:$G$10,2,FALSE),IF(A530="PROREP (S)", INDEX('Data Feed (20C)'!B:B, MATCH(LEFT($A530,6), 'Data Feed (20C)'!$A$1:$A$10, 0) + 1), VLOOKUP($A530,'Data Feed (20C)'!$A$1:$G$10,2,FALSE))))</f>
        <v>JKL240702PROREP_20C_sample_1</v>
      </c>
      <c r="C530" s="6" t="str">
        <f t="array" ref="C530">IF(ISBLANK(A530),"",IF(A530="PROREP (L)",VLOOKUP(LEFT($A530,6),'Data Feed (20C)'!$A$1:$G$10,3,FALSE),IF(A530="PROREP (S)", INDEX('Data Feed (20C)'!C:C, MATCH(LEFT($A530,6), 'Data Feed (20C)'!$A$1:$A$10, 0) + 1, +1), VLOOKUP($A530,'Data Feed (20C)'!$A$1:$G$10,3,FALSE))))</f>
        <v>Protea repens</v>
      </c>
      <c r="D530" s="6" t="str">
        <f t="array" ref="D530">IF(ISBLANK(A530),"",IF(A530="PROREP (L)",VLOOKUP(LEFT($A530,6),'Data Feed (20C)'!$A$1:$G$10,4,FALSE),IF(A530="PROREP (S)", INDEX('Data Feed (20C)'!D:D, MATCH(LEFT($A530,6), 'Data Feed (20C)'!$A$1:$A$10, 0) + 1, +1), VLOOKUP($A530,'Data Feed (20C)'!$A$1:$G$10,4,FALSE))))</f>
        <v>20C</v>
      </c>
      <c r="E530" s="6">
        <f t="array" ref="E530">IF(ISBLANK(A530),"",IF(A530="PROREP (L)",VLOOKUP(LEFT($A530,6),'Data Feed (20C)'!$A$1:$G$10,7,FALSE),IF(A530="PROREP (S)", INDEX('Data Feed (20C)'!G:G, MATCH(LEFT($A530,6), 'Data Feed (20C)'!$A$1:$A$10, 0) + 1, +1), VLOOKUP($A530,'Data Feed (20C)'!$A$1:$G$10,7,FALSE))))</f>
        <v>1</v>
      </c>
      <c r="F530" s="7">
        <v>45483.57361111111</v>
      </c>
      <c r="G530" s="8">
        <v>0.303</v>
      </c>
    </row>
    <row r="531">
      <c r="A531" s="9" t="str">
        <f t="shared" ref="A531:A535" si="618">A530</f>
        <v>PROREP (L)</v>
      </c>
      <c r="B531" s="9" t="str">
        <f>IF(ISBLANK(A530),"",LEFT(B530,27)&amp;VALUE(RIGHT(B530,1)+1))</f>
        <v>JKL240702PROREP_20C_sample_2</v>
      </c>
      <c r="C531" s="6" t="str">
        <f t="shared" ref="C531:D531" si="617">C530</f>
        <v>Protea repens</v>
      </c>
      <c r="D531" s="6" t="str">
        <f t="shared" si="617"/>
        <v>20C</v>
      </c>
      <c r="E531" s="10">
        <f>IF(ISBLANK(A530),"",E530+1)</f>
        <v>2</v>
      </c>
      <c r="F531" s="11">
        <f t="shared" ref="F531:F535" si="620">F530</f>
        <v>45483.57361</v>
      </c>
      <c r="G531" s="8">
        <v>0.294</v>
      </c>
    </row>
    <row r="532">
      <c r="A532" s="9" t="str">
        <f t="shared" si="618"/>
        <v>PROREP (L)</v>
      </c>
      <c r="B532" s="9" t="str">
        <f>IF(ISBLANK(A530),"",LEFT(B531,27)&amp;VALUE(RIGHT(B531,1)+1))</f>
        <v>JKL240702PROREP_20C_sample_3</v>
      </c>
      <c r="C532" s="6" t="str">
        <f t="shared" ref="C532:D532" si="619">C531</f>
        <v>Protea repens</v>
      </c>
      <c r="D532" s="6" t="str">
        <f t="shared" si="619"/>
        <v>20C</v>
      </c>
      <c r="E532" s="10">
        <f>IF(ISBLANK(A530),"",E531+1)</f>
        <v>3</v>
      </c>
      <c r="F532" s="11">
        <f t="shared" si="620"/>
        <v>45483.57361</v>
      </c>
      <c r="G532" s="8">
        <v>0.341</v>
      </c>
    </row>
    <row r="533">
      <c r="A533" s="9" t="str">
        <f t="shared" si="618"/>
        <v>PROREP (L)</v>
      </c>
      <c r="B533" s="9" t="str">
        <f>IF(ISBLANK(A530),"",LEFT(B532,27)&amp;VALUE(RIGHT(B532,1)+1))</f>
        <v>JKL240702PROREP_20C_sample_4</v>
      </c>
      <c r="C533" s="6" t="str">
        <f t="shared" ref="C533:D533" si="621">C532</f>
        <v>Protea repens</v>
      </c>
      <c r="D533" s="6" t="str">
        <f t="shared" si="621"/>
        <v>20C</v>
      </c>
      <c r="E533" s="10">
        <f>IF(ISBLANK(A530),"",E532+1)</f>
        <v>4</v>
      </c>
      <c r="F533" s="11">
        <f t="shared" si="620"/>
        <v>45483.57361</v>
      </c>
      <c r="G533" s="8">
        <v>0.239</v>
      </c>
    </row>
    <row r="534">
      <c r="A534" s="9" t="str">
        <f t="shared" si="618"/>
        <v>PROREP (L)</v>
      </c>
      <c r="B534" s="9" t="str">
        <f>IF(ISBLANK(A530),"",LEFT(B533,27)&amp;VALUE(RIGHT(B533,1)+1))</f>
        <v>JKL240702PROREP_20C_sample_5</v>
      </c>
      <c r="C534" s="6" t="str">
        <f t="shared" ref="C534:D534" si="622">C533</f>
        <v>Protea repens</v>
      </c>
      <c r="D534" s="6" t="str">
        <f t="shared" si="622"/>
        <v>20C</v>
      </c>
      <c r="E534" s="10">
        <f>IF(ISBLANK(A530),"",E533+1)</f>
        <v>5</v>
      </c>
      <c r="F534" s="11">
        <f t="shared" si="620"/>
        <v>45483.57361</v>
      </c>
      <c r="G534" s="8">
        <v>0.28</v>
      </c>
    </row>
    <row r="535">
      <c r="A535" s="12" t="str">
        <f t="shared" si="618"/>
        <v>PROREP (L)</v>
      </c>
      <c r="B535" s="12" t="str">
        <f>IF(ISBLANK(A530),"",LEFT(B534,27)&amp;VALUE(RIGHT(B534,1)+1))</f>
        <v>JKL240702PROREP_20C_sample_6</v>
      </c>
      <c r="C535" s="13" t="str">
        <f t="shared" ref="C535:D535" si="623">C534</f>
        <v>Protea repens</v>
      </c>
      <c r="D535" s="13" t="str">
        <f t="shared" si="623"/>
        <v>20C</v>
      </c>
      <c r="E535" s="14">
        <f>IF(ISBLANK(A530),"",E534+1)</f>
        <v>6</v>
      </c>
      <c r="F535" s="15">
        <f t="shared" si="620"/>
        <v>45483.57361</v>
      </c>
      <c r="G535" s="16">
        <v>0.236</v>
      </c>
    </row>
    <row r="536">
      <c r="A536" s="5" t="s">
        <v>9</v>
      </c>
      <c r="B536" s="6" t="str">
        <f t="array" ref="B536">IF(ISBLANK(A536),"",IF(A536="PROREP (L)",VLOOKUP(LEFT($A536,6),'Data Feed (20C)'!$A$1:$G$10,2,FALSE),IF(A536="PROREP (S)", INDEX('Data Feed (20C)'!B:B, MATCH(LEFT($A536,6), 'Data Feed (20C)'!$A$1:$A$10, 0) + 1), VLOOKUP($A536,'Data Feed (20C)'!$A$1:$G$10,2,FALSE))))</f>
        <v>JKS240702PROREP_20C_sample_1</v>
      </c>
      <c r="C536" s="6" t="str">
        <f t="array" ref="C536">IF(ISBLANK(A536),"",IF(A536="PROREP (L)",VLOOKUP(LEFT($A536,6),'Data Feed (20C)'!$A$1:$G$10,3,FALSE),IF(A536="PROREP (S)", INDEX('Data Feed (20C)'!C:C, MATCH(LEFT($A536,6), 'Data Feed (20C)'!$A$1:$A$10, 0) + 1, +1), VLOOKUP($A536,'Data Feed (20C)'!$A$1:$G$10,3,FALSE))))</f>
        <v>Protea repens</v>
      </c>
      <c r="D536" s="6" t="str">
        <f t="array" ref="D536">IF(ISBLANK(A536),"",IF(A536="PROREP (L)",VLOOKUP(LEFT($A536,6),'Data Feed (20C)'!$A$1:$G$10,4,FALSE),IF(A536="PROREP (S)", INDEX('Data Feed (20C)'!D:D, MATCH(LEFT($A536,6), 'Data Feed (20C)'!$A$1:$A$10, 0) + 1, +1), VLOOKUP($A536,'Data Feed (20C)'!$A$1:$G$10,4,FALSE))))</f>
        <v>20C</v>
      </c>
      <c r="E536" s="6">
        <f t="array" ref="E536">IF(ISBLANK(A536),"",IF(A536="PROREP (L)",VLOOKUP(LEFT($A536,6),'Data Feed (20C)'!$A$1:$G$10,7,FALSE),IF(A536="PROREP (S)", INDEX('Data Feed (20C)'!G:G, MATCH(LEFT($A536,6), 'Data Feed (20C)'!$A$1:$A$10, 0) + 1, +1), VLOOKUP($A536,'Data Feed (20C)'!$A$1:$G$10,7,FALSE))))</f>
        <v>1</v>
      </c>
      <c r="F536" s="7">
        <v>45483.575</v>
      </c>
      <c r="G536" s="8">
        <v>1.931</v>
      </c>
    </row>
    <row r="537">
      <c r="A537" s="9" t="str">
        <f t="shared" ref="A537:A541" si="625">A536</f>
        <v>PROREP (S)</v>
      </c>
      <c r="B537" s="9" t="str">
        <f>IF(ISBLANK(A536),"",LEFT(B536,27)&amp;VALUE(RIGHT(B536,1)+1))</f>
        <v>JKS240702PROREP_20C_sample_2</v>
      </c>
      <c r="C537" s="6" t="str">
        <f t="shared" ref="C537:D537" si="624">C536</f>
        <v>Protea repens</v>
      </c>
      <c r="D537" s="6" t="str">
        <f t="shared" si="624"/>
        <v>20C</v>
      </c>
      <c r="E537" s="10">
        <f>IF(ISBLANK(A536),"",E536+1)</f>
        <v>2</v>
      </c>
      <c r="F537" s="11">
        <f t="shared" ref="F537:F541" si="627">F536</f>
        <v>45483.575</v>
      </c>
      <c r="G537" s="8">
        <v>9.04</v>
      </c>
    </row>
    <row r="538">
      <c r="A538" s="9" t="str">
        <f t="shared" si="625"/>
        <v>PROREP (S)</v>
      </c>
      <c r="B538" s="9" t="str">
        <f>IF(ISBLANK(A536),"",LEFT(B537,27)&amp;VALUE(RIGHT(B537,1)+1))</f>
        <v>JKS240702PROREP_20C_sample_3</v>
      </c>
      <c r="C538" s="6" t="str">
        <f t="shared" ref="C538:D538" si="626">C537</f>
        <v>Protea repens</v>
      </c>
      <c r="D538" s="6" t="str">
        <f t="shared" si="626"/>
        <v>20C</v>
      </c>
      <c r="E538" s="10">
        <f>IF(ISBLANK(A536),"",E537+1)</f>
        <v>3</v>
      </c>
      <c r="F538" s="11">
        <f t="shared" si="627"/>
        <v>45483.575</v>
      </c>
      <c r="G538" s="8">
        <v>8.277</v>
      </c>
    </row>
    <row r="539">
      <c r="A539" s="9" t="str">
        <f t="shared" si="625"/>
        <v>PROREP (S)</v>
      </c>
      <c r="B539" s="9" t="str">
        <f>IF(ISBLANK(A536),"",LEFT(B538,27)&amp;VALUE(RIGHT(B538,1)+1))</f>
        <v>JKS240702PROREP_20C_sample_4</v>
      </c>
      <c r="C539" s="6" t="str">
        <f t="shared" ref="C539:D539" si="628">C538</f>
        <v>Protea repens</v>
      </c>
      <c r="D539" s="6" t="str">
        <f t="shared" si="628"/>
        <v>20C</v>
      </c>
      <c r="E539" s="10">
        <f>IF(ISBLANK(A536),"",E538+1)</f>
        <v>4</v>
      </c>
      <c r="F539" s="11">
        <f t="shared" si="627"/>
        <v>45483.575</v>
      </c>
      <c r="G539" s="8">
        <v>4.032</v>
      </c>
    </row>
    <row r="540">
      <c r="A540" s="9" t="str">
        <f t="shared" si="625"/>
        <v>PROREP (S)</v>
      </c>
      <c r="B540" s="9" t="str">
        <f>IF(ISBLANK(A536),"",LEFT(B539,27)&amp;VALUE(RIGHT(B539,1)+1))</f>
        <v>JKS240702PROREP_20C_sample_5</v>
      </c>
      <c r="C540" s="6" t="str">
        <f t="shared" ref="C540:D540" si="629">C539</f>
        <v>Protea repens</v>
      </c>
      <c r="D540" s="6" t="str">
        <f t="shared" si="629"/>
        <v>20C</v>
      </c>
      <c r="E540" s="10">
        <f>IF(ISBLANK(A536),"",E539+1)</f>
        <v>5</v>
      </c>
      <c r="F540" s="11">
        <f t="shared" si="627"/>
        <v>45483.575</v>
      </c>
      <c r="G540" s="8">
        <v>4.122</v>
      </c>
    </row>
    <row r="541">
      <c r="A541" s="12" t="str">
        <f t="shared" si="625"/>
        <v>PROREP (S)</v>
      </c>
      <c r="B541" s="12" t="str">
        <f>IF(ISBLANK(A536),"",LEFT(B540,27)&amp;VALUE(RIGHT(B540,1)+1))</f>
        <v>JKS240702PROREP_20C_sample_6</v>
      </c>
      <c r="C541" s="13" t="str">
        <f t="shared" ref="C541:D541" si="630">C540</f>
        <v>Protea repens</v>
      </c>
      <c r="D541" s="13" t="str">
        <f t="shared" si="630"/>
        <v>20C</v>
      </c>
      <c r="E541" s="14">
        <f>IF(ISBLANK(A536),"",E540+1)</f>
        <v>6</v>
      </c>
      <c r="F541" s="15">
        <f t="shared" si="627"/>
        <v>45483.575</v>
      </c>
      <c r="G541" s="16">
        <v>16.803</v>
      </c>
    </row>
    <row r="542">
      <c r="A542" s="5" t="s">
        <v>10</v>
      </c>
      <c r="B542" s="6" t="str">
        <f t="array" ref="B542">IF(ISBLANK(A542),"",IF(A542="PROREP (L)",VLOOKUP(LEFT($A542,6),'Data Feed (20C)'!$A$1:$G$10,2,FALSE),IF(A542="PROREP (S)", INDEX('Data Feed (20C)'!B:B, MATCH(LEFT($A542,6), 'Data Feed (20C)'!$A$1:$A$10, 0) + 1), VLOOKUP($A542,'Data Feed (20C)'!$A$1:$G$10,2,FALSE))))</f>
        <v>JKS240702CANCON_20C_sample_1</v>
      </c>
      <c r="C542" s="6" t="str">
        <f t="array" ref="C542">IF(ISBLANK(A542),"",IF(A542="PROREP (L)",VLOOKUP(LEFT($A542,6),'Data Feed (20C)'!$A$1:$G$10,3,FALSE),IF(A542="PROREP (S)", INDEX('Data Feed (20C)'!C:C, MATCH(LEFT($A542,6), 'Data Feed (20C)'!$A$1:$A$10, 0) + 1, +1), VLOOKUP($A542,'Data Feed (20C)'!$A$1:$G$10,3,FALSE))))</f>
        <v>Cannomois congesta</v>
      </c>
      <c r="D542" s="6" t="str">
        <f t="array" ref="D542">IF(ISBLANK(A542),"",IF(A542="PROREP (L)",VLOOKUP(LEFT($A542,6),'Data Feed (20C)'!$A$1:$G$10,4,FALSE),IF(A542="PROREP (S)", INDEX('Data Feed (20C)'!D:D, MATCH(LEFT($A542,6), 'Data Feed (20C)'!$A$1:$A$10, 0) + 1, +1), VLOOKUP($A542,'Data Feed (20C)'!$A$1:$G$10,4,FALSE))))</f>
        <v>20C</v>
      </c>
      <c r="E542" s="6">
        <f t="array" ref="E542">IF(ISBLANK(A542),"",IF(A542="PROREP (L)",VLOOKUP(LEFT($A542,6),'Data Feed (20C)'!$A$1:$G$10,7,FALSE),IF(A542="PROREP (S)", INDEX('Data Feed (20C)'!G:G, MATCH(LEFT($A542,6), 'Data Feed (20C)'!$A$1:$A$10, 0) + 1, +1), VLOOKUP($A542,'Data Feed (20C)'!$A$1:$G$10,7,FALSE))))</f>
        <v>1</v>
      </c>
      <c r="F542" s="7">
        <v>45483.57638888889</v>
      </c>
      <c r="G542" s="8">
        <v>1.214</v>
      </c>
    </row>
    <row r="543">
      <c r="A543" s="9" t="str">
        <f t="shared" ref="A543:A547" si="632">A542</f>
        <v>CANCON</v>
      </c>
      <c r="B543" s="9" t="str">
        <f>IF(ISBLANK(A542),"",LEFT(B542,27)&amp;VALUE(RIGHT(B542,1)+1))</f>
        <v>JKS240702CANCON_20C_sample_2</v>
      </c>
      <c r="C543" s="6" t="str">
        <f t="shared" ref="C543:D543" si="631">C542</f>
        <v>Cannomois congesta</v>
      </c>
      <c r="D543" s="6" t="str">
        <f t="shared" si="631"/>
        <v>20C</v>
      </c>
      <c r="E543" s="10">
        <f>IF(ISBLANK(A542),"",E542+1)</f>
        <v>2</v>
      </c>
      <c r="F543" s="11">
        <f t="shared" ref="F543:F547" si="634">F542</f>
        <v>45483.57639</v>
      </c>
      <c r="G543" s="8">
        <v>1.509</v>
      </c>
    </row>
    <row r="544">
      <c r="A544" s="9" t="str">
        <f t="shared" si="632"/>
        <v>CANCON</v>
      </c>
      <c r="B544" s="9" t="str">
        <f>IF(ISBLANK(A542),"",LEFT(B543,27)&amp;VALUE(RIGHT(B543,1)+1))</f>
        <v>JKS240702CANCON_20C_sample_3</v>
      </c>
      <c r="C544" s="6" t="str">
        <f t="shared" ref="C544:D544" si="633">C543</f>
        <v>Cannomois congesta</v>
      </c>
      <c r="D544" s="6" t="str">
        <f t="shared" si="633"/>
        <v>20C</v>
      </c>
      <c r="E544" s="10">
        <f>IF(ISBLANK(A542),"",E543+1)</f>
        <v>3</v>
      </c>
      <c r="F544" s="11">
        <f t="shared" si="634"/>
        <v>45483.57639</v>
      </c>
      <c r="G544" s="8">
        <v>0.765</v>
      </c>
    </row>
    <row r="545">
      <c r="A545" s="9" t="str">
        <f t="shared" si="632"/>
        <v>CANCON</v>
      </c>
      <c r="B545" s="9" t="str">
        <f>IF(ISBLANK(A542),"",LEFT(B544,27)&amp;VALUE(RIGHT(B544,1)+1))</f>
        <v>JKS240702CANCON_20C_sample_4</v>
      </c>
      <c r="C545" s="6" t="str">
        <f t="shared" ref="C545:D545" si="635">C544</f>
        <v>Cannomois congesta</v>
      </c>
      <c r="D545" s="6" t="str">
        <f t="shared" si="635"/>
        <v>20C</v>
      </c>
      <c r="E545" s="10">
        <f>IF(ISBLANK(A542),"",E544+1)</f>
        <v>4</v>
      </c>
      <c r="F545" s="11">
        <f t="shared" si="634"/>
        <v>45483.57639</v>
      </c>
      <c r="G545" s="8">
        <v>1.283</v>
      </c>
    </row>
    <row r="546">
      <c r="A546" s="9" t="str">
        <f t="shared" si="632"/>
        <v>CANCON</v>
      </c>
      <c r="B546" s="9" t="str">
        <f>IF(ISBLANK(A542),"",LEFT(B545,27)&amp;VALUE(RIGHT(B545,1)+1))</f>
        <v>JKS240702CANCON_20C_sample_5</v>
      </c>
      <c r="C546" s="6" t="str">
        <f t="shared" ref="C546:D546" si="636">C545</f>
        <v>Cannomois congesta</v>
      </c>
      <c r="D546" s="6" t="str">
        <f t="shared" si="636"/>
        <v>20C</v>
      </c>
      <c r="E546" s="10">
        <f>IF(ISBLANK(A542),"",E545+1)</f>
        <v>5</v>
      </c>
      <c r="F546" s="11">
        <f t="shared" si="634"/>
        <v>45483.57639</v>
      </c>
      <c r="G546" s="8">
        <v>1.509</v>
      </c>
    </row>
    <row r="547">
      <c r="A547" s="12" t="str">
        <f t="shared" si="632"/>
        <v>CANCON</v>
      </c>
      <c r="B547" s="12" t="str">
        <f>IF(ISBLANK(A542),"",LEFT(B546,27)&amp;VALUE(RIGHT(B546,1)+1))</f>
        <v>JKS240702CANCON_20C_sample_6</v>
      </c>
      <c r="C547" s="13" t="str">
        <f t="shared" ref="C547:D547" si="637">C546</f>
        <v>Cannomois congesta</v>
      </c>
      <c r="D547" s="13" t="str">
        <f t="shared" si="637"/>
        <v>20C</v>
      </c>
      <c r="E547" s="14">
        <f>IF(ISBLANK(A542),"",E546+1)</f>
        <v>6</v>
      </c>
      <c r="F547" s="15">
        <f t="shared" si="634"/>
        <v>45483.57639</v>
      </c>
      <c r="G547" s="16">
        <v>1.132</v>
      </c>
    </row>
    <row r="548">
      <c r="A548" s="5" t="s">
        <v>8</v>
      </c>
      <c r="B548" s="6" t="str">
        <f t="array" ref="B548">IF(ISBLANK(A548),"",IF(A548="PROREP (L)",VLOOKUP(LEFT($A548,6),'Data Feed (20C)'!$A$1:$G$10,2,FALSE),IF(A548="PROREP (S)", INDEX('Data Feed (20C)'!B:B, MATCH(LEFT($A548,6), 'Data Feed (20C)'!$A$1:$A$10, 0) + 1), VLOOKUP($A548,'Data Feed (20C)'!$A$1:$G$10,2,FALSE))))</f>
        <v>JKL240702PROREP_20C_sample_1</v>
      </c>
      <c r="C548" s="6" t="str">
        <f t="array" ref="C548">IF(ISBLANK(A548),"",IF(A548="PROREP (L)",VLOOKUP(LEFT($A548,6),'Data Feed (20C)'!$A$1:$G$10,3,FALSE),IF(A548="PROREP (S)", INDEX('Data Feed (20C)'!C:C, MATCH(LEFT($A548,6), 'Data Feed (20C)'!$A$1:$A$10, 0) + 1, +1), VLOOKUP($A548,'Data Feed (20C)'!$A$1:$G$10,3,FALSE))))</f>
        <v>Protea repens</v>
      </c>
      <c r="D548" s="6" t="str">
        <f t="array" ref="D548">IF(ISBLANK(A548),"",IF(A548="PROREP (L)",VLOOKUP(LEFT($A548,6),'Data Feed (20C)'!$A$1:$G$10,4,FALSE),IF(A548="PROREP (S)", INDEX('Data Feed (20C)'!D:D, MATCH(LEFT($A548,6), 'Data Feed (20C)'!$A$1:$A$10, 0) + 1, +1), VLOOKUP($A548,'Data Feed (20C)'!$A$1:$G$10,4,FALSE))))</f>
        <v>20C</v>
      </c>
      <c r="E548" s="6">
        <f t="array" ref="E548">IF(ISBLANK(A548),"",IF(A548="PROREP (L)",VLOOKUP(LEFT($A548,6),'Data Feed (20C)'!$A$1:$G$10,7,FALSE),IF(A548="PROREP (S)", INDEX('Data Feed (20C)'!G:G, MATCH(LEFT($A548,6), 'Data Feed (20C)'!$A$1:$A$10, 0) + 1, +1), VLOOKUP($A548,'Data Feed (20C)'!$A$1:$G$10,7,FALSE))))</f>
        <v>1</v>
      </c>
      <c r="F548" s="7">
        <v>45485.61666666667</v>
      </c>
      <c r="G548" s="8">
        <v>0.3</v>
      </c>
    </row>
    <row r="549">
      <c r="A549" s="9" t="str">
        <f t="shared" ref="A549:A553" si="639">A548</f>
        <v>PROREP (L)</v>
      </c>
      <c r="B549" s="9" t="str">
        <f>IF(ISBLANK(A548),"",LEFT(B548,27)&amp;VALUE(RIGHT(B548,1)+1))</f>
        <v>JKL240702PROREP_20C_sample_2</v>
      </c>
      <c r="C549" s="6" t="str">
        <f t="shared" ref="C549:D549" si="638">C548</f>
        <v>Protea repens</v>
      </c>
      <c r="D549" s="6" t="str">
        <f t="shared" si="638"/>
        <v>20C</v>
      </c>
      <c r="E549" s="10">
        <f>IF(ISBLANK(A548),"",E548+1)</f>
        <v>2</v>
      </c>
      <c r="F549" s="11">
        <f t="shared" ref="F549:F553" si="641">F548</f>
        <v>45485.61667</v>
      </c>
      <c r="G549" s="8">
        <v>0.236</v>
      </c>
    </row>
    <row r="550">
      <c r="A550" s="9" t="str">
        <f t="shared" si="639"/>
        <v>PROREP (L)</v>
      </c>
      <c r="B550" s="9" t="str">
        <f>IF(ISBLANK(A548),"",LEFT(B549,27)&amp;VALUE(RIGHT(B549,1)+1))</f>
        <v>JKL240702PROREP_20C_sample_3</v>
      </c>
      <c r="C550" s="6" t="str">
        <f t="shared" ref="C550:D550" si="640">C549</f>
        <v>Protea repens</v>
      </c>
      <c r="D550" s="6" t="str">
        <f t="shared" si="640"/>
        <v>20C</v>
      </c>
      <c r="E550" s="10">
        <f>IF(ISBLANK(A548),"",E549+1)</f>
        <v>3</v>
      </c>
      <c r="F550" s="11">
        <f t="shared" si="641"/>
        <v>45485.61667</v>
      </c>
      <c r="G550" s="8">
        <v>0.342</v>
      </c>
    </row>
    <row r="551">
      <c r="A551" s="9" t="str">
        <f t="shared" si="639"/>
        <v>PROREP (L)</v>
      </c>
      <c r="B551" s="9" t="str">
        <f>IF(ISBLANK(A548),"",LEFT(B550,27)&amp;VALUE(RIGHT(B550,1)+1))</f>
        <v>JKL240702PROREP_20C_sample_4</v>
      </c>
      <c r="C551" s="6" t="str">
        <f t="shared" ref="C551:D551" si="642">C550</f>
        <v>Protea repens</v>
      </c>
      <c r="D551" s="6" t="str">
        <f t="shared" si="642"/>
        <v>20C</v>
      </c>
      <c r="E551" s="10">
        <f>IF(ISBLANK(A548),"",E550+1)</f>
        <v>4</v>
      </c>
      <c r="F551" s="11">
        <f t="shared" si="641"/>
        <v>45485.61667</v>
      </c>
      <c r="G551" s="8">
        <v>0.193</v>
      </c>
    </row>
    <row r="552">
      <c r="A552" s="9" t="str">
        <f t="shared" si="639"/>
        <v>PROREP (L)</v>
      </c>
      <c r="B552" s="9" t="str">
        <f>IF(ISBLANK(A548),"",LEFT(B551,27)&amp;VALUE(RIGHT(B551,1)+1))</f>
        <v>JKL240702PROREP_20C_sample_5</v>
      </c>
      <c r="C552" s="6" t="str">
        <f t="shared" ref="C552:D552" si="643">C551</f>
        <v>Protea repens</v>
      </c>
      <c r="D552" s="6" t="str">
        <f t="shared" si="643"/>
        <v>20C</v>
      </c>
      <c r="E552" s="10">
        <f>IF(ISBLANK(A548),"",E551+1)</f>
        <v>5</v>
      </c>
      <c r="F552" s="11">
        <f t="shared" si="641"/>
        <v>45485.61667</v>
      </c>
      <c r="G552" s="8">
        <v>0.279</v>
      </c>
    </row>
    <row r="553">
      <c r="A553" s="12" t="str">
        <f t="shared" si="639"/>
        <v>PROREP (L)</v>
      </c>
      <c r="B553" s="12" t="str">
        <f>IF(ISBLANK(A548),"",LEFT(B552,27)&amp;VALUE(RIGHT(B552,1)+1))</f>
        <v>JKL240702PROREP_20C_sample_6</v>
      </c>
      <c r="C553" s="13" t="str">
        <f t="shared" ref="C553:D553" si="644">C552</f>
        <v>Protea repens</v>
      </c>
      <c r="D553" s="13" t="str">
        <f t="shared" si="644"/>
        <v>20C</v>
      </c>
      <c r="E553" s="14">
        <f>IF(ISBLANK(A548),"",E552+1)</f>
        <v>6</v>
      </c>
      <c r="F553" s="15">
        <f t="shared" si="641"/>
        <v>45485.61667</v>
      </c>
      <c r="G553" s="16">
        <v>0.223</v>
      </c>
    </row>
    <row r="554">
      <c r="A554" s="5" t="s">
        <v>9</v>
      </c>
      <c r="B554" s="6" t="str">
        <f t="array" ref="B554">IF(ISBLANK(A554),"",IF(A554="PROREP (L)",VLOOKUP(LEFT($A554,6),'Data Feed (20C)'!$A$1:$G$10,2,FALSE),IF(A554="PROREP (S)", INDEX('Data Feed (20C)'!B:B, MATCH(LEFT($A554,6), 'Data Feed (20C)'!$A$1:$A$10, 0) + 1), VLOOKUP($A554,'Data Feed (20C)'!$A$1:$G$10,2,FALSE))))</f>
        <v>JKS240702PROREP_20C_sample_1</v>
      </c>
      <c r="C554" s="6" t="str">
        <f t="array" ref="C554">IF(ISBLANK(A554),"",IF(A554="PROREP (L)",VLOOKUP(LEFT($A554,6),'Data Feed (20C)'!$A$1:$G$10,3,FALSE),IF(A554="PROREP (S)", INDEX('Data Feed (20C)'!C:C, MATCH(LEFT($A554,6), 'Data Feed (20C)'!$A$1:$A$10, 0) + 1, +1), VLOOKUP($A554,'Data Feed (20C)'!$A$1:$G$10,3,FALSE))))</f>
        <v>Protea repens</v>
      </c>
      <c r="D554" s="6" t="str">
        <f t="array" ref="D554">IF(ISBLANK(A554),"",IF(A554="PROREP (L)",VLOOKUP(LEFT($A554,6),'Data Feed (20C)'!$A$1:$G$10,4,FALSE),IF(A554="PROREP (S)", INDEX('Data Feed (20C)'!D:D, MATCH(LEFT($A554,6), 'Data Feed (20C)'!$A$1:$A$10, 0) + 1, +1), VLOOKUP($A554,'Data Feed (20C)'!$A$1:$G$10,4,FALSE))))</f>
        <v>20C</v>
      </c>
      <c r="E554" s="6">
        <f t="array" ref="E554">IF(ISBLANK(A554),"",IF(A554="PROREP (L)",VLOOKUP(LEFT($A554,6),'Data Feed (20C)'!$A$1:$G$10,7,FALSE),IF(A554="PROREP (S)", INDEX('Data Feed (20C)'!G:G, MATCH(LEFT($A554,6), 'Data Feed (20C)'!$A$1:$A$10, 0) + 1, +1), VLOOKUP($A554,'Data Feed (20C)'!$A$1:$G$10,7,FALSE))))</f>
        <v>1</v>
      </c>
      <c r="F554" s="7">
        <v>45485.61875</v>
      </c>
      <c r="G554" s="8">
        <v>1.891</v>
      </c>
    </row>
    <row r="555">
      <c r="A555" s="9" t="str">
        <f t="shared" ref="A555:A559" si="646">A554</f>
        <v>PROREP (S)</v>
      </c>
      <c r="B555" s="9" t="str">
        <f>IF(ISBLANK(A554),"",LEFT(B554,27)&amp;VALUE(RIGHT(B554,1)+1))</f>
        <v>JKS240702PROREP_20C_sample_2</v>
      </c>
      <c r="C555" s="6" t="str">
        <f t="shared" ref="C555:D555" si="645">C554</f>
        <v>Protea repens</v>
      </c>
      <c r="D555" s="6" t="str">
        <f t="shared" si="645"/>
        <v>20C</v>
      </c>
      <c r="E555" s="10">
        <f>IF(ISBLANK(A554),"",E554+1)</f>
        <v>2</v>
      </c>
      <c r="F555" s="11">
        <f t="shared" ref="F555:F559" si="648">F554</f>
        <v>45485.61875</v>
      </c>
      <c r="G555" s="8">
        <v>7.413</v>
      </c>
    </row>
    <row r="556">
      <c r="A556" s="9" t="str">
        <f t="shared" si="646"/>
        <v>PROREP (S)</v>
      </c>
      <c r="B556" s="9" t="str">
        <f>IF(ISBLANK(A554),"",LEFT(B555,27)&amp;VALUE(RIGHT(B555,1)+1))</f>
        <v>JKS240702PROREP_20C_sample_3</v>
      </c>
      <c r="C556" s="6" t="str">
        <f t="shared" ref="C556:D556" si="647">C555</f>
        <v>Protea repens</v>
      </c>
      <c r="D556" s="6" t="str">
        <f t="shared" si="647"/>
        <v>20C</v>
      </c>
      <c r="E556" s="10">
        <f>IF(ISBLANK(A554),"",E555+1)</f>
        <v>3</v>
      </c>
      <c r="F556" s="11">
        <f t="shared" si="648"/>
        <v>45485.61875</v>
      </c>
      <c r="G556" s="8">
        <v>8.194</v>
      </c>
    </row>
    <row r="557">
      <c r="A557" s="9" t="str">
        <f t="shared" si="646"/>
        <v>PROREP (S)</v>
      </c>
      <c r="B557" s="9" t="str">
        <f>IF(ISBLANK(A554),"",LEFT(B556,27)&amp;VALUE(RIGHT(B556,1)+1))</f>
        <v>JKS240702PROREP_20C_sample_4</v>
      </c>
      <c r="C557" s="6" t="str">
        <f t="shared" ref="C557:D557" si="649">C556</f>
        <v>Protea repens</v>
      </c>
      <c r="D557" s="6" t="str">
        <f t="shared" si="649"/>
        <v>20C</v>
      </c>
      <c r="E557" s="10">
        <f>IF(ISBLANK(A554),"",E556+1)</f>
        <v>4</v>
      </c>
      <c r="F557" s="11">
        <f t="shared" si="648"/>
        <v>45485.61875</v>
      </c>
      <c r="G557" s="8">
        <v>3.952</v>
      </c>
    </row>
    <row r="558">
      <c r="A558" s="9" t="str">
        <f t="shared" si="646"/>
        <v>PROREP (S)</v>
      </c>
      <c r="B558" s="9" t="str">
        <f>IF(ISBLANK(A554),"",LEFT(B557,27)&amp;VALUE(RIGHT(B557,1)+1))</f>
        <v>JKS240702PROREP_20C_sample_5</v>
      </c>
      <c r="C558" s="6" t="str">
        <f t="shared" ref="C558:D558" si="650">C557</f>
        <v>Protea repens</v>
      </c>
      <c r="D558" s="6" t="str">
        <f t="shared" si="650"/>
        <v>20C</v>
      </c>
      <c r="E558" s="10">
        <f>IF(ISBLANK(A554),"",E557+1)</f>
        <v>5</v>
      </c>
      <c r="F558" s="11">
        <f t="shared" si="648"/>
        <v>45485.61875</v>
      </c>
      <c r="G558" s="8">
        <v>3.54</v>
      </c>
    </row>
    <row r="559">
      <c r="A559" s="12" t="str">
        <f t="shared" si="646"/>
        <v>PROREP (S)</v>
      </c>
      <c r="B559" s="12" t="str">
        <f>IF(ISBLANK(A554),"",LEFT(B558,27)&amp;VALUE(RIGHT(B558,1)+1))</f>
        <v>JKS240702PROREP_20C_sample_6</v>
      </c>
      <c r="C559" s="13" t="str">
        <f t="shared" ref="C559:D559" si="651">C558</f>
        <v>Protea repens</v>
      </c>
      <c r="D559" s="13" t="str">
        <f t="shared" si="651"/>
        <v>20C</v>
      </c>
      <c r="E559" s="14">
        <f>IF(ISBLANK(A554),"",E558+1)</f>
        <v>6</v>
      </c>
      <c r="F559" s="15">
        <f t="shared" si="648"/>
        <v>45485.61875</v>
      </c>
      <c r="G559" s="16">
        <v>14.441</v>
      </c>
    </row>
    <row r="560">
      <c r="A560" s="5"/>
      <c r="B560" s="6" t="str">
        <f t="array" ref="B560">IF(ISBLANK(A560),"",IF(A560="PROREP (L)",VLOOKUP(LEFT($A560,6),'Data Feed (20C)'!$A$1:$G$10,2,FALSE),IF(A560="PROREP (S)", INDEX('Data Feed (20C)'!B:B, MATCH(LEFT($A560,6), 'Data Feed (20C)'!$A$1:$A$10, 0) + 1), VLOOKUP($A560,'Data Feed (20C)'!$A$1:$G$10,2,FALSE))))</f>
        <v/>
      </c>
      <c r="C560" s="6" t="str">
        <f t="array" ref="C560">IF(ISBLANK(A560),"",IF(A560="PROREP (L)",VLOOKUP(LEFT($A560,6),'Data Feed (20C)'!$A$1:$G$10,3,FALSE),IF(A560="PROREP (S)", INDEX('Data Feed (20C)'!C:C, MATCH(LEFT($A560,6), 'Data Feed (20C)'!$A$1:$A$10, 0) + 1, +1), VLOOKUP($A560,'Data Feed (20C)'!$A$1:$G$10,3,FALSE))))</f>
        <v/>
      </c>
      <c r="D560" s="6" t="str">
        <f t="array" ref="D560">IF(ISBLANK(A560),"",IF(A560="PROREP (L)",VLOOKUP(LEFT($A560,6),'Data Feed (20C)'!$A$1:$G$10,4,FALSE),IF(A560="PROREP (S)", INDEX('Data Feed (20C)'!D:D, MATCH(LEFT($A560,6), 'Data Feed (20C)'!$A$1:$A$10, 0) + 1, +1), VLOOKUP($A560,'Data Feed (20C)'!$A$1:$G$10,4,FALSE))))</f>
        <v/>
      </c>
      <c r="E560" s="6" t="str">
        <f t="array" ref="E560">IF(ISBLANK(A560),"",IF(A560="PROREP (L)",VLOOKUP(LEFT($A560,6),'Data Feed (20C)'!$A$1:$G$10,7,FALSE),IF(A560="PROREP (S)", INDEX('Data Feed (20C)'!G:G, MATCH(LEFT($A560,6), 'Data Feed (20C)'!$A$1:$A$10, 0) + 1, +1), VLOOKUP($A560,'Data Feed (20C)'!$A$1:$G$10,7,FALSE))))</f>
        <v/>
      </c>
      <c r="F560" s="7"/>
      <c r="G560" s="8"/>
    </row>
    <row r="561">
      <c r="A561" s="9" t="str">
        <f t="shared" ref="A561:A565" si="653">A560</f>
        <v/>
      </c>
      <c r="B561" s="9" t="str">
        <f>IF(ISBLANK(A560),"",LEFT(B560,27)&amp;VALUE(RIGHT(B560,1)+1))</f>
        <v/>
      </c>
      <c r="C561" s="6" t="str">
        <f t="shared" ref="C561:D561" si="652">C560</f>
        <v/>
      </c>
      <c r="D561" s="6" t="str">
        <f t="shared" si="652"/>
        <v/>
      </c>
      <c r="E561" s="10" t="str">
        <f>IF(ISBLANK(A560),"",E560+1)</f>
        <v/>
      </c>
      <c r="F561" s="11" t="str">
        <f t="shared" ref="F561:F565" si="655">F560</f>
        <v/>
      </c>
      <c r="G561" s="8"/>
    </row>
    <row r="562">
      <c r="A562" s="9" t="str">
        <f t="shared" si="653"/>
        <v/>
      </c>
      <c r="B562" s="9" t="str">
        <f>IF(ISBLANK(A560),"",LEFT(B561,27)&amp;VALUE(RIGHT(B561,1)+1))</f>
        <v/>
      </c>
      <c r="C562" s="6" t="str">
        <f t="shared" ref="C562:D562" si="654">C561</f>
        <v/>
      </c>
      <c r="D562" s="6" t="str">
        <f t="shared" si="654"/>
        <v/>
      </c>
      <c r="E562" s="10" t="str">
        <f>IF(ISBLANK(A560),"",E561+1)</f>
        <v/>
      </c>
      <c r="F562" s="11" t="str">
        <f t="shared" si="655"/>
        <v/>
      </c>
      <c r="G562" s="8"/>
    </row>
    <row r="563">
      <c r="A563" s="9" t="str">
        <f t="shared" si="653"/>
        <v/>
      </c>
      <c r="B563" s="9" t="str">
        <f>IF(ISBLANK(A560),"",LEFT(B562,27)&amp;VALUE(RIGHT(B562,1)+1))</f>
        <v/>
      </c>
      <c r="C563" s="6" t="str">
        <f t="shared" ref="C563:D563" si="656">C562</f>
        <v/>
      </c>
      <c r="D563" s="6" t="str">
        <f t="shared" si="656"/>
        <v/>
      </c>
      <c r="E563" s="10" t="str">
        <f>IF(ISBLANK(A560),"",E562+1)</f>
        <v/>
      </c>
      <c r="F563" s="11" t="str">
        <f t="shared" si="655"/>
        <v/>
      </c>
      <c r="G563" s="8"/>
    </row>
    <row r="564">
      <c r="A564" s="9" t="str">
        <f t="shared" si="653"/>
        <v/>
      </c>
      <c r="B564" s="9" t="str">
        <f>IF(ISBLANK(A560),"",LEFT(B563,27)&amp;VALUE(RIGHT(B563,1)+1))</f>
        <v/>
      </c>
      <c r="C564" s="6" t="str">
        <f t="shared" ref="C564:D564" si="657">C563</f>
        <v/>
      </c>
      <c r="D564" s="6" t="str">
        <f t="shared" si="657"/>
        <v/>
      </c>
      <c r="E564" s="10" t="str">
        <f>IF(ISBLANK(A560),"",E563+1)</f>
        <v/>
      </c>
      <c r="F564" s="11" t="str">
        <f t="shared" si="655"/>
        <v/>
      </c>
      <c r="G564" s="8"/>
    </row>
    <row r="565">
      <c r="A565" s="12" t="str">
        <f t="shared" si="653"/>
        <v/>
      </c>
      <c r="B565" s="12" t="str">
        <f>IF(ISBLANK(A560),"",LEFT(B564,27)&amp;VALUE(RIGHT(B564,1)+1))</f>
        <v/>
      </c>
      <c r="C565" s="13" t="str">
        <f t="shared" ref="C565:D565" si="658">C564</f>
        <v/>
      </c>
      <c r="D565" s="13" t="str">
        <f t="shared" si="658"/>
        <v/>
      </c>
      <c r="E565" s="14" t="str">
        <f>IF(ISBLANK(A560),"",E564+1)</f>
        <v/>
      </c>
      <c r="F565" s="15" t="str">
        <f t="shared" si="655"/>
        <v/>
      </c>
      <c r="G565" s="16"/>
    </row>
    <row r="566">
      <c r="A566" s="5"/>
      <c r="B566" s="6" t="str">
        <f t="array" ref="B566">IF(ISBLANK(A566),"",IF(A566="PROREP (L)",VLOOKUP(LEFT($A566,6),'Data Feed (20C)'!$A$1:$G$10,2,FALSE),IF(A566="PROREP (S)", INDEX('Data Feed (20C)'!B:B, MATCH(LEFT($A566,6), 'Data Feed (20C)'!$A$1:$A$10, 0) + 1), VLOOKUP($A566,'Data Feed (20C)'!$A$1:$G$10,2,FALSE))))</f>
        <v/>
      </c>
      <c r="C566" s="6" t="str">
        <f t="array" ref="C566">IF(ISBLANK(A566),"",IF(A566="PROREP (L)",VLOOKUP(LEFT($A566,6),'Data Feed (20C)'!$A$1:$G$10,3,FALSE),IF(A566="PROREP (S)", INDEX('Data Feed (20C)'!C:C, MATCH(LEFT($A566,6), 'Data Feed (20C)'!$A$1:$A$10, 0) + 1, +1), VLOOKUP($A566,'Data Feed (20C)'!$A$1:$G$10,3,FALSE))))</f>
        <v/>
      </c>
      <c r="D566" s="6" t="str">
        <f t="array" ref="D566">IF(ISBLANK(A566),"",IF(A566="PROREP (L)",VLOOKUP(LEFT($A566,6),'Data Feed (20C)'!$A$1:$G$10,4,FALSE),IF(A566="PROREP (S)", INDEX('Data Feed (20C)'!D:D, MATCH(LEFT($A566,6), 'Data Feed (20C)'!$A$1:$A$10, 0) + 1, +1), VLOOKUP($A566,'Data Feed (20C)'!$A$1:$G$10,4,FALSE))))</f>
        <v/>
      </c>
      <c r="E566" s="6" t="str">
        <f t="array" ref="E566">IF(ISBLANK(A566),"",IF(A566="PROREP (L)",VLOOKUP(LEFT($A566,6),'Data Feed (20C)'!$A$1:$G$10,7,FALSE),IF(A566="PROREP (S)", INDEX('Data Feed (20C)'!G:G, MATCH(LEFT($A566,6), 'Data Feed (20C)'!$A$1:$A$10, 0) + 1, +1), VLOOKUP($A566,'Data Feed (20C)'!$A$1:$G$10,7,FALSE))))</f>
        <v/>
      </c>
      <c r="F566" s="7"/>
      <c r="G566" s="8"/>
    </row>
    <row r="567">
      <c r="A567" s="9" t="str">
        <f t="shared" ref="A567:A571" si="660">A566</f>
        <v/>
      </c>
      <c r="B567" s="9" t="str">
        <f>IF(ISBLANK(A566),"",LEFT(B566,27)&amp;VALUE(RIGHT(B566,1)+1))</f>
        <v/>
      </c>
      <c r="C567" s="6" t="str">
        <f t="shared" ref="C567:D567" si="659">C566</f>
        <v/>
      </c>
      <c r="D567" s="6" t="str">
        <f t="shared" si="659"/>
        <v/>
      </c>
      <c r="E567" s="10" t="str">
        <f>IF(ISBLANK(A566),"",E566+1)</f>
        <v/>
      </c>
      <c r="F567" s="11" t="str">
        <f t="shared" ref="F567:F571" si="662">F566</f>
        <v/>
      </c>
      <c r="G567" s="8"/>
    </row>
    <row r="568">
      <c r="A568" s="9" t="str">
        <f t="shared" si="660"/>
        <v/>
      </c>
      <c r="B568" s="9" t="str">
        <f>IF(ISBLANK(A566),"",LEFT(B567,27)&amp;VALUE(RIGHT(B567,1)+1))</f>
        <v/>
      </c>
      <c r="C568" s="6" t="str">
        <f t="shared" ref="C568:D568" si="661">C567</f>
        <v/>
      </c>
      <c r="D568" s="6" t="str">
        <f t="shared" si="661"/>
        <v/>
      </c>
      <c r="E568" s="10" t="str">
        <f>IF(ISBLANK(A566),"",E567+1)</f>
        <v/>
      </c>
      <c r="F568" s="11" t="str">
        <f t="shared" si="662"/>
        <v/>
      </c>
      <c r="G568" s="8"/>
    </row>
    <row r="569">
      <c r="A569" s="9" t="str">
        <f t="shared" si="660"/>
        <v/>
      </c>
      <c r="B569" s="9" t="str">
        <f>IF(ISBLANK(A566),"",LEFT(B568,27)&amp;VALUE(RIGHT(B568,1)+1))</f>
        <v/>
      </c>
      <c r="C569" s="6" t="str">
        <f t="shared" ref="C569:D569" si="663">C568</f>
        <v/>
      </c>
      <c r="D569" s="6" t="str">
        <f t="shared" si="663"/>
        <v/>
      </c>
      <c r="E569" s="10" t="str">
        <f>IF(ISBLANK(A566),"",E568+1)</f>
        <v/>
      </c>
      <c r="F569" s="11" t="str">
        <f t="shared" si="662"/>
        <v/>
      </c>
      <c r="G569" s="8"/>
    </row>
    <row r="570">
      <c r="A570" s="9" t="str">
        <f t="shared" si="660"/>
        <v/>
      </c>
      <c r="B570" s="9" t="str">
        <f>IF(ISBLANK(A566),"",LEFT(B569,27)&amp;VALUE(RIGHT(B569,1)+1))</f>
        <v/>
      </c>
      <c r="C570" s="6" t="str">
        <f t="shared" ref="C570:D570" si="664">C569</f>
        <v/>
      </c>
      <c r="D570" s="6" t="str">
        <f t="shared" si="664"/>
        <v/>
      </c>
      <c r="E570" s="10" t="str">
        <f>IF(ISBLANK(A566),"",E569+1)</f>
        <v/>
      </c>
      <c r="F570" s="11" t="str">
        <f t="shared" si="662"/>
        <v/>
      </c>
      <c r="G570" s="8"/>
    </row>
    <row r="571">
      <c r="A571" s="12" t="str">
        <f t="shared" si="660"/>
        <v/>
      </c>
      <c r="B571" s="12" t="str">
        <f>IF(ISBLANK(A566),"",LEFT(B570,27)&amp;VALUE(RIGHT(B570,1)+1))</f>
        <v/>
      </c>
      <c r="C571" s="13" t="str">
        <f t="shared" ref="C571:D571" si="665">C570</f>
        <v/>
      </c>
      <c r="D571" s="13" t="str">
        <f t="shared" si="665"/>
        <v/>
      </c>
      <c r="E571" s="14" t="str">
        <f>IF(ISBLANK(A566),"",E570+1)</f>
        <v/>
      </c>
      <c r="F571" s="15" t="str">
        <f t="shared" si="662"/>
        <v/>
      </c>
      <c r="G571" s="16"/>
    </row>
    <row r="572">
      <c r="A572" s="5"/>
      <c r="B572" s="6" t="str">
        <f t="array" ref="B572">IF(ISBLANK(A572),"",IF(A572="PROREP (L)",VLOOKUP(LEFT($A572,6),'Data Feed (20C)'!$A$1:$G$10,2,FALSE),IF(A572="PROREP (S)", INDEX('Data Feed (20C)'!B:B, MATCH(LEFT($A572,6), 'Data Feed (20C)'!$A$1:$A$10, 0) + 1), VLOOKUP($A572,'Data Feed (20C)'!$A$1:$G$10,2,FALSE))))</f>
        <v/>
      </c>
      <c r="C572" s="6" t="str">
        <f t="array" ref="C572">IF(ISBLANK(A572),"",IF(A572="PROREP (L)",VLOOKUP(LEFT($A572,6),'Data Feed (20C)'!$A$1:$G$10,3,FALSE),IF(A572="PROREP (S)", INDEX('Data Feed (20C)'!C:C, MATCH(LEFT($A572,6), 'Data Feed (20C)'!$A$1:$A$10, 0) + 1, +1), VLOOKUP($A572,'Data Feed (20C)'!$A$1:$G$10,3,FALSE))))</f>
        <v/>
      </c>
      <c r="D572" s="6" t="str">
        <f t="array" ref="D572">IF(ISBLANK(A572),"",IF(A572="PROREP (L)",VLOOKUP(LEFT($A572,6),'Data Feed (20C)'!$A$1:$G$10,4,FALSE),IF(A572="PROREP (S)", INDEX('Data Feed (20C)'!D:D, MATCH(LEFT($A572,6), 'Data Feed (20C)'!$A$1:$A$10, 0) + 1, +1), VLOOKUP($A572,'Data Feed (20C)'!$A$1:$G$10,4,FALSE))))</f>
        <v/>
      </c>
      <c r="E572" s="6" t="str">
        <f t="array" ref="E572">IF(ISBLANK(A572),"",IF(A572="PROREP (L)",VLOOKUP(LEFT($A572,6),'Data Feed (20C)'!$A$1:$G$10,7,FALSE),IF(A572="PROREP (S)", INDEX('Data Feed (20C)'!G:G, MATCH(LEFT($A572,6), 'Data Feed (20C)'!$A$1:$A$10, 0) + 1, +1), VLOOKUP($A572,'Data Feed (20C)'!$A$1:$G$10,7,FALSE))))</f>
        <v/>
      </c>
      <c r="F572" s="7"/>
      <c r="G572" s="8"/>
    </row>
    <row r="573">
      <c r="A573" s="9" t="str">
        <f t="shared" ref="A573:A577" si="667">A572</f>
        <v/>
      </c>
      <c r="B573" s="9" t="str">
        <f>IF(ISBLANK(A572),"",LEFT(B572,27)&amp;VALUE(RIGHT(B572,1)+1))</f>
        <v/>
      </c>
      <c r="C573" s="6" t="str">
        <f t="shared" ref="C573:D573" si="666">C572</f>
        <v/>
      </c>
      <c r="D573" s="6" t="str">
        <f t="shared" si="666"/>
        <v/>
      </c>
      <c r="E573" s="10" t="str">
        <f>IF(ISBLANK(A572),"",E572+1)</f>
        <v/>
      </c>
      <c r="F573" s="11" t="str">
        <f t="shared" ref="F573:F577" si="669">F572</f>
        <v/>
      </c>
      <c r="G573" s="8"/>
    </row>
    <row r="574">
      <c r="A574" s="9" t="str">
        <f t="shared" si="667"/>
        <v/>
      </c>
      <c r="B574" s="9" t="str">
        <f>IF(ISBLANK(A572),"",LEFT(B573,27)&amp;VALUE(RIGHT(B573,1)+1))</f>
        <v/>
      </c>
      <c r="C574" s="6" t="str">
        <f t="shared" ref="C574:D574" si="668">C573</f>
        <v/>
      </c>
      <c r="D574" s="6" t="str">
        <f t="shared" si="668"/>
        <v/>
      </c>
      <c r="E574" s="10" t="str">
        <f>IF(ISBLANK(A572),"",E573+1)</f>
        <v/>
      </c>
      <c r="F574" s="11" t="str">
        <f t="shared" si="669"/>
        <v/>
      </c>
      <c r="G574" s="8"/>
    </row>
    <row r="575">
      <c r="A575" s="9" t="str">
        <f t="shared" si="667"/>
        <v/>
      </c>
      <c r="B575" s="9" t="str">
        <f>IF(ISBLANK(A572),"",LEFT(B574,27)&amp;VALUE(RIGHT(B574,1)+1))</f>
        <v/>
      </c>
      <c r="C575" s="6" t="str">
        <f t="shared" ref="C575:D575" si="670">C574</f>
        <v/>
      </c>
      <c r="D575" s="6" t="str">
        <f t="shared" si="670"/>
        <v/>
      </c>
      <c r="E575" s="10" t="str">
        <f>IF(ISBLANK(A572),"",E574+1)</f>
        <v/>
      </c>
      <c r="F575" s="11" t="str">
        <f t="shared" si="669"/>
        <v/>
      </c>
      <c r="G575" s="8"/>
    </row>
    <row r="576">
      <c r="A576" s="9" t="str">
        <f t="shared" si="667"/>
        <v/>
      </c>
      <c r="B576" s="9" t="str">
        <f>IF(ISBLANK(A572),"",LEFT(B575,27)&amp;VALUE(RIGHT(B575,1)+1))</f>
        <v/>
      </c>
      <c r="C576" s="6" t="str">
        <f t="shared" ref="C576:D576" si="671">C575</f>
        <v/>
      </c>
      <c r="D576" s="6" t="str">
        <f t="shared" si="671"/>
        <v/>
      </c>
      <c r="E576" s="10" t="str">
        <f>IF(ISBLANK(A572),"",E575+1)</f>
        <v/>
      </c>
      <c r="F576" s="11" t="str">
        <f t="shared" si="669"/>
        <v/>
      </c>
      <c r="G576" s="8"/>
    </row>
    <row r="577">
      <c r="A577" s="12" t="str">
        <f t="shared" si="667"/>
        <v/>
      </c>
      <c r="B577" s="12" t="str">
        <f>IF(ISBLANK(A572),"",LEFT(B576,27)&amp;VALUE(RIGHT(B576,1)+1))</f>
        <v/>
      </c>
      <c r="C577" s="13" t="str">
        <f t="shared" ref="C577:D577" si="672">C576</f>
        <v/>
      </c>
      <c r="D577" s="13" t="str">
        <f t="shared" si="672"/>
        <v/>
      </c>
      <c r="E577" s="14" t="str">
        <f>IF(ISBLANK(A572),"",E576+1)</f>
        <v/>
      </c>
      <c r="F577" s="15" t="str">
        <f t="shared" si="669"/>
        <v/>
      </c>
      <c r="G577" s="16"/>
    </row>
    <row r="578">
      <c r="A578" s="5"/>
      <c r="B578" s="6" t="str">
        <f t="array" ref="B578">IF(ISBLANK(A578),"",IF(A578="PROREP (L)",VLOOKUP(LEFT($A578,6),'Data Feed (20C)'!$A$1:$G$10,2,FALSE),IF(A578="PROREP (S)", INDEX('Data Feed (20C)'!B:B, MATCH(LEFT($A578,6), 'Data Feed (20C)'!$A$1:$A$10, 0) + 1), VLOOKUP($A578,'Data Feed (20C)'!$A$1:$G$10,2,FALSE))))</f>
        <v/>
      </c>
      <c r="C578" s="6" t="str">
        <f t="array" ref="C578">IF(ISBLANK(A578),"",IF(A578="PROREP (L)",VLOOKUP(LEFT($A578,6),'Data Feed (20C)'!$A$1:$G$10,3,FALSE),IF(A578="PROREP (S)", INDEX('Data Feed (20C)'!C:C, MATCH(LEFT($A578,6), 'Data Feed (20C)'!$A$1:$A$10, 0) + 1, +1), VLOOKUP($A578,'Data Feed (20C)'!$A$1:$G$10,3,FALSE))))</f>
        <v/>
      </c>
      <c r="D578" s="6" t="str">
        <f t="array" ref="D578">IF(ISBLANK(A578),"",IF(A578="PROREP (L)",VLOOKUP(LEFT($A578,6),'Data Feed (20C)'!$A$1:$G$10,4,FALSE),IF(A578="PROREP (S)", INDEX('Data Feed (20C)'!D:D, MATCH(LEFT($A578,6), 'Data Feed (20C)'!$A$1:$A$10, 0) + 1, +1), VLOOKUP($A578,'Data Feed (20C)'!$A$1:$G$10,4,FALSE))))</f>
        <v/>
      </c>
      <c r="E578" s="6" t="str">
        <f t="array" ref="E578">IF(ISBLANK(A578),"",IF(A578="PROREP (L)",VLOOKUP(LEFT($A578,6),'Data Feed (20C)'!$A$1:$G$10,7,FALSE),IF(A578="PROREP (S)", INDEX('Data Feed (20C)'!G:G, MATCH(LEFT($A578,6), 'Data Feed (20C)'!$A$1:$A$10, 0) + 1, +1), VLOOKUP($A578,'Data Feed (20C)'!$A$1:$G$10,7,FALSE))))</f>
        <v/>
      </c>
      <c r="F578" s="7"/>
      <c r="G578" s="8"/>
    </row>
    <row r="579">
      <c r="A579" s="9" t="str">
        <f t="shared" ref="A579:A583" si="674">A578</f>
        <v/>
      </c>
      <c r="B579" s="9" t="str">
        <f>IF(ISBLANK(A578),"",LEFT(B578,27)&amp;VALUE(RIGHT(B578,1)+1))</f>
        <v/>
      </c>
      <c r="C579" s="6" t="str">
        <f t="shared" ref="C579:D579" si="673">C578</f>
        <v/>
      </c>
      <c r="D579" s="6" t="str">
        <f t="shared" si="673"/>
        <v/>
      </c>
      <c r="E579" s="10" t="str">
        <f>IF(ISBLANK(A578),"",E578+1)</f>
        <v/>
      </c>
      <c r="F579" s="11" t="str">
        <f t="shared" ref="F579:F583" si="676">F578</f>
        <v/>
      </c>
      <c r="G579" s="8"/>
    </row>
    <row r="580">
      <c r="A580" s="9" t="str">
        <f t="shared" si="674"/>
        <v/>
      </c>
      <c r="B580" s="9" t="str">
        <f>IF(ISBLANK(A578),"",LEFT(B579,27)&amp;VALUE(RIGHT(B579,1)+1))</f>
        <v/>
      </c>
      <c r="C580" s="6" t="str">
        <f t="shared" ref="C580:D580" si="675">C579</f>
        <v/>
      </c>
      <c r="D580" s="6" t="str">
        <f t="shared" si="675"/>
        <v/>
      </c>
      <c r="E580" s="10" t="str">
        <f>IF(ISBLANK(A578),"",E579+1)</f>
        <v/>
      </c>
      <c r="F580" s="11" t="str">
        <f t="shared" si="676"/>
        <v/>
      </c>
      <c r="G580" s="8"/>
    </row>
    <row r="581">
      <c r="A581" s="9" t="str">
        <f t="shared" si="674"/>
        <v/>
      </c>
      <c r="B581" s="9" t="str">
        <f>IF(ISBLANK(A578),"",LEFT(B580,27)&amp;VALUE(RIGHT(B580,1)+1))</f>
        <v/>
      </c>
      <c r="C581" s="6" t="str">
        <f t="shared" ref="C581:D581" si="677">C580</f>
        <v/>
      </c>
      <c r="D581" s="6" t="str">
        <f t="shared" si="677"/>
        <v/>
      </c>
      <c r="E581" s="10" t="str">
        <f>IF(ISBLANK(A578),"",E580+1)</f>
        <v/>
      </c>
      <c r="F581" s="11" t="str">
        <f t="shared" si="676"/>
        <v/>
      </c>
      <c r="G581" s="8"/>
    </row>
    <row r="582">
      <c r="A582" s="9" t="str">
        <f t="shared" si="674"/>
        <v/>
      </c>
      <c r="B582" s="9" t="str">
        <f>IF(ISBLANK(A578),"",LEFT(B581,27)&amp;VALUE(RIGHT(B581,1)+1))</f>
        <v/>
      </c>
      <c r="C582" s="6" t="str">
        <f t="shared" ref="C582:D582" si="678">C581</f>
        <v/>
      </c>
      <c r="D582" s="6" t="str">
        <f t="shared" si="678"/>
        <v/>
      </c>
      <c r="E582" s="10" t="str">
        <f>IF(ISBLANK(A578),"",E581+1)</f>
        <v/>
      </c>
      <c r="F582" s="11" t="str">
        <f t="shared" si="676"/>
        <v/>
      </c>
      <c r="G582" s="8"/>
    </row>
    <row r="583">
      <c r="A583" s="12" t="str">
        <f t="shared" si="674"/>
        <v/>
      </c>
      <c r="B583" s="12" t="str">
        <f>IF(ISBLANK(A578),"",LEFT(B582,27)&amp;VALUE(RIGHT(B582,1)+1))</f>
        <v/>
      </c>
      <c r="C583" s="13" t="str">
        <f t="shared" ref="C583:D583" si="679">C582</f>
        <v/>
      </c>
      <c r="D583" s="13" t="str">
        <f t="shared" si="679"/>
        <v/>
      </c>
      <c r="E583" s="14" t="str">
        <f>IF(ISBLANK(A578),"",E582+1)</f>
        <v/>
      </c>
      <c r="F583" s="15" t="str">
        <f t="shared" si="676"/>
        <v/>
      </c>
      <c r="G583" s="16"/>
    </row>
    <row r="584">
      <c r="A584" s="5"/>
      <c r="B584" s="6" t="str">
        <f t="array" ref="B584">IF(ISBLANK(A584),"",IF(A584="PROREP (L)",VLOOKUP(LEFT($A584,6),'Data Feed (20C)'!$A$1:$G$10,2,FALSE),IF(A584="PROREP (S)", INDEX('Data Feed (20C)'!B:B, MATCH(LEFT($A584,6), 'Data Feed (20C)'!$A$1:$A$10, 0) + 1), VLOOKUP($A584,'Data Feed (20C)'!$A$1:$G$10,2,FALSE))))</f>
        <v/>
      </c>
      <c r="C584" s="6" t="str">
        <f t="array" ref="C584">IF(ISBLANK(A584),"",IF(A584="PROREP (L)",VLOOKUP(LEFT($A584,6),'Data Feed (20C)'!$A$1:$G$10,3,FALSE),IF(A584="PROREP (S)", INDEX('Data Feed (20C)'!C:C, MATCH(LEFT($A584,6), 'Data Feed (20C)'!$A$1:$A$10, 0) + 1, +1), VLOOKUP($A584,'Data Feed (20C)'!$A$1:$G$10,3,FALSE))))</f>
        <v/>
      </c>
      <c r="D584" s="6" t="str">
        <f t="array" ref="D584">IF(ISBLANK(A584),"",IF(A584="PROREP (L)",VLOOKUP(LEFT($A584,6),'Data Feed (20C)'!$A$1:$G$10,4,FALSE),IF(A584="PROREP (S)", INDEX('Data Feed (20C)'!D:D, MATCH(LEFT($A584,6), 'Data Feed (20C)'!$A$1:$A$10, 0) + 1, +1), VLOOKUP($A584,'Data Feed (20C)'!$A$1:$G$10,4,FALSE))))</f>
        <v/>
      </c>
      <c r="E584" s="6" t="str">
        <f t="array" ref="E584">IF(ISBLANK(A584),"",IF(A584="PROREP (L)",VLOOKUP(LEFT($A584,6),'Data Feed (20C)'!$A$1:$G$10,7,FALSE),IF(A584="PROREP (S)", INDEX('Data Feed (20C)'!G:G, MATCH(LEFT($A584,6), 'Data Feed (20C)'!$A$1:$A$10, 0) + 1, +1), VLOOKUP($A584,'Data Feed (20C)'!$A$1:$G$10,7,FALSE))))</f>
        <v/>
      </c>
      <c r="F584" s="7"/>
      <c r="G584" s="8"/>
    </row>
    <row r="585">
      <c r="A585" s="9" t="str">
        <f t="shared" ref="A585:A589" si="681">A584</f>
        <v/>
      </c>
      <c r="B585" s="9" t="str">
        <f>IF(ISBLANK(A584),"",LEFT(B584,27)&amp;VALUE(RIGHT(B584,1)+1))</f>
        <v/>
      </c>
      <c r="C585" s="6" t="str">
        <f t="shared" ref="C585:D585" si="680">C584</f>
        <v/>
      </c>
      <c r="D585" s="6" t="str">
        <f t="shared" si="680"/>
        <v/>
      </c>
      <c r="E585" s="10" t="str">
        <f>IF(ISBLANK(A584),"",E584+1)</f>
        <v/>
      </c>
      <c r="F585" s="11" t="str">
        <f t="shared" ref="F585:F589" si="683">F584</f>
        <v/>
      </c>
      <c r="G585" s="8"/>
    </row>
    <row r="586">
      <c r="A586" s="9" t="str">
        <f t="shared" si="681"/>
        <v/>
      </c>
      <c r="B586" s="9" t="str">
        <f>IF(ISBLANK(A584),"",LEFT(B585,27)&amp;VALUE(RIGHT(B585,1)+1))</f>
        <v/>
      </c>
      <c r="C586" s="6" t="str">
        <f t="shared" ref="C586:D586" si="682">C585</f>
        <v/>
      </c>
      <c r="D586" s="6" t="str">
        <f t="shared" si="682"/>
        <v/>
      </c>
      <c r="E586" s="10" t="str">
        <f>IF(ISBLANK(A584),"",E585+1)</f>
        <v/>
      </c>
      <c r="F586" s="11" t="str">
        <f t="shared" si="683"/>
        <v/>
      </c>
      <c r="G586" s="8"/>
    </row>
    <row r="587">
      <c r="A587" s="9" t="str">
        <f t="shared" si="681"/>
        <v/>
      </c>
      <c r="B587" s="9" t="str">
        <f>IF(ISBLANK(A584),"",LEFT(B586,27)&amp;VALUE(RIGHT(B586,1)+1))</f>
        <v/>
      </c>
      <c r="C587" s="6" t="str">
        <f t="shared" ref="C587:D587" si="684">C586</f>
        <v/>
      </c>
      <c r="D587" s="6" t="str">
        <f t="shared" si="684"/>
        <v/>
      </c>
      <c r="E587" s="10" t="str">
        <f>IF(ISBLANK(A584),"",E586+1)</f>
        <v/>
      </c>
      <c r="F587" s="11" t="str">
        <f t="shared" si="683"/>
        <v/>
      </c>
      <c r="G587" s="8"/>
    </row>
    <row r="588">
      <c r="A588" s="9" t="str">
        <f t="shared" si="681"/>
        <v/>
      </c>
      <c r="B588" s="9" t="str">
        <f>IF(ISBLANK(A584),"",LEFT(B587,27)&amp;VALUE(RIGHT(B587,1)+1))</f>
        <v/>
      </c>
      <c r="C588" s="6" t="str">
        <f t="shared" ref="C588:D588" si="685">C587</f>
        <v/>
      </c>
      <c r="D588" s="6" t="str">
        <f t="shared" si="685"/>
        <v/>
      </c>
      <c r="E588" s="10" t="str">
        <f>IF(ISBLANK(A584),"",E587+1)</f>
        <v/>
      </c>
      <c r="F588" s="11" t="str">
        <f t="shared" si="683"/>
        <v/>
      </c>
      <c r="G588" s="8"/>
    </row>
    <row r="589">
      <c r="A589" s="12" t="str">
        <f t="shared" si="681"/>
        <v/>
      </c>
      <c r="B589" s="12" t="str">
        <f>IF(ISBLANK(A584),"",LEFT(B588,27)&amp;VALUE(RIGHT(B588,1)+1))</f>
        <v/>
      </c>
      <c r="C589" s="13" t="str">
        <f t="shared" ref="C589:D589" si="686">C588</f>
        <v/>
      </c>
      <c r="D589" s="13" t="str">
        <f t="shared" si="686"/>
        <v/>
      </c>
      <c r="E589" s="14" t="str">
        <f>IF(ISBLANK(A584),"",E588+1)</f>
        <v/>
      </c>
      <c r="F589" s="15" t="str">
        <f t="shared" si="683"/>
        <v/>
      </c>
      <c r="G589" s="16"/>
    </row>
    <row r="590">
      <c r="A590" s="5"/>
      <c r="B590" s="6" t="str">
        <f t="array" ref="B590">IF(ISBLANK(A590),"",IF(A590="PROREP (L)",VLOOKUP(LEFT($A590,6),'Data Feed (20C)'!$A$1:$G$10,2,FALSE),IF(A590="PROREP (S)", INDEX('Data Feed (20C)'!B:B, MATCH(LEFT($A590,6), 'Data Feed (20C)'!$A$1:$A$10, 0) + 1), VLOOKUP($A590,'Data Feed (20C)'!$A$1:$G$10,2,FALSE))))</f>
        <v/>
      </c>
      <c r="C590" s="6" t="str">
        <f t="array" ref="C590">IF(ISBLANK(A590),"",IF(A590="PROREP (L)",VLOOKUP(LEFT($A590,6),'Data Feed (20C)'!$A$1:$G$10,3,FALSE),IF(A590="PROREP (S)", INDEX('Data Feed (20C)'!C:C, MATCH(LEFT($A590,6), 'Data Feed (20C)'!$A$1:$A$10, 0) + 1, +1), VLOOKUP($A590,'Data Feed (20C)'!$A$1:$G$10,3,FALSE))))</f>
        <v/>
      </c>
      <c r="D590" s="6" t="str">
        <f t="array" ref="D590">IF(ISBLANK(A590),"",IF(A590="PROREP (L)",VLOOKUP(LEFT($A590,6),'Data Feed (20C)'!$A$1:$G$10,4,FALSE),IF(A590="PROREP (S)", INDEX('Data Feed (20C)'!D:D, MATCH(LEFT($A590,6), 'Data Feed (20C)'!$A$1:$A$10, 0) + 1, +1), VLOOKUP($A590,'Data Feed (20C)'!$A$1:$G$10,4,FALSE))))</f>
        <v/>
      </c>
      <c r="E590" s="6" t="str">
        <f t="array" ref="E590">IF(ISBLANK(A590),"",IF(A590="PROREP (L)",VLOOKUP(LEFT($A590,6),'Data Feed (20C)'!$A$1:$G$10,7,FALSE),IF(A590="PROREP (S)", INDEX('Data Feed (20C)'!G:G, MATCH(LEFT($A590,6), 'Data Feed (20C)'!$A$1:$A$10, 0) + 1, +1), VLOOKUP($A590,'Data Feed (20C)'!$A$1:$G$10,7,FALSE))))</f>
        <v/>
      </c>
      <c r="F590" s="7"/>
      <c r="G590" s="8"/>
    </row>
    <row r="591">
      <c r="A591" s="9" t="str">
        <f t="shared" ref="A591:A595" si="688">A590</f>
        <v/>
      </c>
      <c r="B591" s="9" t="str">
        <f>IF(ISBLANK(A590),"",LEFT(B590,27)&amp;VALUE(RIGHT(B590,1)+1))</f>
        <v/>
      </c>
      <c r="C591" s="6" t="str">
        <f t="shared" ref="C591:D591" si="687">C590</f>
        <v/>
      </c>
      <c r="D591" s="6" t="str">
        <f t="shared" si="687"/>
        <v/>
      </c>
      <c r="E591" s="10" t="str">
        <f>IF(ISBLANK(A590),"",E590+1)</f>
        <v/>
      </c>
      <c r="F591" s="11" t="str">
        <f t="shared" ref="F591:F595" si="690">F590</f>
        <v/>
      </c>
      <c r="G591" s="8"/>
    </row>
    <row r="592">
      <c r="A592" s="9" t="str">
        <f t="shared" si="688"/>
        <v/>
      </c>
      <c r="B592" s="9" t="str">
        <f>IF(ISBLANK(A590),"",LEFT(B591,27)&amp;VALUE(RIGHT(B591,1)+1))</f>
        <v/>
      </c>
      <c r="C592" s="6" t="str">
        <f t="shared" ref="C592:D592" si="689">C591</f>
        <v/>
      </c>
      <c r="D592" s="6" t="str">
        <f t="shared" si="689"/>
        <v/>
      </c>
      <c r="E592" s="10" t="str">
        <f>IF(ISBLANK(A590),"",E591+1)</f>
        <v/>
      </c>
      <c r="F592" s="11" t="str">
        <f t="shared" si="690"/>
        <v/>
      </c>
      <c r="G592" s="8"/>
    </row>
    <row r="593">
      <c r="A593" s="9" t="str">
        <f t="shared" si="688"/>
        <v/>
      </c>
      <c r="B593" s="9" t="str">
        <f>IF(ISBLANK(A590),"",LEFT(B592,27)&amp;VALUE(RIGHT(B592,1)+1))</f>
        <v/>
      </c>
      <c r="C593" s="6" t="str">
        <f t="shared" ref="C593:D593" si="691">C592</f>
        <v/>
      </c>
      <c r="D593" s="6" t="str">
        <f t="shared" si="691"/>
        <v/>
      </c>
      <c r="E593" s="10" t="str">
        <f>IF(ISBLANK(A590),"",E592+1)</f>
        <v/>
      </c>
      <c r="F593" s="11" t="str">
        <f t="shared" si="690"/>
        <v/>
      </c>
      <c r="G593" s="8"/>
    </row>
    <row r="594">
      <c r="A594" s="9" t="str">
        <f t="shared" si="688"/>
        <v/>
      </c>
      <c r="B594" s="9" t="str">
        <f>IF(ISBLANK(A590),"",LEFT(B593,27)&amp;VALUE(RIGHT(B593,1)+1))</f>
        <v/>
      </c>
      <c r="C594" s="6" t="str">
        <f t="shared" ref="C594:D594" si="692">C593</f>
        <v/>
      </c>
      <c r="D594" s="6" t="str">
        <f t="shared" si="692"/>
        <v/>
      </c>
      <c r="E594" s="10" t="str">
        <f>IF(ISBLANK(A590),"",E593+1)</f>
        <v/>
      </c>
      <c r="F594" s="11" t="str">
        <f t="shared" si="690"/>
        <v/>
      </c>
      <c r="G594" s="8"/>
    </row>
    <row r="595">
      <c r="A595" s="12" t="str">
        <f t="shared" si="688"/>
        <v/>
      </c>
      <c r="B595" s="12" t="str">
        <f>IF(ISBLANK(A590),"",LEFT(B594,27)&amp;VALUE(RIGHT(B594,1)+1))</f>
        <v/>
      </c>
      <c r="C595" s="13" t="str">
        <f t="shared" ref="C595:D595" si="693">C594</f>
        <v/>
      </c>
      <c r="D595" s="13" t="str">
        <f t="shared" si="693"/>
        <v/>
      </c>
      <c r="E595" s="14" t="str">
        <f>IF(ISBLANK(A590),"",E594+1)</f>
        <v/>
      </c>
      <c r="F595" s="15" t="str">
        <f t="shared" si="690"/>
        <v/>
      </c>
      <c r="G595" s="16"/>
    </row>
    <row r="596">
      <c r="A596" s="5"/>
      <c r="B596" s="6" t="str">
        <f t="array" ref="B596">IF(ISBLANK(A596),"",IF(A596="PROREP (L)",VLOOKUP(LEFT($A596,6),'Data Feed (20C)'!$A$1:$G$10,2,FALSE),IF(A596="PROREP (S)", INDEX('Data Feed (20C)'!B:B, MATCH(LEFT($A596,6), 'Data Feed (20C)'!$A$1:$A$10, 0) + 1), VLOOKUP($A596,'Data Feed (20C)'!$A$1:$G$10,2,FALSE))))</f>
        <v/>
      </c>
      <c r="C596" s="6" t="str">
        <f t="array" ref="C596">IF(ISBLANK(A596),"",IF(A596="PROREP (L)",VLOOKUP(LEFT($A596,6),'Data Feed (20C)'!$A$1:$G$10,3,FALSE),IF(A596="PROREP (S)", INDEX('Data Feed (20C)'!C:C, MATCH(LEFT($A596,6), 'Data Feed (20C)'!$A$1:$A$10, 0) + 1, +1), VLOOKUP($A596,'Data Feed (20C)'!$A$1:$G$10,3,FALSE))))</f>
        <v/>
      </c>
      <c r="D596" s="6" t="str">
        <f t="array" ref="D596">IF(ISBLANK(A596),"",IF(A596="PROREP (L)",VLOOKUP(LEFT($A596,6),'Data Feed (20C)'!$A$1:$G$10,4,FALSE),IF(A596="PROREP (S)", INDEX('Data Feed (20C)'!D:D, MATCH(LEFT($A596,6), 'Data Feed (20C)'!$A$1:$A$10, 0) + 1, +1), VLOOKUP($A596,'Data Feed (20C)'!$A$1:$G$10,4,FALSE))))</f>
        <v/>
      </c>
      <c r="E596" s="6" t="str">
        <f t="array" ref="E596">IF(ISBLANK(A596),"",IF(A596="PROREP (L)",VLOOKUP(LEFT($A596,6),'Data Feed (20C)'!$A$1:$G$10,7,FALSE),IF(A596="PROREP (S)", INDEX('Data Feed (20C)'!G:G, MATCH(LEFT($A596,6), 'Data Feed (20C)'!$A$1:$A$10, 0) + 1, +1), VLOOKUP($A596,'Data Feed (20C)'!$A$1:$G$10,7,FALSE))))</f>
        <v/>
      </c>
      <c r="F596" s="7"/>
      <c r="G596" s="8"/>
    </row>
    <row r="597">
      <c r="A597" s="9" t="str">
        <f t="shared" ref="A597:A601" si="695">A596</f>
        <v/>
      </c>
      <c r="B597" s="9" t="str">
        <f>IF(ISBLANK(A596),"",LEFT(B596,27)&amp;VALUE(RIGHT(B596,1)+1))</f>
        <v/>
      </c>
      <c r="C597" s="6" t="str">
        <f t="shared" ref="C597:D597" si="694">C596</f>
        <v/>
      </c>
      <c r="D597" s="6" t="str">
        <f t="shared" si="694"/>
        <v/>
      </c>
      <c r="E597" s="10" t="str">
        <f>IF(ISBLANK(A596),"",E596+1)</f>
        <v/>
      </c>
      <c r="F597" s="11" t="str">
        <f t="shared" ref="F597:F601" si="697">F596</f>
        <v/>
      </c>
      <c r="G597" s="8"/>
    </row>
    <row r="598">
      <c r="A598" s="9" t="str">
        <f t="shared" si="695"/>
        <v/>
      </c>
      <c r="B598" s="9" t="str">
        <f>IF(ISBLANK(A596),"",LEFT(B597,27)&amp;VALUE(RIGHT(B597,1)+1))</f>
        <v/>
      </c>
      <c r="C598" s="6" t="str">
        <f t="shared" ref="C598:D598" si="696">C597</f>
        <v/>
      </c>
      <c r="D598" s="6" t="str">
        <f t="shared" si="696"/>
        <v/>
      </c>
      <c r="E598" s="10" t="str">
        <f>IF(ISBLANK(A596),"",E597+1)</f>
        <v/>
      </c>
      <c r="F598" s="11" t="str">
        <f t="shared" si="697"/>
        <v/>
      </c>
      <c r="G598" s="8"/>
    </row>
    <row r="599">
      <c r="A599" s="9" t="str">
        <f t="shared" si="695"/>
        <v/>
      </c>
      <c r="B599" s="9" t="str">
        <f>IF(ISBLANK(A596),"",LEFT(B598,27)&amp;VALUE(RIGHT(B598,1)+1))</f>
        <v/>
      </c>
      <c r="C599" s="6" t="str">
        <f t="shared" ref="C599:D599" si="698">C598</f>
        <v/>
      </c>
      <c r="D599" s="6" t="str">
        <f t="shared" si="698"/>
        <v/>
      </c>
      <c r="E599" s="10" t="str">
        <f>IF(ISBLANK(A596),"",E598+1)</f>
        <v/>
      </c>
      <c r="F599" s="11" t="str">
        <f t="shared" si="697"/>
        <v/>
      </c>
      <c r="G599" s="8"/>
    </row>
    <row r="600">
      <c r="A600" s="9" t="str">
        <f t="shared" si="695"/>
        <v/>
      </c>
      <c r="B600" s="9" t="str">
        <f>IF(ISBLANK(A596),"",LEFT(B599,27)&amp;VALUE(RIGHT(B599,1)+1))</f>
        <v/>
      </c>
      <c r="C600" s="6" t="str">
        <f t="shared" ref="C600:D600" si="699">C599</f>
        <v/>
      </c>
      <c r="D600" s="6" t="str">
        <f t="shared" si="699"/>
        <v/>
      </c>
      <c r="E600" s="10" t="str">
        <f>IF(ISBLANK(A596),"",E599+1)</f>
        <v/>
      </c>
      <c r="F600" s="11" t="str">
        <f t="shared" si="697"/>
        <v/>
      </c>
      <c r="G600" s="8"/>
    </row>
    <row r="601">
      <c r="A601" s="12" t="str">
        <f t="shared" si="695"/>
        <v/>
      </c>
      <c r="B601" s="12" t="str">
        <f>IF(ISBLANK(A596),"",LEFT(B600,27)&amp;VALUE(RIGHT(B600,1)+1))</f>
        <v/>
      </c>
      <c r="C601" s="13" t="str">
        <f t="shared" ref="C601:D601" si="700">C600</f>
        <v/>
      </c>
      <c r="D601" s="13" t="str">
        <f t="shared" si="700"/>
        <v/>
      </c>
      <c r="E601" s="14" t="str">
        <f>IF(ISBLANK(A596),"",E600+1)</f>
        <v/>
      </c>
      <c r="F601" s="15" t="str">
        <f t="shared" si="697"/>
        <v/>
      </c>
      <c r="G601" s="16"/>
    </row>
    <row r="602">
      <c r="A602" s="5"/>
      <c r="B602" s="6" t="str">
        <f t="array" ref="B602">IF(ISBLANK(A602),"",IF(A602="PROREP (L)",VLOOKUP(LEFT($A602,6),'Data Feed (20C)'!$A$1:$G$10,2,FALSE),IF(A602="PROREP (S)", INDEX('Data Feed (20C)'!B:B, MATCH(LEFT($A602,6), 'Data Feed (20C)'!$A$1:$A$10, 0) + 1), VLOOKUP($A602,'Data Feed (20C)'!$A$1:$G$10,2,FALSE))))</f>
        <v/>
      </c>
      <c r="C602" s="6" t="str">
        <f t="array" ref="C602">IF(ISBLANK(A602),"",IF(A602="PROREP (L)",VLOOKUP(LEFT($A602,6),'Data Feed (20C)'!$A$1:$G$10,3,FALSE),IF(A602="PROREP (S)", INDEX('Data Feed (20C)'!C:C, MATCH(LEFT($A602,6), 'Data Feed (20C)'!$A$1:$A$10, 0) + 1, +1), VLOOKUP($A602,'Data Feed (20C)'!$A$1:$G$10,3,FALSE))))</f>
        <v/>
      </c>
      <c r="D602" s="6" t="str">
        <f t="array" ref="D602">IF(ISBLANK(A602),"",IF(A602="PROREP (L)",VLOOKUP(LEFT($A602,6),'Data Feed (20C)'!$A$1:$G$10,4,FALSE),IF(A602="PROREP (S)", INDEX('Data Feed (20C)'!D:D, MATCH(LEFT($A602,6), 'Data Feed (20C)'!$A$1:$A$10, 0) + 1, +1), VLOOKUP($A602,'Data Feed (20C)'!$A$1:$G$10,4,FALSE))))</f>
        <v/>
      </c>
      <c r="E602" s="6" t="str">
        <f t="array" ref="E602">IF(ISBLANK(A602),"",IF(A602="PROREP (L)",VLOOKUP(LEFT($A602,6),'Data Feed (20C)'!$A$1:$G$10,7,FALSE),IF(A602="PROREP (S)", INDEX('Data Feed (20C)'!G:G, MATCH(LEFT($A602,6), 'Data Feed (20C)'!$A$1:$A$10, 0) + 1, +1), VLOOKUP($A602,'Data Feed (20C)'!$A$1:$G$10,7,FALSE))))</f>
        <v/>
      </c>
      <c r="F602" s="7"/>
      <c r="G602" s="8"/>
    </row>
    <row r="603">
      <c r="A603" s="9" t="str">
        <f t="shared" ref="A603:A607" si="702">A602</f>
        <v/>
      </c>
      <c r="B603" s="9" t="str">
        <f>IF(ISBLANK(A602),"",LEFT(B602,27)&amp;VALUE(RIGHT(B602,1)+1))</f>
        <v/>
      </c>
      <c r="C603" s="6" t="str">
        <f t="shared" ref="C603:D603" si="701">C602</f>
        <v/>
      </c>
      <c r="D603" s="6" t="str">
        <f t="shared" si="701"/>
        <v/>
      </c>
      <c r="E603" s="10" t="str">
        <f>IF(ISBLANK(A602),"",E602+1)</f>
        <v/>
      </c>
      <c r="F603" s="11" t="str">
        <f t="shared" ref="F603:F607" si="704">F602</f>
        <v/>
      </c>
      <c r="G603" s="8"/>
    </row>
    <row r="604">
      <c r="A604" s="9" t="str">
        <f t="shared" si="702"/>
        <v/>
      </c>
      <c r="B604" s="9" t="str">
        <f>IF(ISBLANK(A602),"",LEFT(B603,27)&amp;VALUE(RIGHT(B603,1)+1))</f>
        <v/>
      </c>
      <c r="C604" s="6" t="str">
        <f t="shared" ref="C604:D604" si="703">C603</f>
        <v/>
      </c>
      <c r="D604" s="6" t="str">
        <f t="shared" si="703"/>
        <v/>
      </c>
      <c r="E604" s="10" t="str">
        <f>IF(ISBLANK(A602),"",E603+1)</f>
        <v/>
      </c>
      <c r="F604" s="11" t="str">
        <f t="shared" si="704"/>
        <v/>
      </c>
      <c r="G604" s="8"/>
    </row>
    <row r="605">
      <c r="A605" s="9" t="str">
        <f t="shared" si="702"/>
        <v/>
      </c>
      <c r="B605" s="9" t="str">
        <f>IF(ISBLANK(A602),"",LEFT(B604,27)&amp;VALUE(RIGHT(B604,1)+1))</f>
        <v/>
      </c>
      <c r="C605" s="6" t="str">
        <f t="shared" ref="C605:D605" si="705">C604</f>
        <v/>
      </c>
      <c r="D605" s="6" t="str">
        <f t="shared" si="705"/>
        <v/>
      </c>
      <c r="E605" s="10" t="str">
        <f>IF(ISBLANK(A602),"",E604+1)</f>
        <v/>
      </c>
      <c r="F605" s="11" t="str">
        <f t="shared" si="704"/>
        <v/>
      </c>
      <c r="G605" s="8"/>
    </row>
    <row r="606">
      <c r="A606" s="9" t="str">
        <f t="shared" si="702"/>
        <v/>
      </c>
      <c r="B606" s="9" t="str">
        <f>IF(ISBLANK(A602),"",LEFT(B605,27)&amp;VALUE(RIGHT(B605,1)+1))</f>
        <v/>
      </c>
      <c r="C606" s="6" t="str">
        <f t="shared" ref="C606:D606" si="706">C605</f>
        <v/>
      </c>
      <c r="D606" s="6" t="str">
        <f t="shared" si="706"/>
        <v/>
      </c>
      <c r="E606" s="10" t="str">
        <f>IF(ISBLANK(A602),"",E605+1)</f>
        <v/>
      </c>
      <c r="F606" s="11" t="str">
        <f t="shared" si="704"/>
        <v/>
      </c>
      <c r="G606" s="8"/>
    </row>
    <row r="607">
      <c r="A607" s="12" t="str">
        <f t="shared" si="702"/>
        <v/>
      </c>
      <c r="B607" s="12" t="str">
        <f>IF(ISBLANK(A602),"",LEFT(B606,27)&amp;VALUE(RIGHT(B606,1)+1))</f>
        <v/>
      </c>
      <c r="C607" s="13" t="str">
        <f t="shared" ref="C607:D607" si="707">C606</f>
        <v/>
      </c>
      <c r="D607" s="13" t="str">
        <f t="shared" si="707"/>
        <v/>
      </c>
      <c r="E607" s="14" t="str">
        <f>IF(ISBLANK(A602),"",E606+1)</f>
        <v/>
      </c>
      <c r="F607" s="15" t="str">
        <f t="shared" si="704"/>
        <v/>
      </c>
      <c r="G607" s="16"/>
    </row>
    <row r="608">
      <c r="A608" s="5"/>
      <c r="B608" s="6" t="str">
        <f t="array" ref="B608">IF(ISBLANK(A608),"",IF(A608="PROREP (L)",VLOOKUP(LEFT($A608,6),'Data Feed (20C)'!$A$1:$G$10,2,FALSE),IF(A608="PROREP (S)", INDEX('Data Feed (20C)'!B:B, MATCH(LEFT($A608,6), 'Data Feed (20C)'!$A$1:$A$10, 0) + 1), VLOOKUP($A608,'Data Feed (20C)'!$A$1:$G$10,2,FALSE))))</f>
        <v/>
      </c>
      <c r="C608" s="6" t="str">
        <f t="array" ref="C608">IF(ISBLANK(A608),"",IF(A608="PROREP (L)",VLOOKUP(LEFT($A608,6),'Data Feed (20C)'!$A$1:$G$10,3,FALSE),IF(A608="PROREP (S)", INDEX('Data Feed (20C)'!C:C, MATCH(LEFT($A608,6), 'Data Feed (20C)'!$A$1:$A$10, 0) + 1, +1), VLOOKUP($A608,'Data Feed (20C)'!$A$1:$G$10,3,FALSE))))</f>
        <v/>
      </c>
      <c r="D608" s="6" t="str">
        <f t="array" ref="D608">IF(ISBLANK(A608),"",IF(A608="PROREP (L)",VLOOKUP(LEFT($A608,6),'Data Feed (20C)'!$A$1:$G$10,4,FALSE),IF(A608="PROREP (S)", INDEX('Data Feed (20C)'!D:D, MATCH(LEFT($A608,6), 'Data Feed (20C)'!$A$1:$A$10, 0) + 1, +1), VLOOKUP($A608,'Data Feed (20C)'!$A$1:$G$10,4,FALSE))))</f>
        <v/>
      </c>
      <c r="E608" s="6" t="str">
        <f t="array" ref="E608">IF(ISBLANK(A608),"",IF(A608="PROREP (L)",VLOOKUP(LEFT($A608,6),'Data Feed (20C)'!$A$1:$G$10,7,FALSE),IF(A608="PROREP (S)", INDEX('Data Feed (20C)'!G:G, MATCH(LEFT($A608,6), 'Data Feed (20C)'!$A$1:$A$10, 0) + 1, +1), VLOOKUP($A608,'Data Feed (20C)'!$A$1:$G$10,7,FALSE))))</f>
        <v/>
      </c>
      <c r="F608" s="7"/>
      <c r="G608" s="8"/>
    </row>
    <row r="609">
      <c r="A609" s="9" t="str">
        <f t="shared" ref="A609:A613" si="709">A608</f>
        <v/>
      </c>
      <c r="B609" s="9" t="str">
        <f>IF(ISBLANK(A608),"",LEFT(B608,27)&amp;VALUE(RIGHT(B608,1)+1))</f>
        <v/>
      </c>
      <c r="C609" s="6" t="str">
        <f t="shared" ref="C609:D609" si="708">C608</f>
        <v/>
      </c>
      <c r="D609" s="6" t="str">
        <f t="shared" si="708"/>
        <v/>
      </c>
      <c r="E609" s="10" t="str">
        <f>IF(ISBLANK(A608),"",E608+1)</f>
        <v/>
      </c>
      <c r="F609" s="11" t="str">
        <f t="shared" ref="F609:F613" si="711">F608</f>
        <v/>
      </c>
      <c r="G609" s="8"/>
    </row>
    <row r="610">
      <c r="A610" s="9" t="str">
        <f t="shared" si="709"/>
        <v/>
      </c>
      <c r="B610" s="9" t="str">
        <f>IF(ISBLANK(A608),"",LEFT(B609,27)&amp;VALUE(RIGHT(B609,1)+1))</f>
        <v/>
      </c>
      <c r="C610" s="6" t="str">
        <f t="shared" ref="C610:D610" si="710">C609</f>
        <v/>
      </c>
      <c r="D610" s="6" t="str">
        <f t="shared" si="710"/>
        <v/>
      </c>
      <c r="E610" s="10" t="str">
        <f>IF(ISBLANK(A608),"",E609+1)</f>
        <v/>
      </c>
      <c r="F610" s="11" t="str">
        <f t="shared" si="711"/>
        <v/>
      </c>
      <c r="G610" s="8"/>
    </row>
    <row r="611">
      <c r="A611" s="9" t="str">
        <f t="shared" si="709"/>
        <v/>
      </c>
      <c r="B611" s="9" t="str">
        <f>IF(ISBLANK(A608),"",LEFT(B610,27)&amp;VALUE(RIGHT(B610,1)+1))</f>
        <v/>
      </c>
      <c r="C611" s="6" t="str">
        <f t="shared" ref="C611:D611" si="712">C610</f>
        <v/>
      </c>
      <c r="D611" s="6" t="str">
        <f t="shared" si="712"/>
        <v/>
      </c>
      <c r="E611" s="10" t="str">
        <f>IF(ISBLANK(A608),"",E610+1)</f>
        <v/>
      </c>
      <c r="F611" s="11" t="str">
        <f t="shared" si="711"/>
        <v/>
      </c>
      <c r="G611" s="8"/>
    </row>
    <row r="612">
      <c r="A612" s="9" t="str">
        <f t="shared" si="709"/>
        <v/>
      </c>
      <c r="B612" s="9" t="str">
        <f>IF(ISBLANK(A608),"",LEFT(B611,27)&amp;VALUE(RIGHT(B611,1)+1))</f>
        <v/>
      </c>
      <c r="C612" s="6" t="str">
        <f t="shared" ref="C612:D612" si="713">C611</f>
        <v/>
      </c>
      <c r="D612" s="6" t="str">
        <f t="shared" si="713"/>
        <v/>
      </c>
      <c r="E612" s="10" t="str">
        <f>IF(ISBLANK(A608),"",E611+1)</f>
        <v/>
      </c>
      <c r="F612" s="11" t="str">
        <f t="shared" si="711"/>
        <v/>
      </c>
      <c r="G612" s="8"/>
    </row>
    <row r="613">
      <c r="A613" s="12" t="str">
        <f t="shared" si="709"/>
        <v/>
      </c>
      <c r="B613" s="12" t="str">
        <f>IF(ISBLANK(A608),"",LEFT(B612,27)&amp;VALUE(RIGHT(B612,1)+1))</f>
        <v/>
      </c>
      <c r="C613" s="13" t="str">
        <f t="shared" ref="C613:D613" si="714">C612</f>
        <v/>
      </c>
      <c r="D613" s="13" t="str">
        <f t="shared" si="714"/>
        <v/>
      </c>
      <c r="E613" s="14" t="str">
        <f>IF(ISBLANK(A608),"",E612+1)</f>
        <v/>
      </c>
      <c r="F613" s="15" t="str">
        <f t="shared" si="711"/>
        <v/>
      </c>
      <c r="G613" s="16"/>
    </row>
    <row r="614">
      <c r="A614" s="5"/>
      <c r="B614" s="6" t="str">
        <f t="array" ref="B614">IF(ISBLANK(A614),"",IF(A614="PROREP (L)",VLOOKUP(LEFT($A614,6),'Data Feed (20C)'!$A$1:$G$10,2,FALSE),IF(A614="PROREP (S)", INDEX('Data Feed (20C)'!B:B, MATCH(LEFT($A614,6), 'Data Feed (20C)'!$A$1:$A$10, 0) + 1), VLOOKUP($A614,'Data Feed (20C)'!$A$1:$G$10,2,FALSE))))</f>
        <v/>
      </c>
      <c r="C614" s="6" t="str">
        <f t="array" ref="C614">IF(ISBLANK(A614),"",IF(A614="PROREP (L)",VLOOKUP(LEFT($A614,6),'Data Feed (20C)'!$A$1:$G$10,3,FALSE),IF(A614="PROREP (S)", INDEX('Data Feed (20C)'!C:C, MATCH(LEFT($A614,6), 'Data Feed (20C)'!$A$1:$A$10, 0) + 1, +1), VLOOKUP($A614,'Data Feed (20C)'!$A$1:$G$10,3,FALSE))))</f>
        <v/>
      </c>
      <c r="D614" s="6" t="str">
        <f t="array" ref="D614">IF(ISBLANK(A614),"",IF(A614="PROREP (L)",VLOOKUP(LEFT($A614,6),'Data Feed (20C)'!$A$1:$G$10,4,FALSE),IF(A614="PROREP (S)", INDEX('Data Feed (20C)'!D:D, MATCH(LEFT($A614,6), 'Data Feed (20C)'!$A$1:$A$10, 0) + 1, +1), VLOOKUP($A614,'Data Feed (20C)'!$A$1:$G$10,4,FALSE))))</f>
        <v/>
      </c>
      <c r="E614" s="6" t="str">
        <f t="array" ref="E614">IF(ISBLANK(A614),"",IF(A614="PROREP (L)",VLOOKUP(LEFT($A614,6),'Data Feed (20C)'!$A$1:$G$10,7,FALSE),IF(A614="PROREP (S)", INDEX('Data Feed (20C)'!G:G, MATCH(LEFT($A614,6), 'Data Feed (20C)'!$A$1:$A$10, 0) + 1, +1), VLOOKUP($A614,'Data Feed (20C)'!$A$1:$G$10,7,FALSE))))</f>
        <v/>
      </c>
      <c r="F614" s="7"/>
      <c r="G614" s="8"/>
    </row>
    <row r="615">
      <c r="A615" s="9" t="str">
        <f t="shared" ref="A615:A619" si="716">A614</f>
        <v/>
      </c>
      <c r="B615" s="9" t="str">
        <f>IF(ISBLANK(A614),"",LEFT(B614,27)&amp;VALUE(RIGHT(B614,1)+1))</f>
        <v/>
      </c>
      <c r="C615" s="6" t="str">
        <f t="shared" ref="C615:D615" si="715">C614</f>
        <v/>
      </c>
      <c r="D615" s="6" t="str">
        <f t="shared" si="715"/>
        <v/>
      </c>
      <c r="E615" s="10" t="str">
        <f>IF(ISBLANK(A614),"",E614+1)</f>
        <v/>
      </c>
      <c r="F615" s="11" t="str">
        <f t="shared" ref="F615:F619" si="718">F614</f>
        <v/>
      </c>
      <c r="G615" s="8"/>
    </row>
    <row r="616">
      <c r="A616" s="9" t="str">
        <f t="shared" si="716"/>
        <v/>
      </c>
      <c r="B616" s="9" t="str">
        <f>IF(ISBLANK(A614),"",LEFT(B615,27)&amp;VALUE(RIGHT(B615,1)+1))</f>
        <v/>
      </c>
      <c r="C616" s="6" t="str">
        <f t="shared" ref="C616:D616" si="717">C615</f>
        <v/>
      </c>
      <c r="D616" s="6" t="str">
        <f t="shared" si="717"/>
        <v/>
      </c>
      <c r="E616" s="10" t="str">
        <f>IF(ISBLANK(A614),"",E615+1)</f>
        <v/>
      </c>
      <c r="F616" s="11" t="str">
        <f t="shared" si="718"/>
        <v/>
      </c>
      <c r="G616" s="8"/>
    </row>
    <row r="617">
      <c r="A617" s="9" t="str">
        <f t="shared" si="716"/>
        <v/>
      </c>
      <c r="B617" s="9" t="str">
        <f>IF(ISBLANK(A614),"",LEFT(B616,27)&amp;VALUE(RIGHT(B616,1)+1))</f>
        <v/>
      </c>
      <c r="C617" s="6" t="str">
        <f t="shared" ref="C617:D617" si="719">C616</f>
        <v/>
      </c>
      <c r="D617" s="6" t="str">
        <f t="shared" si="719"/>
        <v/>
      </c>
      <c r="E617" s="10" t="str">
        <f>IF(ISBLANK(A614),"",E616+1)</f>
        <v/>
      </c>
      <c r="F617" s="11" t="str">
        <f t="shared" si="718"/>
        <v/>
      </c>
      <c r="G617" s="8"/>
    </row>
    <row r="618">
      <c r="A618" s="9" t="str">
        <f t="shared" si="716"/>
        <v/>
      </c>
      <c r="B618" s="9" t="str">
        <f>IF(ISBLANK(A614),"",LEFT(B617,27)&amp;VALUE(RIGHT(B617,1)+1))</f>
        <v/>
      </c>
      <c r="C618" s="6" t="str">
        <f t="shared" ref="C618:D618" si="720">C617</f>
        <v/>
      </c>
      <c r="D618" s="6" t="str">
        <f t="shared" si="720"/>
        <v/>
      </c>
      <c r="E618" s="10" t="str">
        <f>IF(ISBLANK(A614),"",E617+1)</f>
        <v/>
      </c>
      <c r="F618" s="11" t="str">
        <f t="shared" si="718"/>
        <v/>
      </c>
      <c r="G618" s="8"/>
    </row>
    <row r="619">
      <c r="A619" s="12" t="str">
        <f t="shared" si="716"/>
        <v/>
      </c>
      <c r="B619" s="12" t="str">
        <f>IF(ISBLANK(A614),"",LEFT(B618,27)&amp;VALUE(RIGHT(B618,1)+1))</f>
        <v/>
      </c>
      <c r="C619" s="13" t="str">
        <f t="shared" ref="C619:D619" si="721">C618</f>
        <v/>
      </c>
      <c r="D619" s="13" t="str">
        <f t="shared" si="721"/>
        <v/>
      </c>
      <c r="E619" s="14" t="str">
        <f>IF(ISBLANK(A614),"",E618+1)</f>
        <v/>
      </c>
      <c r="F619" s="15" t="str">
        <f t="shared" si="718"/>
        <v/>
      </c>
      <c r="G619" s="16"/>
    </row>
    <row r="620">
      <c r="A620" s="5"/>
      <c r="B620" s="6" t="str">
        <f t="array" ref="B620">IF(ISBLANK(A620),"",IF(A620="PROREP (L)",VLOOKUP(LEFT($A620,6),'Data Feed (20C)'!$A$1:$G$10,2,FALSE),IF(A620="PROREP (S)", INDEX('Data Feed (20C)'!B:B, MATCH(LEFT($A620,6), 'Data Feed (20C)'!$A$1:$A$10, 0) + 1), VLOOKUP($A620,'Data Feed (20C)'!$A$1:$G$10,2,FALSE))))</f>
        <v/>
      </c>
      <c r="C620" s="6" t="str">
        <f t="array" ref="C620">IF(ISBLANK(A620),"",IF(A620="PROREP (L)",VLOOKUP(LEFT($A620,6),'Data Feed (20C)'!$A$1:$G$10,3,FALSE),IF(A620="PROREP (S)", INDEX('Data Feed (20C)'!C:C, MATCH(LEFT($A620,6), 'Data Feed (20C)'!$A$1:$A$10, 0) + 1, +1), VLOOKUP($A620,'Data Feed (20C)'!$A$1:$G$10,3,FALSE))))</f>
        <v/>
      </c>
      <c r="D620" s="6" t="str">
        <f t="array" ref="D620">IF(ISBLANK(A620),"",IF(A620="PROREP (L)",VLOOKUP(LEFT($A620,6),'Data Feed (20C)'!$A$1:$G$10,4,FALSE),IF(A620="PROREP (S)", INDEX('Data Feed (20C)'!D:D, MATCH(LEFT($A620,6), 'Data Feed (20C)'!$A$1:$A$10, 0) + 1, +1), VLOOKUP($A620,'Data Feed (20C)'!$A$1:$G$10,4,FALSE))))</f>
        <v/>
      </c>
      <c r="E620" s="6" t="str">
        <f t="array" ref="E620">IF(ISBLANK(A620),"",IF(A620="PROREP (L)",VLOOKUP(LEFT($A620,6),'Data Feed (20C)'!$A$1:$G$10,7,FALSE),IF(A620="PROREP (S)", INDEX('Data Feed (20C)'!G:G, MATCH(LEFT($A620,6), 'Data Feed (20C)'!$A$1:$A$10, 0) + 1, +1), VLOOKUP($A620,'Data Feed (20C)'!$A$1:$G$10,7,FALSE))))</f>
        <v/>
      </c>
      <c r="F620" s="7"/>
      <c r="G620" s="8"/>
    </row>
    <row r="621">
      <c r="A621" s="9" t="str">
        <f t="shared" ref="A621:A625" si="723">A620</f>
        <v/>
      </c>
      <c r="B621" s="9" t="str">
        <f>IF(ISBLANK(A620),"",LEFT(B620,27)&amp;VALUE(RIGHT(B620,1)+1))</f>
        <v/>
      </c>
      <c r="C621" s="6" t="str">
        <f t="shared" ref="C621:D621" si="722">C620</f>
        <v/>
      </c>
      <c r="D621" s="6" t="str">
        <f t="shared" si="722"/>
        <v/>
      </c>
      <c r="E621" s="10" t="str">
        <f>IF(ISBLANK(A620),"",E620+1)</f>
        <v/>
      </c>
      <c r="F621" s="11" t="str">
        <f t="shared" ref="F621:F625" si="725">F620</f>
        <v/>
      </c>
      <c r="G621" s="8"/>
    </row>
    <row r="622">
      <c r="A622" s="9" t="str">
        <f t="shared" si="723"/>
        <v/>
      </c>
      <c r="B622" s="9" t="str">
        <f>IF(ISBLANK(A620),"",LEFT(B621,27)&amp;VALUE(RIGHT(B621,1)+1))</f>
        <v/>
      </c>
      <c r="C622" s="6" t="str">
        <f t="shared" ref="C622:D622" si="724">C621</f>
        <v/>
      </c>
      <c r="D622" s="6" t="str">
        <f t="shared" si="724"/>
        <v/>
      </c>
      <c r="E622" s="10" t="str">
        <f>IF(ISBLANK(A620),"",E621+1)</f>
        <v/>
      </c>
      <c r="F622" s="11" t="str">
        <f t="shared" si="725"/>
        <v/>
      </c>
      <c r="G622" s="8"/>
    </row>
    <row r="623">
      <c r="A623" s="9" t="str">
        <f t="shared" si="723"/>
        <v/>
      </c>
      <c r="B623" s="9" t="str">
        <f>IF(ISBLANK(A620),"",LEFT(B622,27)&amp;VALUE(RIGHT(B622,1)+1))</f>
        <v/>
      </c>
      <c r="C623" s="6" t="str">
        <f t="shared" ref="C623:D623" si="726">C622</f>
        <v/>
      </c>
      <c r="D623" s="6" t="str">
        <f t="shared" si="726"/>
        <v/>
      </c>
      <c r="E623" s="10" t="str">
        <f>IF(ISBLANK(A620),"",E622+1)</f>
        <v/>
      </c>
      <c r="F623" s="11" t="str">
        <f t="shared" si="725"/>
        <v/>
      </c>
      <c r="G623" s="8"/>
    </row>
    <row r="624">
      <c r="A624" s="9" t="str">
        <f t="shared" si="723"/>
        <v/>
      </c>
      <c r="B624" s="9" t="str">
        <f>IF(ISBLANK(A620),"",LEFT(B623,27)&amp;VALUE(RIGHT(B623,1)+1))</f>
        <v/>
      </c>
      <c r="C624" s="6" t="str">
        <f t="shared" ref="C624:D624" si="727">C623</f>
        <v/>
      </c>
      <c r="D624" s="6" t="str">
        <f t="shared" si="727"/>
        <v/>
      </c>
      <c r="E624" s="10" t="str">
        <f>IF(ISBLANK(A620),"",E623+1)</f>
        <v/>
      </c>
      <c r="F624" s="11" t="str">
        <f t="shared" si="725"/>
        <v/>
      </c>
      <c r="G624" s="8"/>
    </row>
    <row r="625">
      <c r="A625" s="12" t="str">
        <f t="shared" si="723"/>
        <v/>
      </c>
      <c r="B625" s="12" t="str">
        <f>IF(ISBLANK(A620),"",LEFT(B624,27)&amp;VALUE(RIGHT(B624,1)+1))</f>
        <v/>
      </c>
      <c r="C625" s="13" t="str">
        <f t="shared" ref="C625:D625" si="728">C624</f>
        <v/>
      </c>
      <c r="D625" s="13" t="str">
        <f t="shared" si="728"/>
        <v/>
      </c>
      <c r="E625" s="14" t="str">
        <f>IF(ISBLANK(A620),"",E624+1)</f>
        <v/>
      </c>
      <c r="F625" s="15" t="str">
        <f t="shared" si="725"/>
        <v/>
      </c>
      <c r="G625" s="16"/>
    </row>
    <row r="626">
      <c r="A626" s="5"/>
      <c r="B626" s="6" t="str">
        <f t="array" ref="B626">IF(ISBLANK(A626),"",IF(A626="PROREP (L)",VLOOKUP(LEFT($A626,6),'Data Feed (20C)'!$A$1:$G$10,2,FALSE),IF(A626="PROREP (S)", INDEX('Data Feed (20C)'!B:B, MATCH(LEFT($A626,6), 'Data Feed (20C)'!$A$1:$A$10, 0) + 1), VLOOKUP($A626,'Data Feed (20C)'!$A$1:$G$10,2,FALSE))))</f>
        <v/>
      </c>
      <c r="C626" s="6" t="str">
        <f t="array" ref="C626">IF(ISBLANK(A626),"",IF(A626="PROREP (L)",VLOOKUP(LEFT($A626,6),'Data Feed (20C)'!$A$1:$G$10,3,FALSE),IF(A626="PROREP (S)", INDEX('Data Feed (20C)'!C:C, MATCH(LEFT($A626,6), 'Data Feed (20C)'!$A$1:$A$10, 0) + 1, +1), VLOOKUP($A626,'Data Feed (20C)'!$A$1:$G$10,3,FALSE))))</f>
        <v/>
      </c>
      <c r="D626" s="6" t="str">
        <f t="array" ref="D626">IF(ISBLANK(A626),"",IF(A626="PROREP (L)",VLOOKUP(LEFT($A626,6),'Data Feed (20C)'!$A$1:$G$10,4,FALSE),IF(A626="PROREP (S)", INDEX('Data Feed (20C)'!D:D, MATCH(LEFT($A626,6), 'Data Feed (20C)'!$A$1:$A$10, 0) + 1, +1), VLOOKUP($A626,'Data Feed (20C)'!$A$1:$G$10,4,FALSE))))</f>
        <v/>
      </c>
      <c r="E626" s="6" t="str">
        <f t="array" ref="E626">IF(ISBLANK(A626),"",IF(A626="PROREP (L)",VLOOKUP(LEFT($A626,6),'Data Feed (20C)'!$A$1:$G$10,7,FALSE),IF(A626="PROREP (S)", INDEX('Data Feed (20C)'!G:G, MATCH(LEFT($A626,6), 'Data Feed (20C)'!$A$1:$A$10, 0) + 1, +1), VLOOKUP($A626,'Data Feed (20C)'!$A$1:$G$10,7,FALSE))))</f>
        <v/>
      </c>
      <c r="F626" s="7"/>
      <c r="G626" s="8"/>
    </row>
    <row r="627">
      <c r="A627" s="9" t="str">
        <f t="shared" ref="A627:A631" si="730">A626</f>
        <v/>
      </c>
      <c r="B627" s="9" t="str">
        <f>IF(ISBLANK(A626),"",LEFT(B626,27)&amp;VALUE(RIGHT(B626,1)+1))</f>
        <v/>
      </c>
      <c r="C627" s="6" t="str">
        <f t="shared" ref="C627:D627" si="729">C626</f>
        <v/>
      </c>
      <c r="D627" s="6" t="str">
        <f t="shared" si="729"/>
        <v/>
      </c>
      <c r="E627" s="10" t="str">
        <f>IF(ISBLANK(A626),"",E626+1)</f>
        <v/>
      </c>
      <c r="F627" s="11" t="str">
        <f t="shared" ref="F627:F631" si="732">F626</f>
        <v/>
      </c>
      <c r="G627" s="8"/>
    </row>
    <row r="628">
      <c r="A628" s="9" t="str">
        <f t="shared" si="730"/>
        <v/>
      </c>
      <c r="B628" s="9" t="str">
        <f>IF(ISBLANK(A626),"",LEFT(B627,27)&amp;VALUE(RIGHT(B627,1)+1))</f>
        <v/>
      </c>
      <c r="C628" s="6" t="str">
        <f t="shared" ref="C628:D628" si="731">C627</f>
        <v/>
      </c>
      <c r="D628" s="6" t="str">
        <f t="shared" si="731"/>
        <v/>
      </c>
      <c r="E628" s="10" t="str">
        <f>IF(ISBLANK(A626),"",E627+1)</f>
        <v/>
      </c>
      <c r="F628" s="11" t="str">
        <f t="shared" si="732"/>
        <v/>
      </c>
      <c r="G628" s="8"/>
    </row>
    <row r="629">
      <c r="A629" s="9" t="str">
        <f t="shared" si="730"/>
        <v/>
      </c>
      <c r="B629" s="9" t="str">
        <f>IF(ISBLANK(A626),"",LEFT(B628,27)&amp;VALUE(RIGHT(B628,1)+1))</f>
        <v/>
      </c>
      <c r="C629" s="6" t="str">
        <f t="shared" ref="C629:D629" si="733">C628</f>
        <v/>
      </c>
      <c r="D629" s="6" t="str">
        <f t="shared" si="733"/>
        <v/>
      </c>
      <c r="E629" s="10" t="str">
        <f>IF(ISBLANK(A626),"",E628+1)</f>
        <v/>
      </c>
      <c r="F629" s="11" t="str">
        <f t="shared" si="732"/>
        <v/>
      </c>
      <c r="G629" s="8"/>
    </row>
    <row r="630">
      <c r="A630" s="9" t="str">
        <f t="shared" si="730"/>
        <v/>
      </c>
      <c r="B630" s="9" t="str">
        <f>IF(ISBLANK(A626),"",LEFT(B629,27)&amp;VALUE(RIGHT(B629,1)+1))</f>
        <v/>
      </c>
      <c r="C630" s="6" t="str">
        <f t="shared" ref="C630:D630" si="734">C629</f>
        <v/>
      </c>
      <c r="D630" s="6" t="str">
        <f t="shared" si="734"/>
        <v/>
      </c>
      <c r="E630" s="10" t="str">
        <f>IF(ISBLANK(A626),"",E629+1)</f>
        <v/>
      </c>
      <c r="F630" s="11" t="str">
        <f t="shared" si="732"/>
        <v/>
      </c>
      <c r="G630" s="8"/>
    </row>
    <row r="631">
      <c r="A631" s="12" t="str">
        <f t="shared" si="730"/>
        <v/>
      </c>
      <c r="B631" s="12" t="str">
        <f>IF(ISBLANK(A626),"",LEFT(B630,27)&amp;VALUE(RIGHT(B630,1)+1))</f>
        <v/>
      </c>
      <c r="C631" s="13" t="str">
        <f t="shared" ref="C631:D631" si="735">C630</f>
        <v/>
      </c>
      <c r="D631" s="13" t="str">
        <f t="shared" si="735"/>
        <v/>
      </c>
      <c r="E631" s="14" t="str">
        <f>IF(ISBLANK(A626),"",E630+1)</f>
        <v/>
      </c>
      <c r="F631" s="15" t="str">
        <f t="shared" si="732"/>
        <v/>
      </c>
      <c r="G631" s="16"/>
    </row>
    <row r="632">
      <c r="A632" s="5"/>
      <c r="B632" s="6" t="str">
        <f t="array" ref="B632">IF(ISBLANK(A632),"",IF(A632="PROREP (L)",VLOOKUP(LEFT($A632,6),'Data Feed (20C)'!$A$1:$G$10,2,FALSE),IF(A632="PROREP (S)", INDEX('Data Feed (20C)'!B:B, MATCH(LEFT($A632,6), 'Data Feed (20C)'!$A$1:$A$10, 0) + 1), VLOOKUP($A632,'Data Feed (20C)'!$A$1:$G$10,2,FALSE))))</f>
        <v/>
      </c>
      <c r="C632" s="6" t="str">
        <f t="array" ref="C632">IF(ISBLANK(A632),"",IF(A632="PROREP (L)",VLOOKUP(LEFT($A632,6),'Data Feed (20C)'!$A$1:$G$10,3,FALSE),IF(A632="PROREP (S)", INDEX('Data Feed (20C)'!C:C, MATCH(LEFT($A632,6), 'Data Feed (20C)'!$A$1:$A$10, 0) + 1, +1), VLOOKUP($A632,'Data Feed (20C)'!$A$1:$G$10,3,FALSE))))</f>
        <v/>
      </c>
      <c r="D632" s="6" t="str">
        <f t="array" ref="D632">IF(ISBLANK(A632),"",IF(A632="PROREP (L)",VLOOKUP(LEFT($A632,6),'Data Feed (20C)'!$A$1:$G$10,4,FALSE),IF(A632="PROREP (S)", INDEX('Data Feed (20C)'!D:D, MATCH(LEFT($A632,6), 'Data Feed (20C)'!$A$1:$A$10, 0) + 1, +1), VLOOKUP($A632,'Data Feed (20C)'!$A$1:$G$10,4,FALSE))))</f>
        <v/>
      </c>
      <c r="E632" s="6" t="str">
        <f t="array" ref="E632">IF(ISBLANK(A632),"",IF(A632="PROREP (L)",VLOOKUP(LEFT($A632,6),'Data Feed (20C)'!$A$1:$G$10,7,FALSE),IF(A632="PROREP (S)", INDEX('Data Feed (20C)'!G:G, MATCH(LEFT($A632,6), 'Data Feed (20C)'!$A$1:$A$10, 0) + 1, +1), VLOOKUP($A632,'Data Feed (20C)'!$A$1:$G$10,7,FALSE))))</f>
        <v/>
      </c>
      <c r="F632" s="7"/>
      <c r="G632" s="8"/>
    </row>
    <row r="633">
      <c r="A633" s="9" t="str">
        <f t="shared" ref="A633:A637" si="737">A632</f>
        <v/>
      </c>
      <c r="B633" s="9" t="str">
        <f>IF(ISBLANK(A632),"",LEFT(B632,27)&amp;VALUE(RIGHT(B632,1)+1))</f>
        <v/>
      </c>
      <c r="C633" s="6" t="str">
        <f t="shared" ref="C633:D633" si="736">C632</f>
        <v/>
      </c>
      <c r="D633" s="6" t="str">
        <f t="shared" si="736"/>
        <v/>
      </c>
      <c r="E633" s="10" t="str">
        <f>IF(ISBLANK(A632),"",E632+1)</f>
        <v/>
      </c>
      <c r="F633" s="11" t="str">
        <f t="shared" ref="F633:F637" si="739">F632</f>
        <v/>
      </c>
      <c r="G633" s="8"/>
    </row>
    <row r="634">
      <c r="A634" s="9" t="str">
        <f t="shared" si="737"/>
        <v/>
      </c>
      <c r="B634" s="9" t="str">
        <f>IF(ISBLANK(A632),"",LEFT(B633,27)&amp;VALUE(RIGHT(B633,1)+1))</f>
        <v/>
      </c>
      <c r="C634" s="6" t="str">
        <f t="shared" ref="C634:D634" si="738">C633</f>
        <v/>
      </c>
      <c r="D634" s="6" t="str">
        <f t="shared" si="738"/>
        <v/>
      </c>
      <c r="E634" s="10" t="str">
        <f>IF(ISBLANK(A632),"",E633+1)</f>
        <v/>
      </c>
      <c r="F634" s="11" t="str">
        <f t="shared" si="739"/>
        <v/>
      </c>
      <c r="G634" s="8"/>
    </row>
    <row r="635">
      <c r="A635" s="9" t="str">
        <f t="shared" si="737"/>
        <v/>
      </c>
      <c r="B635" s="9" t="str">
        <f>IF(ISBLANK(A632),"",LEFT(B634,27)&amp;VALUE(RIGHT(B634,1)+1))</f>
        <v/>
      </c>
      <c r="C635" s="6" t="str">
        <f t="shared" ref="C635:D635" si="740">C634</f>
        <v/>
      </c>
      <c r="D635" s="6" t="str">
        <f t="shared" si="740"/>
        <v/>
      </c>
      <c r="E635" s="10" t="str">
        <f>IF(ISBLANK(A632),"",E634+1)</f>
        <v/>
      </c>
      <c r="F635" s="11" t="str">
        <f t="shared" si="739"/>
        <v/>
      </c>
      <c r="G635" s="8"/>
    </row>
    <row r="636">
      <c r="A636" s="9" t="str">
        <f t="shared" si="737"/>
        <v/>
      </c>
      <c r="B636" s="9" t="str">
        <f>IF(ISBLANK(A632),"",LEFT(B635,27)&amp;VALUE(RIGHT(B635,1)+1))</f>
        <v/>
      </c>
      <c r="C636" s="6" t="str">
        <f t="shared" ref="C636:D636" si="741">C635</f>
        <v/>
      </c>
      <c r="D636" s="6" t="str">
        <f t="shared" si="741"/>
        <v/>
      </c>
      <c r="E636" s="10" t="str">
        <f>IF(ISBLANK(A632),"",E635+1)</f>
        <v/>
      </c>
      <c r="F636" s="11" t="str">
        <f t="shared" si="739"/>
        <v/>
      </c>
      <c r="G636" s="8"/>
    </row>
    <row r="637">
      <c r="A637" s="12" t="str">
        <f t="shared" si="737"/>
        <v/>
      </c>
      <c r="B637" s="12" t="str">
        <f>IF(ISBLANK(A632),"",LEFT(B636,27)&amp;VALUE(RIGHT(B636,1)+1))</f>
        <v/>
      </c>
      <c r="C637" s="13" t="str">
        <f t="shared" ref="C637:D637" si="742">C636</f>
        <v/>
      </c>
      <c r="D637" s="13" t="str">
        <f t="shared" si="742"/>
        <v/>
      </c>
      <c r="E637" s="14" t="str">
        <f>IF(ISBLANK(A632),"",E636+1)</f>
        <v/>
      </c>
      <c r="F637" s="15" t="str">
        <f t="shared" si="739"/>
        <v/>
      </c>
      <c r="G637" s="16"/>
    </row>
    <row r="638">
      <c r="A638" s="5"/>
      <c r="B638" s="6" t="str">
        <f t="array" ref="B638">IF(ISBLANK(A638),"",IF(A638="PROREP (L)",VLOOKUP(LEFT($A638,6),'Data Feed (20C)'!$A$1:$G$10,2,FALSE),IF(A638="PROREP (S)", INDEX('Data Feed (20C)'!B:B, MATCH(LEFT($A638,6), 'Data Feed (20C)'!$A$1:$A$10, 0) + 1), VLOOKUP($A638,'Data Feed (20C)'!$A$1:$G$10,2,FALSE))))</f>
        <v/>
      </c>
      <c r="C638" s="6" t="str">
        <f t="array" ref="C638">IF(ISBLANK(A638),"",IF(A638="PROREP (L)",VLOOKUP(LEFT($A638,6),'Data Feed (20C)'!$A$1:$G$10,3,FALSE),IF(A638="PROREP (S)", INDEX('Data Feed (20C)'!C:C, MATCH(LEFT($A638,6), 'Data Feed (20C)'!$A$1:$A$10, 0) + 1, +1), VLOOKUP($A638,'Data Feed (20C)'!$A$1:$G$10,3,FALSE))))</f>
        <v/>
      </c>
      <c r="D638" s="6" t="str">
        <f t="array" ref="D638">IF(ISBLANK(A638),"",IF(A638="PROREP (L)",VLOOKUP(LEFT($A638,6),'Data Feed (20C)'!$A$1:$G$10,4,FALSE),IF(A638="PROREP (S)", INDEX('Data Feed (20C)'!D:D, MATCH(LEFT($A638,6), 'Data Feed (20C)'!$A$1:$A$10, 0) + 1, +1), VLOOKUP($A638,'Data Feed (20C)'!$A$1:$G$10,4,FALSE))))</f>
        <v/>
      </c>
      <c r="E638" s="6" t="str">
        <f t="array" ref="E638">IF(ISBLANK(A638),"",IF(A638="PROREP (L)",VLOOKUP(LEFT($A638,6),'Data Feed (20C)'!$A$1:$G$10,7,FALSE),IF(A638="PROREP (S)", INDEX('Data Feed (20C)'!G:G, MATCH(LEFT($A638,6), 'Data Feed (20C)'!$A$1:$A$10, 0) + 1, +1), VLOOKUP($A638,'Data Feed (20C)'!$A$1:$G$10,7,FALSE))))</f>
        <v/>
      </c>
      <c r="F638" s="7"/>
      <c r="G638" s="8"/>
    </row>
    <row r="639">
      <c r="A639" s="9" t="str">
        <f t="shared" ref="A639:A643" si="744">A638</f>
        <v/>
      </c>
      <c r="B639" s="9" t="str">
        <f>IF(ISBLANK(A638),"",LEFT(B638,27)&amp;VALUE(RIGHT(B638,1)+1))</f>
        <v/>
      </c>
      <c r="C639" s="6" t="str">
        <f t="shared" ref="C639:D639" si="743">C638</f>
        <v/>
      </c>
      <c r="D639" s="6" t="str">
        <f t="shared" si="743"/>
        <v/>
      </c>
      <c r="E639" s="10" t="str">
        <f>IF(ISBLANK(A638),"",E638+1)</f>
        <v/>
      </c>
      <c r="F639" s="11" t="str">
        <f t="shared" ref="F639:F643" si="746">F638</f>
        <v/>
      </c>
      <c r="G639" s="8"/>
    </row>
    <row r="640">
      <c r="A640" s="9" t="str">
        <f t="shared" si="744"/>
        <v/>
      </c>
      <c r="B640" s="9" t="str">
        <f>IF(ISBLANK(A638),"",LEFT(B639,27)&amp;VALUE(RIGHT(B639,1)+1))</f>
        <v/>
      </c>
      <c r="C640" s="6" t="str">
        <f t="shared" ref="C640:D640" si="745">C639</f>
        <v/>
      </c>
      <c r="D640" s="6" t="str">
        <f t="shared" si="745"/>
        <v/>
      </c>
      <c r="E640" s="10" t="str">
        <f>IF(ISBLANK(A638),"",E639+1)</f>
        <v/>
      </c>
      <c r="F640" s="11" t="str">
        <f t="shared" si="746"/>
        <v/>
      </c>
      <c r="G640" s="8"/>
    </row>
    <row r="641">
      <c r="A641" s="9" t="str">
        <f t="shared" si="744"/>
        <v/>
      </c>
      <c r="B641" s="9" t="str">
        <f>IF(ISBLANK(A638),"",LEFT(B640,27)&amp;VALUE(RIGHT(B640,1)+1))</f>
        <v/>
      </c>
      <c r="C641" s="6" t="str">
        <f t="shared" ref="C641:D641" si="747">C640</f>
        <v/>
      </c>
      <c r="D641" s="6" t="str">
        <f t="shared" si="747"/>
        <v/>
      </c>
      <c r="E641" s="10" t="str">
        <f>IF(ISBLANK(A638),"",E640+1)</f>
        <v/>
      </c>
      <c r="F641" s="11" t="str">
        <f t="shared" si="746"/>
        <v/>
      </c>
      <c r="G641" s="8"/>
    </row>
    <row r="642">
      <c r="A642" s="9" t="str">
        <f t="shared" si="744"/>
        <v/>
      </c>
      <c r="B642" s="9" t="str">
        <f>IF(ISBLANK(A638),"",LEFT(B641,27)&amp;VALUE(RIGHT(B641,1)+1))</f>
        <v/>
      </c>
      <c r="C642" s="6" t="str">
        <f t="shared" ref="C642:D642" si="748">C641</f>
        <v/>
      </c>
      <c r="D642" s="6" t="str">
        <f t="shared" si="748"/>
        <v/>
      </c>
      <c r="E642" s="10" t="str">
        <f>IF(ISBLANK(A638),"",E641+1)</f>
        <v/>
      </c>
      <c r="F642" s="11" t="str">
        <f t="shared" si="746"/>
        <v/>
      </c>
      <c r="G642" s="8"/>
    </row>
    <row r="643">
      <c r="A643" s="12" t="str">
        <f t="shared" si="744"/>
        <v/>
      </c>
      <c r="B643" s="12" t="str">
        <f>IF(ISBLANK(A638),"",LEFT(B642,27)&amp;VALUE(RIGHT(B642,1)+1))</f>
        <v/>
      </c>
      <c r="C643" s="13" t="str">
        <f t="shared" ref="C643:D643" si="749">C642</f>
        <v/>
      </c>
      <c r="D643" s="13" t="str">
        <f t="shared" si="749"/>
        <v/>
      </c>
      <c r="E643" s="14" t="str">
        <f>IF(ISBLANK(A638),"",E642+1)</f>
        <v/>
      </c>
      <c r="F643" s="15" t="str">
        <f t="shared" si="746"/>
        <v/>
      </c>
      <c r="G643" s="16"/>
    </row>
    <row r="644">
      <c r="A644" s="5"/>
      <c r="B644" s="6" t="str">
        <f t="array" ref="B644">IF(ISBLANK(A644),"",IF(A644="PROREP (L)",VLOOKUP(LEFT($A644,6),'Data Feed (20C)'!$A$1:$G$10,2,FALSE),IF(A644="PROREP (S)", INDEX('Data Feed (20C)'!B:B, MATCH(LEFT($A644,6), 'Data Feed (20C)'!$A$1:$A$10, 0) + 1), VLOOKUP($A644,'Data Feed (20C)'!$A$1:$G$10,2,FALSE))))</f>
        <v/>
      </c>
      <c r="C644" s="6" t="str">
        <f t="array" ref="C644">IF(ISBLANK(A644),"",IF(A644="PROREP (L)",VLOOKUP(LEFT($A644,6),'Data Feed (20C)'!$A$1:$G$10,3,FALSE),IF(A644="PROREP (S)", INDEX('Data Feed (20C)'!C:C, MATCH(LEFT($A644,6), 'Data Feed (20C)'!$A$1:$A$10, 0) + 1, +1), VLOOKUP($A644,'Data Feed (20C)'!$A$1:$G$10,3,FALSE))))</f>
        <v/>
      </c>
      <c r="D644" s="6" t="str">
        <f t="array" ref="D644">IF(ISBLANK(A644),"",IF(A644="PROREP (L)",VLOOKUP(LEFT($A644,6),'Data Feed (20C)'!$A$1:$G$10,4,FALSE),IF(A644="PROREP (S)", INDEX('Data Feed (20C)'!D:D, MATCH(LEFT($A644,6), 'Data Feed (20C)'!$A$1:$A$10, 0) + 1, +1), VLOOKUP($A644,'Data Feed (20C)'!$A$1:$G$10,4,FALSE))))</f>
        <v/>
      </c>
      <c r="E644" s="6" t="str">
        <f t="array" ref="E644">IF(ISBLANK(A644),"",IF(A644="PROREP (L)",VLOOKUP(LEFT($A644,6),'Data Feed (20C)'!$A$1:$G$10,7,FALSE),IF(A644="PROREP (S)", INDEX('Data Feed (20C)'!G:G, MATCH(LEFT($A644,6), 'Data Feed (20C)'!$A$1:$A$10, 0) + 1, +1), VLOOKUP($A644,'Data Feed (20C)'!$A$1:$G$10,7,FALSE))))</f>
        <v/>
      </c>
      <c r="F644" s="7"/>
      <c r="G644" s="8"/>
    </row>
    <row r="645">
      <c r="A645" s="9" t="str">
        <f t="shared" ref="A645:A649" si="751">A644</f>
        <v/>
      </c>
      <c r="B645" s="9" t="str">
        <f>IF(ISBLANK(A644),"",LEFT(B644,27)&amp;VALUE(RIGHT(B644,1)+1))</f>
        <v/>
      </c>
      <c r="C645" s="6" t="str">
        <f t="shared" ref="C645:D645" si="750">C644</f>
        <v/>
      </c>
      <c r="D645" s="6" t="str">
        <f t="shared" si="750"/>
        <v/>
      </c>
      <c r="E645" s="10" t="str">
        <f>IF(ISBLANK(A644),"",E644+1)</f>
        <v/>
      </c>
      <c r="F645" s="11" t="str">
        <f t="shared" ref="F645:F649" si="753">F644</f>
        <v/>
      </c>
      <c r="G645" s="8"/>
    </row>
    <row r="646">
      <c r="A646" s="9" t="str">
        <f t="shared" si="751"/>
        <v/>
      </c>
      <c r="B646" s="9" t="str">
        <f>IF(ISBLANK(A644),"",LEFT(B645,27)&amp;VALUE(RIGHT(B645,1)+1))</f>
        <v/>
      </c>
      <c r="C646" s="6" t="str">
        <f t="shared" ref="C646:D646" si="752">C645</f>
        <v/>
      </c>
      <c r="D646" s="6" t="str">
        <f t="shared" si="752"/>
        <v/>
      </c>
      <c r="E646" s="10" t="str">
        <f>IF(ISBLANK(A644),"",E645+1)</f>
        <v/>
      </c>
      <c r="F646" s="11" t="str">
        <f t="shared" si="753"/>
        <v/>
      </c>
      <c r="G646" s="8"/>
    </row>
    <row r="647">
      <c r="A647" s="9" t="str">
        <f t="shared" si="751"/>
        <v/>
      </c>
      <c r="B647" s="9" t="str">
        <f>IF(ISBLANK(A644),"",LEFT(B646,27)&amp;VALUE(RIGHT(B646,1)+1))</f>
        <v/>
      </c>
      <c r="C647" s="6" t="str">
        <f t="shared" ref="C647:D647" si="754">C646</f>
        <v/>
      </c>
      <c r="D647" s="6" t="str">
        <f t="shared" si="754"/>
        <v/>
      </c>
      <c r="E647" s="10" t="str">
        <f>IF(ISBLANK(A644),"",E646+1)</f>
        <v/>
      </c>
      <c r="F647" s="11" t="str">
        <f t="shared" si="753"/>
        <v/>
      </c>
      <c r="G647" s="8"/>
    </row>
    <row r="648">
      <c r="A648" s="9" t="str">
        <f t="shared" si="751"/>
        <v/>
      </c>
      <c r="B648" s="9" t="str">
        <f>IF(ISBLANK(A644),"",LEFT(B647,27)&amp;VALUE(RIGHT(B647,1)+1))</f>
        <v/>
      </c>
      <c r="C648" s="6" t="str">
        <f t="shared" ref="C648:D648" si="755">C647</f>
        <v/>
      </c>
      <c r="D648" s="6" t="str">
        <f t="shared" si="755"/>
        <v/>
      </c>
      <c r="E648" s="10" t="str">
        <f>IF(ISBLANK(A644),"",E647+1)</f>
        <v/>
      </c>
      <c r="F648" s="11" t="str">
        <f t="shared" si="753"/>
        <v/>
      </c>
      <c r="G648" s="8"/>
    </row>
    <row r="649">
      <c r="A649" s="12" t="str">
        <f t="shared" si="751"/>
        <v/>
      </c>
      <c r="B649" s="12" t="str">
        <f>IF(ISBLANK(A644),"",LEFT(B648,27)&amp;VALUE(RIGHT(B648,1)+1))</f>
        <v/>
      </c>
      <c r="C649" s="13" t="str">
        <f t="shared" ref="C649:D649" si="756">C648</f>
        <v/>
      </c>
      <c r="D649" s="13" t="str">
        <f t="shared" si="756"/>
        <v/>
      </c>
      <c r="E649" s="14" t="str">
        <f>IF(ISBLANK(A644),"",E648+1)</f>
        <v/>
      </c>
      <c r="F649" s="15" t="str">
        <f t="shared" si="753"/>
        <v/>
      </c>
      <c r="G649" s="16"/>
    </row>
    <row r="650">
      <c r="A650" s="5"/>
      <c r="B650" s="6" t="str">
        <f t="array" ref="B650">IF(ISBLANK(A650),"",IF(A650="PROREP (L)",VLOOKUP(LEFT($A650,6),'Data Feed (20C)'!$A$1:$G$10,2,FALSE),IF(A650="PROREP (S)", INDEX('Data Feed (20C)'!B:B, MATCH(LEFT($A650,6), 'Data Feed (20C)'!$A$1:$A$10, 0) + 1), VLOOKUP($A650,'Data Feed (20C)'!$A$1:$G$10,2,FALSE))))</f>
        <v/>
      </c>
      <c r="C650" s="6" t="str">
        <f t="array" ref="C650">IF(ISBLANK(A650),"",IF(A650="PROREP (L)",VLOOKUP(LEFT($A650,6),'Data Feed (20C)'!$A$1:$G$10,3,FALSE),IF(A650="PROREP (S)", INDEX('Data Feed (20C)'!C:C, MATCH(LEFT($A650,6), 'Data Feed (20C)'!$A$1:$A$10, 0) + 1, +1), VLOOKUP($A650,'Data Feed (20C)'!$A$1:$G$10,3,FALSE))))</f>
        <v/>
      </c>
      <c r="D650" s="6" t="str">
        <f t="array" ref="D650">IF(ISBLANK(A650),"",IF(A650="PROREP (L)",VLOOKUP(LEFT($A650,6),'Data Feed (20C)'!$A$1:$G$10,4,FALSE),IF(A650="PROREP (S)", INDEX('Data Feed (20C)'!D:D, MATCH(LEFT($A650,6), 'Data Feed (20C)'!$A$1:$A$10, 0) + 1, +1), VLOOKUP($A650,'Data Feed (20C)'!$A$1:$G$10,4,FALSE))))</f>
        <v/>
      </c>
      <c r="E650" s="6" t="str">
        <f t="array" ref="E650">IF(ISBLANK(A650),"",IF(A650="PROREP (L)",VLOOKUP(LEFT($A650,6),'Data Feed (20C)'!$A$1:$G$10,7,FALSE),IF(A650="PROREP (S)", INDEX('Data Feed (20C)'!G:G, MATCH(LEFT($A650,6), 'Data Feed (20C)'!$A$1:$A$10, 0) + 1, +1), VLOOKUP($A650,'Data Feed (20C)'!$A$1:$G$10,7,FALSE))))</f>
        <v/>
      </c>
      <c r="F650" s="7"/>
      <c r="G650" s="8"/>
    </row>
    <row r="651">
      <c r="A651" s="9" t="str">
        <f t="shared" ref="A651:A655" si="758">A650</f>
        <v/>
      </c>
      <c r="B651" s="9" t="str">
        <f>IF(ISBLANK(A650),"",LEFT(B650,27)&amp;VALUE(RIGHT(B650,1)+1))</f>
        <v/>
      </c>
      <c r="C651" s="6" t="str">
        <f t="shared" ref="C651:D651" si="757">C650</f>
        <v/>
      </c>
      <c r="D651" s="6" t="str">
        <f t="shared" si="757"/>
        <v/>
      </c>
      <c r="E651" s="10" t="str">
        <f>IF(ISBLANK(A650),"",E650+1)</f>
        <v/>
      </c>
      <c r="F651" s="11" t="str">
        <f t="shared" ref="F651:F655" si="760">F650</f>
        <v/>
      </c>
      <c r="G651" s="8"/>
    </row>
    <row r="652">
      <c r="A652" s="9" t="str">
        <f t="shared" si="758"/>
        <v/>
      </c>
      <c r="B652" s="9" t="str">
        <f>IF(ISBLANK(A650),"",LEFT(B651,27)&amp;VALUE(RIGHT(B651,1)+1))</f>
        <v/>
      </c>
      <c r="C652" s="6" t="str">
        <f t="shared" ref="C652:D652" si="759">C651</f>
        <v/>
      </c>
      <c r="D652" s="6" t="str">
        <f t="shared" si="759"/>
        <v/>
      </c>
      <c r="E652" s="10" t="str">
        <f>IF(ISBLANK(A650),"",E651+1)</f>
        <v/>
      </c>
      <c r="F652" s="11" t="str">
        <f t="shared" si="760"/>
        <v/>
      </c>
      <c r="G652" s="8"/>
    </row>
    <row r="653">
      <c r="A653" s="9" t="str">
        <f t="shared" si="758"/>
        <v/>
      </c>
      <c r="B653" s="9" t="str">
        <f>IF(ISBLANK(A650),"",LEFT(B652,27)&amp;VALUE(RIGHT(B652,1)+1))</f>
        <v/>
      </c>
      <c r="C653" s="6" t="str">
        <f t="shared" ref="C653:D653" si="761">C652</f>
        <v/>
      </c>
      <c r="D653" s="6" t="str">
        <f t="shared" si="761"/>
        <v/>
      </c>
      <c r="E653" s="10" t="str">
        <f>IF(ISBLANK(A650),"",E652+1)</f>
        <v/>
      </c>
      <c r="F653" s="11" t="str">
        <f t="shared" si="760"/>
        <v/>
      </c>
      <c r="G653" s="8"/>
    </row>
    <row r="654">
      <c r="A654" s="9" t="str">
        <f t="shared" si="758"/>
        <v/>
      </c>
      <c r="B654" s="9" t="str">
        <f>IF(ISBLANK(A650),"",LEFT(B653,27)&amp;VALUE(RIGHT(B653,1)+1))</f>
        <v/>
      </c>
      <c r="C654" s="6" t="str">
        <f t="shared" ref="C654:D654" si="762">C653</f>
        <v/>
      </c>
      <c r="D654" s="6" t="str">
        <f t="shared" si="762"/>
        <v/>
      </c>
      <c r="E654" s="10" t="str">
        <f>IF(ISBLANK(A650),"",E653+1)</f>
        <v/>
      </c>
      <c r="F654" s="11" t="str">
        <f t="shared" si="760"/>
        <v/>
      </c>
      <c r="G654" s="8"/>
    </row>
    <row r="655">
      <c r="A655" s="12" t="str">
        <f t="shared" si="758"/>
        <v/>
      </c>
      <c r="B655" s="12" t="str">
        <f>IF(ISBLANK(A650),"",LEFT(B654,27)&amp;VALUE(RIGHT(B654,1)+1))</f>
        <v/>
      </c>
      <c r="C655" s="13" t="str">
        <f t="shared" ref="C655:D655" si="763">C654</f>
        <v/>
      </c>
      <c r="D655" s="13" t="str">
        <f t="shared" si="763"/>
        <v/>
      </c>
      <c r="E655" s="14" t="str">
        <f>IF(ISBLANK(A650),"",E654+1)</f>
        <v/>
      </c>
      <c r="F655" s="15" t="str">
        <f t="shared" si="760"/>
        <v/>
      </c>
      <c r="G655" s="16"/>
    </row>
    <row r="656">
      <c r="A656" s="5"/>
      <c r="B656" s="6" t="str">
        <f t="array" ref="B656">IF(ISBLANK(A656),"",IF(A656="PROREP (L)",VLOOKUP(LEFT($A656,6),'Data Feed (20C)'!$A$1:$G$10,2,FALSE),IF(A656="PROREP (S)", INDEX('Data Feed (20C)'!B:B, MATCH(LEFT($A656,6), 'Data Feed (20C)'!$A$1:$A$10, 0) + 1), VLOOKUP($A656,'Data Feed (20C)'!$A$1:$G$10,2,FALSE))))</f>
        <v/>
      </c>
      <c r="C656" s="6" t="str">
        <f t="array" ref="C656">IF(ISBLANK(A656),"",IF(A656="PROREP (L)",VLOOKUP(LEFT($A656,6),'Data Feed (20C)'!$A$1:$G$10,3,FALSE),IF(A656="PROREP (S)", INDEX('Data Feed (20C)'!C:C, MATCH(LEFT($A656,6), 'Data Feed (20C)'!$A$1:$A$10, 0) + 1, +1), VLOOKUP($A656,'Data Feed (20C)'!$A$1:$G$10,3,FALSE))))</f>
        <v/>
      </c>
      <c r="D656" s="6" t="str">
        <f t="array" ref="D656">IF(ISBLANK(A656),"",IF(A656="PROREP (L)",VLOOKUP(LEFT($A656,6),'Data Feed (20C)'!$A$1:$G$10,4,FALSE),IF(A656="PROREP (S)", INDEX('Data Feed (20C)'!D:D, MATCH(LEFT($A656,6), 'Data Feed (20C)'!$A$1:$A$10, 0) + 1, +1), VLOOKUP($A656,'Data Feed (20C)'!$A$1:$G$10,4,FALSE))))</f>
        <v/>
      </c>
      <c r="E656" s="6" t="str">
        <f t="array" ref="E656">IF(ISBLANK(A656),"",IF(A656="PROREP (L)",VLOOKUP(LEFT($A656,6),'Data Feed (20C)'!$A$1:$G$10,7,FALSE),IF(A656="PROREP (S)", INDEX('Data Feed (20C)'!G:G, MATCH(LEFT($A656,6), 'Data Feed (20C)'!$A$1:$A$10, 0) + 1, +1), VLOOKUP($A656,'Data Feed (20C)'!$A$1:$G$10,7,FALSE))))</f>
        <v/>
      </c>
      <c r="F656" s="7"/>
      <c r="G656" s="8"/>
    </row>
    <row r="657">
      <c r="A657" s="9" t="str">
        <f t="shared" ref="A657:A661" si="765">A656</f>
        <v/>
      </c>
      <c r="B657" s="9" t="str">
        <f>IF(ISBLANK(A656),"",LEFT(B656,27)&amp;VALUE(RIGHT(B656,1)+1))</f>
        <v/>
      </c>
      <c r="C657" s="6" t="str">
        <f t="shared" ref="C657:D657" si="764">C656</f>
        <v/>
      </c>
      <c r="D657" s="6" t="str">
        <f t="shared" si="764"/>
        <v/>
      </c>
      <c r="E657" s="10" t="str">
        <f>IF(ISBLANK(A656),"",E656+1)</f>
        <v/>
      </c>
      <c r="F657" s="11" t="str">
        <f t="shared" ref="F657:F661" si="767">F656</f>
        <v/>
      </c>
      <c r="G657" s="8"/>
    </row>
    <row r="658">
      <c r="A658" s="9" t="str">
        <f t="shared" si="765"/>
        <v/>
      </c>
      <c r="B658" s="9" t="str">
        <f>IF(ISBLANK(A656),"",LEFT(B657,27)&amp;VALUE(RIGHT(B657,1)+1))</f>
        <v/>
      </c>
      <c r="C658" s="6" t="str">
        <f t="shared" ref="C658:D658" si="766">C657</f>
        <v/>
      </c>
      <c r="D658" s="6" t="str">
        <f t="shared" si="766"/>
        <v/>
      </c>
      <c r="E658" s="10" t="str">
        <f>IF(ISBLANK(A656),"",E657+1)</f>
        <v/>
      </c>
      <c r="F658" s="11" t="str">
        <f t="shared" si="767"/>
        <v/>
      </c>
      <c r="G658" s="8"/>
    </row>
    <row r="659">
      <c r="A659" s="9" t="str">
        <f t="shared" si="765"/>
        <v/>
      </c>
      <c r="B659" s="9" t="str">
        <f>IF(ISBLANK(A656),"",LEFT(B658,27)&amp;VALUE(RIGHT(B658,1)+1))</f>
        <v/>
      </c>
      <c r="C659" s="6" t="str">
        <f t="shared" ref="C659:D659" si="768">C658</f>
        <v/>
      </c>
      <c r="D659" s="6" t="str">
        <f t="shared" si="768"/>
        <v/>
      </c>
      <c r="E659" s="10" t="str">
        <f>IF(ISBLANK(A656),"",E658+1)</f>
        <v/>
      </c>
      <c r="F659" s="11" t="str">
        <f t="shared" si="767"/>
        <v/>
      </c>
      <c r="G659" s="8"/>
    </row>
    <row r="660">
      <c r="A660" s="9" t="str">
        <f t="shared" si="765"/>
        <v/>
      </c>
      <c r="B660" s="9" t="str">
        <f>IF(ISBLANK(A656),"",LEFT(B659,27)&amp;VALUE(RIGHT(B659,1)+1))</f>
        <v/>
      </c>
      <c r="C660" s="6" t="str">
        <f t="shared" ref="C660:D660" si="769">C659</f>
        <v/>
      </c>
      <c r="D660" s="6" t="str">
        <f t="shared" si="769"/>
        <v/>
      </c>
      <c r="E660" s="10" t="str">
        <f>IF(ISBLANK(A656),"",E659+1)</f>
        <v/>
      </c>
      <c r="F660" s="11" t="str">
        <f t="shared" si="767"/>
        <v/>
      </c>
      <c r="G660" s="8"/>
    </row>
    <row r="661">
      <c r="A661" s="12" t="str">
        <f t="shared" si="765"/>
        <v/>
      </c>
      <c r="B661" s="12" t="str">
        <f>IF(ISBLANK(A656),"",LEFT(B660,27)&amp;VALUE(RIGHT(B660,1)+1))</f>
        <v/>
      </c>
      <c r="C661" s="13" t="str">
        <f t="shared" ref="C661:D661" si="770">C660</f>
        <v/>
      </c>
      <c r="D661" s="13" t="str">
        <f t="shared" si="770"/>
        <v/>
      </c>
      <c r="E661" s="14" t="str">
        <f>IF(ISBLANK(A656),"",E660+1)</f>
        <v/>
      </c>
      <c r="F661" s="15" t="str">
        <f t="shared" si="767"/>
        <v/>
      </c>
      <c r="G661" s="16"/>
    </row>
    <row r="662">
      <c r="A662" s="5"/>
      <c r="B662" s="6" t="str">
        <f t="array" ref="B662">IF(ISBLANK(A662),"",IF(A662="PROREP (L)",VLOOKUP(LEFT($A662,6),'Data Feed (20C)'!$A$1:$G$10,2,FALSE),IF(A662="PROREP (S)", INDEX('Data Feed (20C)'!B:B, MATCH(LEFT($A662,6), 'Data Feed (20C)'!$A$1:$A$10, 0) + 1), VLOOKUP($A662,'Data Feed (20C)'!$A$1:$G$10,2,FALSE))))</f>
        <v/>
      </c>
      <c r="C662" s="6" t="str">
        <f t="array" ref="C662">IF(ISBLANK(A662),"",IF(A662="PROREP (L)",VLOOKUP(LEFT($A662,6),'Data Feed (20C)'!$A$1:$G$10,3,FALSE),IF(A662="PROREP (S)", INDEX('Data Feed (20C)'!C:C, MATCH(LEFT($A662,6), 'Data Feed (20C)'!$A$1:$A$10, 0) + 1, +1), VLOOKUP($A662,'Data Feed (20C)'!$A$1:$G$10,3,FALSE))))</f>
        <v/>
      </c>
      <c r="D662" s="6" t="str">
        <f t="array" ref="D662">IF(ISBLANK(A662),"",IF(A662="PROREP (L)",VLOOKUP(LEFT($A662,6),'Data Feed (20C)'!$A$1:$G$10,4,FALSE),IF(A662="PROREP (S)", INDEX('Data Feed (20C)'!D:D, MATCH(LEFT($A662,6), 'Data Feed (20C)'!$A$1:$A$10, 0) + 1, +1), VLOOKUP($A662,'Data Feed (20C)'!$A$1:$G$10,4,FALSE))))</f>
        <v/>
      </c>
      <c r="E662" s="6" t="str">
        <f t="array" ref="E662">IF(ISBLANK(A662),"",IF(A662="PROREP (L)",VLOOKUP(LEFT($A662,6),'Data Feed (20C)'!$A$1:$G$10,7,FALSE),IF(A662="PROREP (S)", INDEX('Data Feed (20C)'!G:G, MATCH(LEFT($A662,6), 'Data Feed (20C)'!$A$1:$A$10, 0) + 1, +1), VLOOKUP($A662,'Data Feed (20C)'!$A$1:$G$10,7,FALSE))))</f>
        <v/>
      </c>
      <c r="F662" s="7"/>
      <c r="G662" s="8"/>
    </row>
    <row r="663">
      <c r="A663" s="9" t="str">
        <f t="shared" ref="A663:A667" si="772">A662</f>
        <v/>
      </c>
      <c r="B663" s="9" t="str">
        <f>IF(ISBLANK(A662),"",LEFT(B662,27)&amp;VALUE(RIGHT(B662,1)+1))</f>
        <v/>
      </c>
      <c r="C663" s="6" t="str">
        <f t="shared" ref="C663:D663" si="771">C662</f>
        <v/>
      </c>
      <c r="D663" s="6" t="str">
        <f t="shared" si="771"/>
        <v/>
      </c>
      <c r="E663" s="10" t="str">
        <f>IF(ISBLANK(A662),"",E662+1)</f>
        <v/>
      </c>
      <c r="F663" s="11" t="str">
        <f t="shared" ref="F663:F667" si="774">F662</f>
        <v/>
      </c>
      <c r="G663" s="8"/>
    </row>
    <row r="664">
      <c r="A664" s="9" t="str">
        <f t="shared" si="772"/>
        <v/>
      </c>
      <c r="B664" s="9" t="str">
        <f>IF(ISBLANK(A662),"",LEFT(B663,27)&amp;VALUE(RIGHT(B663,1)+1))</f>
        <v/>
      </c>
      <c r="C664" s="6" t="str">
        <f t="shared" ref="C664:D664" si="773">C663</f>
        <v/>
      </c>
      <c r="D664" s="6" t="str">
        <f t="shared" si="773"/>
        <v/>
      </c>
      <c r="E664" s="10" t="str">
        <f>IF(ISBLANK(A662),"",E663+1)</f>
        <v/>
      </c>
      <c r="F664" s="11" t="str">
        <f t="shared" si="774"/>
        <v/>
      </c>
      <c r="G664" s="8"/>
    </row>
    <row r="665">
      <c r="A665" s="9" t="str">
        <f t="shared" si="772"/>
        <v/>
      </c>
      <c r="B665" s="9" t="str">
        <f>IF(ISBLANK(A662),"",LEFT(B664,27)&amp;VALUE(RIGHT(B664,1)+1))</f>
        <v/>
      </c>
      <c r="C665" s="6" t="str">
        <f t="shared" ref="C665:D665" si="775">C664</f>
        <v/>
      </c>
      <c r="D665" s="6" t="str">
        <f t="shared" si="775"/>
        <v/>
      </c>
      <c r="E665" s="10" t="str">
        <f>IF(ISBLANK(A662),"",E664+1)</f>
        <v/>
      </c>
      <c r="F665" s="11" t="str">
        <f t="shared" si="774"/>
        <v/>
      </c>
      <c r="G665" s="8"/>
    </row>
    <row r="666">
      <c r="A666" s="9" t="str">
        <f t="shared" si="772"/>
        <v/>
      </c>
      <c r="B666" s="9" t="str">
        <f>IF(ISBLANK(A662),"",LEFT(B665,27)&amp;VALUE(RIGHT(B665,1)+1))</f>
        <v/>
      </c>
      <c r="C666" s="6" t="str">
        <f t="shared" ref="C666:D666" si="776">C665</f>
        <v/>
      </c>
      <c r="D666" s="6" t="str">
        <f t="shared" si="776"/>
        <v/>
      </c>
      <c r="E666" s="10" t="str">
        <f>IF(ISBLANK(A662),"",E665+1)</f>
        <v/>
      </c>
      <c r="F666" s="11" t="str">
        <f t="shared" si="774"/>
        <v/>
      </c>
      <c r="G666" s="8"/>
    </row>
    <row r="667">
      <c r="A667" s="12" t="str">
        <f t="shared" si="772"/>
        <v/>
      </c>
      <c r="B667" s="12" t="str">
        <f>IF(ISBLANK(A662),"",LEFT(B666,27)&amp;VALUE(RIGHT(B666,1)+1))</f>
        <v/>
      </c>
      <c r="C667" s="13" t="str">
        <f t="shared" ref="C667:D667" si="777">C666</f>
        <v/>
      </c>
      <c r="D667" s="13" t="str">
        <f t="shared" si="777"/>
        <v/>
      </c>
      <c r="E667" s="14" t="str">
        <f>IF(ISBLANK(A662),"",E666+1)</f>
        <v/>
      </c>
      <c r="F667" s="15" t="str">
        <f t="shared" si="774"/>
        <v/>
      </c>
      <c r="G667" s="16"/>
    </row>
    <row r="668">
      <c r="A668" s="5"/>
      <c r="B668" s="6" t="str">
        <f t="array" ref="B668">IF(ISBLANK(A668),"",IF(A668="PROREP (L)",VLOOKUP(LEFT($A668,6),'Data Feed (20C)'!$A$1:$G$10,2,FALSE),IF(A668="PROREP (S)", INDEX('Data Feed (20C)'!B:B, MATCH(LEFT($A668,6), 'Data Feed (20C)'!$A$1:$A$10, 0) + 1), VLOOKUP($A668,'Data Feed (20C)'!$A$1:$G$10,2,FALSE))))</f>
        <v/>
      </c>
      <c r="C668" s="6" t="str">
        <f t="array" ref="C668">IF(ISBLANK(A668),"",IF(A668="PROREP (L)",VLOOKUP(LEFT($A668,6),'Data Feed (20C)'!$A$1:$G$10,3,FALSE),IF(A668="PROREP (S)", INDEX('Data Feed (20C)'!C:C, MATCH(LEFT($A668,6), 'Data Feed (20C)'!$A$1:$A$10, 0) + 1, +1), VLOOKUP($A668,'Data Feed (20C)'!$A$1:$G$10,3,FALSE))))</f>
        <v/>
      </c>
      <c r="D668" s="6" t="str">
        <f t="array" ref="D668">IF(ISBLANK(A668),"",IF(A668="PROREP (L)",VLOOKUP(LEFT($A668,6),'Data Feed (20C)'!$A$1:$G$10,4,FALSE),IF(A668="PROREP (S)", INDEX('Data Feed (20C)'!D:D, MATCH(LEFT($A668,6), 'Data Feed (20C)'!$A$1:$A$10, 0) + 1, +1), VLOOKUP($A668,'Data Feed (20C)'!$A$1:$G$10,4,FALSE))))</f>
        <v/>
      </c>
      <c r="E668" s="6" t="str">
        <f t="array" ref="E668">IF(ISBLANK(A668),"",IF(A668="PROREP (L)",VLOOKUP(LEFT($A668,6),'Data Feed (20C)'!$A$1:$G$10,7,FALSE),IF(A668="PROREP (S)", INDEX('Data Feed (20C)'!G:G, MATCH(LEFT($A668,6), 'Data Feed (20C)'!$A$1:$A$10, 0) + 1, +1), VLOOKUP($A668,'Data Feed (20C)'!$A$1:$G$10,7,FALSE))))</f>
        <v/>
      </c>
      <c r="F668" s="7"/>
      <c r="G668" s="8"/>
    </row>
    <row r="669">
      <c r="A669" s="9" t="str">
        <f t="shared" ref="A669:A673" si="779">A668</f>
        <v/>
      </c>
      <c r="B669" s="9" t="str">
        <f>IF(ISBLANK(A668),"",LEFT(B668,27)&amp;VALUE(RIGHT(B668,1)+1))</f>
        <v/>
      </c>
      <c r="C669" s="6" t="str">
        <f t="shared" ref="C669:D669" si="778">C668</f>
        <v/>
      </c>
      <c r="D669" s="6" t="str">
        <f t="shared" si="778"/>
        <v/>
      </c>
      <c r="E669" s="10" t="str">
        <f>IF(ISBLANK(A668),"",E668+1)</f>
        <v/>
      </c>
      <c r="F669" s="11" t="str">
        <f t="shared" ref="F669:F673" si="781">F668</f>
        <v/>
      </c>
      <c r="G669" s="8"/>
    </row>
    <row r="670">
      <c r="A670" s="9" t="str">
        <f t="shared" si="779"/>
        <v/>
      </c>
      <c r="B670" s="9" t="str">
        <f>IF(ISBLANK(A668),"",LEFT(B669,27)&amp;VALUE(RIGHT(B669,1)+1))</f>
        <v/>
      </c>
      <c r="C670" s="6" t="str">
        <f t="shared" ref="C670:D670" si="780">C669</f>
        <v/>
      </c>
      <c r="D670" s="6" t="str">
        <f t="shared" si="780"/>
        <v/>
      </c>
      <c r="E670" s="10" t="str">
        <f>IF(ISBLANK(A668),"",E669+1)</f>
        <v/>
      </c>
      <c r="F670" s="11" t="str">
        <f t="shared" si="781"/>
        <v/>
      </c>
      <c r="G670" s="8"/>
    </row>
    <row r="671">
      <c r="A671" s="9" t="str">
        <f t="shared" si="779"/>
        <v/>
      </c>
      <c r="B671" s="9" t="str">
        <f>IF(ISBLANK(A668),"",LEFT(B670,27)&amp;VALUE(RIGHT(B670,1)+1))</f>
        <v/>
      </c>
      <c r="C671" s="6" t="str">
        <f t="shared" ref="C671:D671" si="782">C670</f>
        <v/>
      </c>
      <c r="D671" s="6" t="str">
        <f t="shared" si="782"/>
        <v/>
      </c>
      <c r="E671" s="10" t="str">
        <f>IF(ISBLANK(A668),"",E670+1)</f>
        <v/>
      </c>
      <c r="F671" s="11" t="str">
        <f t="shared" si="781"/>
        <v/>
      </c>
      <c r="G671" s="8"/>
    </row>
    <row r="672">
      <c r="A672" s="9" t="str">
        <f t="shared" si="779"/>
        <v/>
      </c>
      <c r="B672" s="9" t="str">
        <f>IF(ISBLANK(A668),"",LEFT(B671,27)&amp;VALUE(RIGHT(B671,1)+1))</f>
        <v/>
      </c>
      <c r="C672" s="6" t="str">
        <f t="shared" ref="C672:D672" si="783">C671</f>
        <v/>
      </c>
      <c r="D672" s="6" t="str">
        <f t="shared" si="783"/>
        <v/>
      </c>
      <c r="E672" s="10" t="str">
        <f>IF(ISBLANK(A668),"",E671+1)</f>
        <v/>
      </c>
      <c r="F672" s="11" t="str">
        <f t="shared" si="781"/>
        <v/>
      </c>
      <c r="G672" s="8"/>
    </row>
    <row r="673">
      <c r="A673" s="12" t="str">
        <f t="shared" si="779"/>
        <v/>
      </c>
      <c r="B673" s="12" t="str">
        <f>IF(ISBLANK(A668),"",LEFT(B672,27)&amp;VALUE(RIGHT(B672,1)+1))</f>
        <v/>
      </c>
      <c r="C673" s="13" t="str">
        <f t="shared" ref="C673:D673" si="784">C672</f>
        <v/>
      </c>
      <c r="D673" s="13" t="str">
        <f t="shared" si="784"/>
        <v/>
      </c>
      <c r="E673" s="14" t="str">
        <f>IF(ISBLANK(A668),"",E672+1)</f>
        <v/>
      </c>
      <c r="F673" s="15" t="str">
        <f t="shared" si="781"/>
        <v/>
      </c>
      <c r="G673" s="16"/>
    </row>
    <row r="674">
      <c r="A674" s="5"/>
      <c r="B674" s="6" t="str">
        <f t="array" ref="B674">IF(ISBLANK(A674),"",IF(A674="PROREP (L)",VLOOKUP(LEFT($A674,6),'Data Feed (20C)'!$A$1:$G$10,2,FALSE),IF(A674="PROREP (S)", INDEX('Data Feed (20C)'!B:B, MATCH(LEFT($A674,6), 'Data Feed (20C)'!$A$1:$A$10, 0) + 1), VLOOKUP($A674,'Data Feed (20C)'!$A$1:$G$10,2,FALSE))))</f>
        <v/>
      </c>
      <c r="C674" s="6" t="str">
        <f t="array" ref="C674">IF(ISBLANK(A674),"",IF(A674="PROREP (L)",VLOOKUP(LEFT($A674,6),'Data Feed (20C)'!$A$1:$G$10,3,FALSE),IF(A674="PROREP (S)", INDEX('Data Feed (20C)'!C:C, MATCH(LEFT($A674,6), 'Data Feed (20C)'!$A$1:$A$10, 0) + 1, +1), VLOOKUP($A674,'Data Feed (20C)'!$A$1:$G$10,3,FALSE))))</f>
        <v/>
      </c>
      <c r="D674" s="6" t="str">
        <f t="array" ref="D674">IF(ISBLANK(A674),"",IF(A674="PROREP (L)",VLOOKUP(LEFT($A674,6),'Data Feed (20C)'!$A$1:$G$10,4,FALSE),IF(A674="PROREP (S)", INDEX('Data Feed (20C)'!D:D, MATCH(LEFT($A674,6), 'Data Feed (20C)'!$A$1:$A$10, 0) + 1, +1), VLOOKUP($A674,'Data Feed (20C)'!$A$1:$G$10,4,FALSE))))</f>
        <v/>
      </c>
      <c r="E674" s="6" t="str">
        <f t="array" ref="E674">IF(ISBLANK(A674),"",IF(A674="PROREP (L)",VLOOKUP(LEFT($A674,6),'Data Feed (20C)'!$A$1:$G$10,7,FALSE),IF(A674="PROREP (S)", INDEX('Data Feed (20C)'!G:G, MATCH(LEFT($A674,6), 'Data Feed (20C)'!$A$1:$A$10, 0) + 1, +1), VLOOKUP($A674,'Data Feed (20C)'!$A$1:$G$10,7,FALSE))))</f>
        <v/>
      </c>
      <c r="F674" s="7"/>
      <c r="G674" s="8"/>
    </row>
    <row r="675">
      <c r="A675" s="9" t="str">
        <f t="shared" ref="A675:A679" si="786">A674</f>
        <v/>
      </c>
      <c r="B675" s="9" t="str">
        <f>IF(ISBLANK(A674),"",LEFT(B674,27)&amp;VALUE(RIGHT(B674,1)+1))</f>
        <v/>
      </c>
      <c r="C675" s="6" t="str">
        <f t="shared" ref="C675:D675" si="785">C674</f>
        <v/>
      </c>
      <c r="D675" s="6" t="str">
        <f t="shared" si="785"/>
        <v/>
      </c>
      <c r="E675" s="10" t="str">
        <f>IF(ISBLANK(A674),"",E674+1)</f>
        <v/>
      </c>
      <c r="F675" s="11" t="str">
        <f t="shared" ref="F675:F679" si="788">F674</f>
        <v/>
      </c>
      <c r="G675" s="8"/>
    </row>
    <row r="676">
      <c r="A676" s="9" t="str">
        <f t="shared" si="786"/>
        <v/>
      </c>
      <c r="B676" s="9" t="str">
        <f>IF(ISBLANK(A674),"",LEFT(B675,27)&amp;VALUE(RIGHT(B675,1)+1))</f>
        <v/>
      </c>
      <c r="C676" s="6" t="str">
        <f t="shared" ref="C676:D676" si="787">C675</f>
        <v/>
      </c>
      <c r="D676" s="6" t="str">
        <f t="shared" si="787"/>
        <v/>
      </c>
      <c r="E676" s="10" t="str">
        <f>IF(ISBLANK(A674),"",E675+1)</f>
        <v/>
      </c>
      <c r="F676" s="11" t="str">
        <f t="shared" si="788"/>
        <v/>
      </c>
      <c r="G676" s="8"/>
    </row>
    <row r="677">
      <c r="A677" s="9" t="str">
        <f t="shared" si="786"/>
        <v/>
      </c>
      <c r="B677" s="9" t="str">
        <f>IF(ISBLANK(A674),"",LEFT(B676,27)&amp;VALUE(RIGHT(B676,1)+1))</f>
        <v/>
      </c>
      <c r="C677" s="6" t="str">
        <f t="shared" ref="C677:D677" si="789">C676</f>
        <v/>
      </c>
      <c r="D677" s="6" t="str">
        <f t="shared" si="789"/>
        <v/>
      </c>
      <c r="E677" s="10" t="str">
        <f>IF(ISBLANK(A674),"",E676+1)</f>
        <v/>
      </c>
      <c r="F677" s="11" t="str">
        <f t="shared" si="788"/>
        <v/>
      </c>
      <c r="G677" s="8"/>
    </row>
    <row r="678">
      <c r="A678" s="9" t="str">
        <f t="shared" si="786"/>
        <v/>
      </c>
      <c r="B678" s="9" t="str">
        <f>IF(ISBLANK(A674),"",LEFT(B677,27)&amp;VALUE(RIGHT(B677,1)+1))</f>
        <v/>
      </c>
      <c r="C678" s="6" t="str">
        <f t="shared" ref="C678:D678" si="790">C677</f>
        <v/>
      </c>
      <c r="D678" s="6" t="str">
        <f t="shared" si="790"/>
        <v/>
      </c>
      <c r="E678" s="10" t="str">
        <f>IF(ISBLANK(A674),"",E677+1)</f>
        <v/>
      </c>
      <c r="F678" s="11" t="str">
        <f t="shared" si="788"/>
        <v/>
      </c>
      <c r="G678" s="8"/>
    </row>
    <row r="679">
      <c r="A679" s="12" t="str">
        <f t="shared" si="786"/>
        <v/>
      </c>
      <c r="B679" s="12" t="str">
        <f>IF(ISBLANK(A674),"",LEFT(B678,27)&amp;VALUE(RIGHT(B678,1)+1))</f>
        <v/>
      </c>
      <c r="C679" s="13" t="str">
        <f t="shared" ref="C679:D679" si="791">C678</f>
        <v/>
      </c>
      <c r="D679" s="13" t="str">
        <f t="shared" si="791"/>
        <v/>
      </c>
      <c r="E679" s="14" t="str">
        <f>IF(ISBLANK(A674),"",E678+1)</f>
        <v/>
      </c>
      <c r="F679" s="15" t="str">
        <f t="shared" si="788"/>
        <v/>
      </c>
      <c r="G679" s="16"/>
    </row>
    <row r="680">
      <c r="A680" s="5"/>
      <c r="B680" s="6" t="str">
        <f t="array" ref="B680">IF(ISBLANK(A680),"",IF(A680="PROREP (L)",VLOOKUP(LEFT($A680,6),'Data Feed (20C)'!$A$1:$G$10,2,FALSE),IF(A680="PROREP (S)", INDEX('Data Feed (20C)'!B:B, MATCH(LEFT($A680,6), 'Data Feed (20C)'!$A$1:$A$10, 0) + 1), VLOOKUP($A680,'Data Feed (20C)'!$A$1:$G$10,2,FALSE))))</f>
        <v/>
      </c>
      <c r="C680" s="6" t="str">
        <f t="array" ref="C680">IF(ISBLANK(A680),"",IF(A680="PROREP (L)",VLOOKUP(LEFT($A680,6),'Data Feed (20C)'!$A$1:$G$10,3,FALSE),IF(A680="PROREP (S)", INDEX('Data Feed (20C)'!C:C, MATCH(LEFT($A680,6), 'Data Feed (20C)'!$A$1:$A$10, 0) + 1, +1), VLOOKUP($A680,'Data Feed (20C)'!$A$1:$G$10,3,FALSE))))</f>
        <v/>
      </c>
      <c r="D680" s="6" t="str">
        <f t="array" ref="D680">IF(ISBLANK(A680),"",IF(A680="PROREP (L)",VLOOKUP(LEFT($A680,6),'Data Feed (20C)'!$A$1:$G$10,4,FALSE),IF(A680="PROREP (S)", INDEX('Data Feed (20C)'!D:D, MATCH(LEFT($A680,6), 'Data Feed (20C)'!$A$1:$A$10, 0) + 1, +1), VLOOKUP($A680,'Data Feed (20C)'!$A$1:$G$10,4,FALSE))))</f>
        <v/>
      </c>
      <c r="E680" s="6" t="str">
        <f t="array" ref="E680">IF(ISBLANK(A680),"",IF(A680="PROREP (L)",VLOOKUP(LEFT($A680,6),'Data Feed (20C)'!$A$1:$G$10,7,FALSE),IF(A680="PROREP (S)", INDEX('Data Feed (20C)'!G:G, MATCH(LEFT($A680,6), 'Data Feed (20C)'!$A$1:$A$10, 0) + 1, +1), VLOOKUP($A680,'Data Feed (20C)'!$A$1:$G$10,7,FALSE))))</f>
        <v/>
      </c>
      <c r="F680" s="7"/>
      <c r="G680" s="8"/>
    </row>
    <row r="681">
      <c r="A681" s="9" t="str">
        <f t="shared" ref="A681:A685" si="793">A680</f>
        <v/>
      </c>
      <c r="B681" s="9" t="str">
        <f>IF(ISBLANK(A680),"",LEFT(B680,27)&amp;VALUE(RIGHT(B680,1)+1))</f>
        <v/>
      </c>
      <c r="C681" s="6" t="str">
        <f t="shared" ref="C681:D681" si="792">C680</f>
        <v/>
      </c>
      <c r="D681" s="6" t="str">
        <f t="shared" si="792"/>
        <v/>
      </c>
      <c r="E681" s="10" t="str">
        <f>IF(ISBLANK(A680),"",E680+1)</f>
        <v/>
      </c>
      <c r="F681" s="11" t="str">
        <f t="shared" ref="F681:F685" si="795">F680</f>
        <v/>
      </c>
      <c r="G681" s="8"/>
    </row>
    <row r="682">
      <c r="A682" s="9" t="str">
        <f t="shared" si="793"/>
        <v/>
      </c>
      <c r="B682" s="9" t="str">
        <f>IF(ISBLANK(A680),"",LEFT(B681,27)&amp;VALUE(RIGHT(B681,1)+1))</f>
        <v/>
      </c>
      <c r="C682" s="6" t="str">
        <f t="shared" ref="C682:D682" si="794">C681</f>
        <v/>
      </c>
      <c r="D682" s="6" t="str">
        <f t="shared" si="794"/>
        <v/>
      </c>
      <c r="E682" s="10" t="str">
        <f>IF(ISBLANK(A680),"",E681+1)</f>
        <v/>
      </c>
      <c r="F682" s="11" t="str">
        <f t="shared" si="795"/>
        <v/>
      </c>
      <c r="G682" s="8"/>
    </row>
    <row r="683">
      <c r="A683" s="9" t="str">
        <f t="shared" si="793"/>
        <v/>
      </c>
      <c r="B683" s="9" t="str">
        <f>IF(ISBLANK(A680),"",LEFT(B682,27)&amp;VALUE(RIGHT(B682,1)+1))</f>
        <v/>
      </c>
      <c r="C683" s="6" t="str">
        <f t="shared" ref="C683:D683" si="796">C682</f>
        <v/>
      </c>
      <c r="D683" s="6" t="str">
        <f t="shared" si="796"/>
        <v/>
      </c>
      <c r="E683" s="10" t="str">
        <f>IF(ISBLANK(A680),"",E682+1)</f>
        <v/>
      </c>
      <c r="F683" s="11" t="str">
        <f t="shared" si="795"/>
        <v/>
      </c>
      <c r="G683" s="8"/>
    </row>
    <row r="684">
      <c r="A684" s="9" t="str">
        <f t="shared" si="793"/>
        <v/>
      </c>
      <c r="B684" s="9" t="str">
        <f>IF(ISBLANK(A680),"",LEFT(B683,27)&amp;VALUE(RIGHT(B683,1)+1))</f>
        <v/>
      </c>
      <c r="C684" s="6" t="str">
        <f t="shared" ref="C684:D684" si="797">C683</f>
        <v/>
      </c>
      <c r="D684" s="6" t="str">
        <f t="shared" si="797"/>
        <v/>
      </c>
      <c r="E684" s="10" t="str">
        <f>IF(ISBLANK(A680),"",E683+1)</f>
        <v/>
      </c>
      <c r="F684" s="11" t="str">
        <f t="shared" si="795"/>
        <v/>
      </c>
      <c r="G684" s="8"/>
    </row>
    <row r="685">
      <c r="A685" s="12" t="str">
        <f t="shared" si="793"/>
        <v/>
      </c>
      <c r="B685" s="12" t="str">
        <f>IF(ISBLANK(A680),"",LEFT(B684,27)&amp;VALUE(RIGHT(B684,1)+1))</f>
        <v/>
      </c>
      <c r="C685" s="13" t="str">
        <f t="shared" ref="C685:D685" si="798">C684</f>
        <v/>
      </c>
      <c r="D685" s="13" t="str">
        <f t="shared" si="798"/>
        <v/>
      </c>
      <c r="E685" s="14" t="str">
        <f>IF(ISBLANK(A680),"",E684+1)</f>
        <v/>
      </c>
      <c r="F685" s="15" t="str">
        <f t="shared" si="795"/>
        <v/>
      </c>
      <c r="G685" s="16"/>
    </row>
    <row r="686">
      <c r="A686" s="5"/>
      <c r="B686" s="6" t="str">
        <f t="array" ref="B686">IF(ISBLANK(A686),"",IF(A686="PROREP (L)",VLOOKUP(LEFT($A686,6),'Data Feed (20C)'!$A$1:$G$10,2,FALSE),IF(A686="PROREP (S)", INDEX('Data Feed (20C)'!B:B, MATCH(LEFT($A686,6), 'Data Feed (20C)'!$A$1:$A$10, 0) + 1), VLOOKUP($A686,'Data Feed (20C)'!$A$1:$G$10,2,FALSE))))</f>
        <v/>
      </c>
      <c r="C686" s="6" t="str">
        <f t="array" ref="C686">IF(ISBLANK(A686),"",IF(A686="PROREP (L)",VLOOKUP(LEFT($A686,6),'Data Feed (20C)'!$A$1:$G$10,3,FALSE),IF(A686="PROREP (S)", INDEX('Data Feed (20C)'!C:C, MATCH(LEFT($A686,6), 'Data Feed (20C)'!$A$1:$A$10, 0) + 1, +1), VLOOKUP($A686,'Data Feed (20C)'!$A$1:$G$10,3,FALSE))))</f>
        <v/>
      </c>
      <c r="D686" s="6" t="str">
        <f t="array" ref="D686">IF(ISBLANK(A686),"",IF(A686="PROREP (L)",VLOOKUP(LEFT($A686,6),'Data Feed (20C)'!$A$1:$G$10,4,FALSE),IF(A686="PROREP (S)", INDEX('Data Feed (20C)'!D:D, MATCH(LEFT($A686,6), 'Data Feed (20C)'!$A$1:$A$10, 0) + 1, +1), VLOOKUP($A686,'Data Feed (20C)'!$A$1:$G$10,4,FALSE))))</f>
        <v/>
      </c>
      <c r="E686" s="6" t="str">
        <f t="array" ref="E686">IF(ISBLANK(A686),"",IF(A686="PROREP (L)",VLOOKUP(LEFT($A686,6),'Data Feed (20C)'!$A$1:$G$10,7,FALSE),IF(A686="PROREP (S)", INDEX('Data Feed (20C)'!G:G, MATCH(LEFT($A686,6), 'Data Feed (20C)'!$A$1:$A$10, 0) + 1, +1), VLOOKUP($A686,'Data Feed (20C)'!$A$1:$G$10,7,FALSE))))</f>
        <v/>
      </c>
      <c r="F686" s="7"/>
      <c r="G686" s="8"/>
    </row>
    <row r="687">
      <c r="A687" s="9" t="str">
        <f t="shared" ref="A687:A691" si="800">A686</f>
        <v/>
      </c>
      <c r="B687" s="9" t="str">
        <f>IF(ISBLANK(A686),"",LEFT(B686,27)&amp;VALUE(RIGHT(B686,1)+1))</f>
        <v/>
      </c>
      <c r="C687" s="6" t="str">
        <f t="shared" ref="C687:D687" si="799">C686</f>
        <v/>
      </c>
      <c r="D687" s="6" t="str">
        <f t="shared" si="799"/>
        <v/>
      </c>
      <c r="E687" s="10" t="str">
        <f>IF(ISBLANK(A686),"",E686+1)</f>
        <v/>
      </c>
      <c r="F687" s="11" t="str">
        <f t="shared" ref="F687:F691" si="802">F686</f>
        <v/>
      </c>
      <c r="G687" s="8"/>
    </row>
    <row r="688">
      <c r="A688" s="9" t="str">
        <f t="shared" si="800"/>
        <v/>
      </c>
      <c r="B688" s="9" t="str">
        <f>IF(ISBLANK(A686),"",LEFT(B687,27)&amp;VALUE(RIGHT(B687,1)+1))</f>
        <v/>
      </c>
      <c r="C688" s="6" t="str">
        <f t="shared" ref="C688:D688" si="801">C687</f>
        <v/>
      </c>
      <c r="D688" s="6" t="str">
        <f t="shared" si="801"/>
        <v/>
      </c>
      <c r="E688" s="10" t="str">
        <f>IF(ISBLANK(A686),"",E687+1)</f>
        <v/>
      </c>
      <c r="F688" s="11" t="str">
        <f t="shared" si="802"/>
        <v/>
      </c>
      <c r="G688" s="8"/>
    </row>
    <row r="689">
      <c r="A689" s="9" t="str">
        <f t="shared" si="800"/>
        <v/>
      </c>
      <c r="B689" s="9" t="str">
        <f>IF(ISBLANK(A686),"",LEFT(B688,27)&amp;VALUE(RIGHT(B688,1)+1))</f>
        <v/>
      </c>
      <c r="C689" s="6" t="str">
        <f t="shared" ref="C689:D689" si="803">C688</f>
        <v/>
      </c>
      <c r="D689" s="6" t="str">
        <f t="shared" si="803"/>
        <v/>
      </c>
      <c r="E689" s="10" t="str">
        <f>IF(ISBLANK(A686),"",E688+1)</f>
        <v/>
      </c>
      <c r="F689" s="11" t="str">
        <f t="shared" si="802"/>
        <v/>
      </c>
      <c r="G689" s="8"/>
    </row>
    <row r="690">
      <c r="A690" s="9" t="str">
        <f t="shared" si="800"/>
        <v/>
      </c>
      <c r="B690" s="9" t="str">
        <f>IF(ISBLANK(A686),"",LEFT(B689,27)&amp;VALUE(RIGHT(B689,1)+1))</f>
        <v/>
      </c>
      <c r="C690" s="6" t="str">
        <f t="shared" ref="C690:D690" si="804">C689</f>
        <v/>
      </c>
      <c r="D690" s="6" t="str">
        <f t="shared" si="804"/>
        <v/>
      </c>
      <c r="E690" s="10" t="str">
        <f>IF(ISBLANK(A686),"",E689+1)</f>
        <v/>
      </c>
      <c r="F690" s="11" t="str">
        <f t="shared" si="802"/>
        <v/>
      </c>
      <c r="G690" s="8"/>
    </row>
    <row r="691">
      <c r="A691" s="12" t="str">
        <f t="shared" si="800"/>
        <v/>
      </c>
      <c r="B691" s="12" t="str">
        <f>IF(ISBLANK(A686),"",LEFT(B690,27)&amp;VALUE(RIGHT(B690,1)+1))</f>
        <v/>
      </c>
      <c r="C691" s="13" t="str">
        <f t="shared" ref="C691:D691" si="805">C690</f>
        <v/>
      </c>
      <c r="D691" s="13" t="str">
        <f t="shared" si="805"/>
        <v/>
      </c>
      <c r="E691" s="14" t="str">
        <f>IF(ISBLANK(A686),"",E690+1)</f>
        <v/>
      </c>
      <c r="F691" s="15" t="str">
        <f t="shared" si="802"/>
        <v/>
      </c>
      <c r="G691" s="16"/>
    </row>
    <row r="692">
      <c r="A692" s="5"/>
      <c r="B692" s="6" t="str">
        <f t="array" ref="B692">IF(ISBLANK(A692),"",IF(A692="PROREP (L)",VLOOKUP(LEFT($A692,6),'Data Feed (20C)'!$A$1:$G$10,2,FALSE),IF(A692="PROREP (S)", INDEX('Data Feed (20C)'!B:B, MATCH(LEFT($A692,6), 'Data Feed (20C)'!$A$1:$A$10, 0) + 1), VLOOKUP($A692,'Data Feed (20C)'!$A$1:$G$10,2,FALSE))))</f>
        <v/>
      </c>
      <c r="C692" s="6" t="str">
        <f t="array" ref="C692">IF(ISBLANK(A692),"",IF(A692="PROREP (L)",VLOOKUP(LEFT($A692,6),'Data Feed (20C)'!$A$1:$G$10,3,FALSE),IF(A692="PROREP (S)", INDEX('Data Feed (20C)'!C:C, MATCH(LEFT($A692,6), 'Data Feed (20C)'!$A$1:$A$10, 0) + 1, +1), VLOOKUP($A692,'Data Feed (20C)'!$A$1:$G$10,3,FALSE))))</f>
        <v/>
      </c>
      <c r="D692" s="6" t="str">
        <f t="array" ref="D692">IF(ISBLANK(A692),"",IF(A692="PROREP (L)",VLOOKUP(LEFT($A692,6),'Data Feed (20C)'!$A$1:$G$10,4,FALSE),IF(A692="PROREP (S)", INDEX('Data Feed (20C)'!D:D, MATCH(LEFT($A692,6), 'Data Feed (20C)'!$A$1:$A$10, 0) + 1, +1), VLOOKUP($A692,'Data Feed (20C)'!$A$1:$G$10,4,FALSE))))</f>
        <v/>
      </c>
      <c r="E692" s="6" t="str">
        <f t="array" ref="E692">IF(ISBLANK(A692),"",IF(A692="PROREP (L)",VLOOKUP(LEFT($A692,6),'Data Feed (20C)'!$A$1:$G$10,7,FALSE),IF(A692="PROREP (S)", INDEX('Data Feed (20C)'!G:G, MATCH(LEFT($A692,6), 'Data Feed (20C)'!$A$1:$A$10, 0) + 1, +1), VLOOKUP($A692,'Data Feed (20C)'!$A$1:$G$10,7,FALSE))))</f>
        <v/>
      </c>
      <c r="F692" s="7"/>
      <c r="G692" s="8"/>
    </row>
    <row r="693">
      <c r="A693" s="9" t="str">
        <f t="shared" ref="A693:A697" si="807">A692</f>
        <v/>
      </c>
      <c r="B693" s="9" t="str">
        <f>IF(ISBLANK(A692),"",LEFT(B692,27)&amp;VALUE(RIGHT(B692,1)+1))</f>
        <v/>
      </c>
      <c r="C693" s="6" t="str">
        <f t="shared" ref="C693:D693" si="806">C692</f>
        <v/>
      </c>
      <c r="D693" s="6" t="str">
        <f t="shared" si="806"/>
        <v/>
      </c>
      <c r="E693" s="10" t="str">
        <f>IF(ISBLANK(A692),"",E692+1)</f>
        <v/>
      </c>
      <c r="F693" s="11" t="str">
        <f t="shared" ref="F693:F697" si="809">F692</f>
        <v/>
      </c>
      <c r="G693" s="8"/>
    </row>
    <row r="694">
      <c r="A694" s="9" t="str">
        <f t="shared" si="807"/>
        <v/>
      </c>
      <c r="B694" s="9" t="str">
        <f>IF(ISBLANK(A692),"",LEFT(B693,27)&amp;VALUE(RIGHT(B693,1)+1))</f>
        <v/>
      </c>
      <c r="C694" s="6" t="str">
        <f t="shared" ref="C694:D694" si="808">C693</f>
        <v/>
      </c>
      <c r="D694" s="6" t="str">
        <f t="shared" si="808"/>
        <v/>
      </c>
      <c r="E694" s="10" t="str">
        <f>IF(ISBLANK(A692),"",E693+1)</f>
        <v/>
      </c>
      <c r="F694" s="11" t="str">
        <f t="shared" si="809"/>
        <v/>
      </c>
      <c r="G694" s="8"/>
    </row>
    <row r="695">
      <c r="A695" s="9" t="str">
        <f t="shared" si="807"/>
        <v/>
      </c>
      <c r="B695" s="9" t="str">
        <f>IF(ISBLANK(A692),"",LEFT(B694,27)&amp;VALUE(RIGHT(B694,1)+1))</f>
        <v/>
      </c>
      <c r="C695" s="6" t="str">
        <f t="shared" ref="C695:D695" si="810">C694</f>
        <v/>
      </c>
      <c r="D695" s="6" t="str">
        <f t="shared" si="810"/>
        <v/>
      </c>
      <c r="E695" s="10" t="str">
        <f>IF(ISBLANK(A692),"",E694+1)</f>
        <v/>
      </c>
      <c r="F695" s="11" t="str">
        <f t="shared" si="809"/>
        <v/>
      </c>
      <c r="G695" s="8"/>
    </row>
    <row r="696">
      <c r="A696" s="9" t="str">
        <f t="shared" si="807"/>
        <v/>
      </c>
      <c r="B696" s="9" t="str">
        <f>IF(ISBLANK(A692),"",LEFT(B695,27)&amp;VALUE(RIGHT(B695,1)+1))</f>
        <v/>
      </c>
      <c r="C696" s="6" t="str">
        <f t="shared" ref="C696:D696" si="811">C695</f>
        <v/>
      </c>
      <c r="D696" s="6" t="str">
        <f t="shared" si="811"/>
        <v/>
      </c>
      <c r="E696" s="10" t="str">
        <f>IF(ISBLANK(A692),"",E695+1)</f>
        <v/>
      </c>
      <c r="F696" s="11" t="str">
        <f t="shared" si="809"/>
        <v/>
      </c>
      <c r="G696" s="8"/>
    </row>
    <row r="697">
      <c r="A697" s="12" t="str">
        <f t="shared" si="807"/>
        <v/>
      </c>
      <c r="B697" s="12" t="str">
        <f>IF(ISBLANK(A692),"",LEFT(B696,27)&amp;VALUE(RIGHT(B696,1)+1))</f>
        <v/>
      </c>
      <c r="C697" s="13" t="str">
        <f t="shared" ref="C697:D697" si="812">C696</f>
        <v/>
      </c>
      <c r="D697" s="13" t="str">
        <f t="shared" si="812"/>
        <v/>
      </c>
      <c r="E697" s="14" t="str">
        <f>IF(ISBLANK(A692),"",E696+1)</f>
        <v/>
      </c>
      <c r="F697" s="15" t="str">
        <f t="shared" si="809"/>
        <v/>
      </c>
      <c r="G697" s="16"/>
    </row>
    <row r="698">
      <c r="A698" s="5"/>
      <c r="B698" s="6" t="str">
        <f t="array" ref="B698">IF(ISBLANK(A698),"",IF(A698="PROREP (L)",VLOOKUP(LEFT($A698,6),'Data Feed (20C)'!$A$1:$G$10,2,FALSE),IF(A698="PROREP (S)", INDEX('Data Feed (20C)'!B:B, MATCH(LEFT($A698,6), 'Data Feed (20C)'!$A$1:$A$10, 0) + 1), VLOOKUP($A698,'Data Feed (20C)'!$A$1:$G$10,2,FALSE))))</f>
        <v/>
      </c>
      <c r="C698" s="6" t="str">
        <f t="array" ref="C698">IF(ISBLANK(A698),"",IF(A698="PROREP (L)",VLOOKUP(LEFT($A698,6),'Data Feed (20C)'!$A$1:$G$10,3,FALSE),IF(A698="PROREP (S)", INDEX('Data Feed (20C)'!C:C, MATCH(LEFT($A698,6), 'Data Feed (20C)'!$A$1:$A$10, 0) + 1, +1), VLOOKUP($A698,'Data Feed (20C)'!$A$1:$G$10,3,FALSE))))</f>
        <v/>
      </c>
      <c r="D698" s="6" t="str">
        <f t="array" ref="D698">IF(ISBLANK(A698),"",IF(A698="PROREP (L)",VLOOKUP(LEFT($A698,6),'Data Feed (20C)'!$A$1:$G$10,4,FALSE),IF(A698="PROREP (S)", INDEX('Data Feed (20C)'!D:D, MATCH(LEFT($A698,6), 'Data Feed (20C)'!$A$1:$A$10, 0) + 1, +1), VLOOKUP($A698,'Data Feed (20C)'!$A$1:$G$10,4,FALSE))))</f>
        <v/>
      </c>
      <c r="E698" s="6" t="str">
        <f t="array" ref="E698">IF(ISBLANK(A698),"",IF(A698="PROREP (L)",VLOOKUP(LEFT($A698,6),'Data Feed (20C)'!$A$1:$G$10,7,FALSE),IF(A698="PROREP (S)", INDEX('Data Feed (20C)'!G:G, MATCH(LEFT($A698,6), 'Data Feed (20C)'!$A$1:$A$10, 0) + 1, +1), VLOOKUP($A698,'Data Feed (20C)'!$A$1:$G$10,7,FALSE))))</f>
        <v/>
      </c>
      <c r="F698" s="7"/>
      <c r="G698" s="8"/>
    </row>
    <row r="699">
      <c r="A699" s="9" t="str">
        <f t="shared" ref="A699:A703" si="814">A698</f>
        <v/>
      </c>
      <c r="B699" s="9" t="str">
        <f>IF(ISBLANK(A698),"",LEFT(B698,27)&amp;VALUE(RIGHT(B698,1)+1))</f>
        <v/>
      </c>
      <c r="C699" s="6" t="str">
        <f t="shared" ref="C699:D699" si="813">C698</f>
        <v/>
      </c>
      <c r="D699" s="6" t="str">
        <f t="shared" si="813"/>
        <v/>
      </c>
      <c r="E699" s="10" t="str">
        <f>IF(ISBLANK(A698),"",E698+1)</f>
        <v/>
      </c>
      <c r="F699" s="11" t="str">
        <f t="shared" ref="F699:F703" si="816">F698</f>
        <v/>
      </c>
      <c r="G699" s="8"/>
    </row>
    <row r="700">
      <c r="A700" s="9" t="str">
        <f t="shared" si="814"/>
        <v/>
      </c>
      <c r="B700" s="9" t="str">
        <f>IF(ISBLANK(A698),"",LEFT(B699,27)&amp;VALUE(RIGHT(B699,1)+1))</f>
        <v/>
      </c>
      <c r="C700" s="6" t="str">
        <f t="shared" ref="C700:D700" si="815">C699</f>
        <v/>
      </c>
      <c r="D700" s="6" t="str">
        <f t="shared" si="815"/>
        <v/>
      </c>
      <c r="E700" s="10" t="str">
        <f>IF(ISBLANK(A698),"",E699+1)</f>
        <v/>
      </c>
      <c r="F700" s="11" t="str">
        <f t="shared" si="816"/>
        <v/>
      </c>
      <c r="G700" s="8"/>
    </row>
    <row r="701">
      <c r="A701" s="9" t="str">
        <f t="shared" si="814"/>
        <v/>
      </c>
      <c r="B701" s="9" t="str">
        <f>IF(ISBLANK(A698),"",LEFT(B700,27)&amp;VALUE(RIGHT(B700,1)+1))</f>
        <v/>
      </c>
      <c r="C701" s="6" t="str">
        <f t="shared" ref="C701:D701" si="817">C700</f>
        <v/>
      </c>
      <c r="D701" s="6" t="str">
        <f t="shared" si="817"/>
        <v/>
      </c>
      <c r="E701" s="10" t="str">
        <f>IF(ISBLANK(A698),"",E700+1)</f>
        <v/>
      </c>
      <c r="F701" s="11" t="str">
        <f t="shared" si="816"/>
        <v/>
      </c>
      <c r="G701" s="8"/>
    </row>
    <row r="702">
      <c r="A702" s="9" t="str">
        <f t="shared" si="814"/>
        <v/>
      </c>
      <c r="B702" s="9" t="str">
        <f>IF(ISBLANK(A698),"",LEFT(B701,27)&amp;VALUE(RIGHT(B701,1)+1))</f>
        <v/>
      </c>
      <c r="C702" s="6" t="str">
        <f t="shared" ref="C702:D702" si="818">C701</f>
        <v/>
      </c>
      <c r="D702" s="6" t="str">
        <f t="shared" si="818"/>
        <v/>
      </c>
      <c r="E702" s="10" t="str">
        <f>IF(ISBLANK(A698),"",E701+1)</f>
        <v/>
      </c>
      <c r="F702" s="11" t="str">
        <f t="shared" si="816"/>
        <v/>
      </c>
      <c r="G702" s="8"/>
    </row>
    <row r="703">
      <c r="A703" s="12" t="str">
        <f t="shared" si="814"/>
        <v/>
      </c>
      <c r="B703" s="12" t="str">
        <f>IF(ISBLANK(A698),"",LEFT(B702,27)&amp;VALUE(RIGHT(B702,1)+1))</f>
        <v/>
      </c>
      <c r="C703" s="13" t="str">
        <f t="shared" ref="C703:D703" si="819">C702</f>
        <v/>
      </c>
      <c r="D703" s="13" t="str">
        <f t="shared" si="819"/>
        <v/>
      </c>
      <c r="E703" s="14" t="str">
        <f>IF(ISBLANK(A698),"",E702+1)</f>
        <v/>
      </c>
      <c r="F703" s="15" t="str">
        <f t="shared" si="816"/>
        <v/>
      </c>
      <c r="G703" s="16"/>
    </row>
    <row r="704">
      <c r="A704" s="5"/>
      <c r="B704" s="6" t="str">
        <f t="array" ref="B704">IF(ISBLANK(A704),"",IF(A704="PROREP (L)",VLOOKUP(LEFT($A704,6),'Data Feed (20C)'!$A$1:$G$10,2,FALSE),IF(A704="PROREP (S)", INDEX('Data Feed (20C)'!B:B, MATCH(LEFT($A704,6), 'Data Feed (20C)'!$A$1:$A$10, 0) + 1), VLOOKUP($A704,'Data Feed (20C)'!$A$1:$G$10,2,FALSE))))</f>
        <v/>
      </c>
      <c r="C704" s="6" t="str">
        <f t="array" ref="C704">IF(ISBLANK(A704),"",IF(A704="PROREP (L)",VLOOKUP(LEFT($A704,6),'Data Feed (20C)'!$A$1:$G$10,3,FALSE),IF(A704="PROREP (S)", INDEX('Data Feed (20C)'!C:C, MATCH(LEFT($A704,6), 'Data Feed (20C)'!$A$1:$A$10, 0) + 1, +1), VLOOKUP($A704,'Data Feed (20C)'!$A$1:$G$10,3,FALSE))))</f>
        <v/>
      </c>
      <c r="D704" s="6" t="str">
        <f t="array" ref="D704">IF(ISBLANK(A704),"",IF(A704="PROREP (L)",VLOOKUP(LEFT($A704,6),'Data Feed (20C)'!$A$1:$G$10,4,FALSE),IF(A704="PROREP (S)", INDEX('Data Feed (20C)'!D:D, MATCH(LEFT($A704,6), 'Data Feed (20C)'!$A$1:$A$10, 0) + 1, +1), VLOOKUP($A704,'Data Feed (20C)'!$A$1:$G$10,4,FALSE))))</f>
        <v/>
      </c>
      <c r="E704" s="6" t="str">
        <f t="array" ref="E704">IF(ISBLANK(A704),"",IF(A704="PROREP (L)",VLOOKUP(LEFT($A704,6),'Data Feed (20C)'!$A$1:$G$10,7,FALSE),IF(A704="PROREP (S)", INDEX('Data Feed (20C)'!G:G, MATCH(LEFT($A704,6), 'Data Feed (20C)'!$A$1:$A$10, 0) + 1, +1), VLOOKUP($A704,'Data Feed (20C)'!$A$1:$G$10,7,FALSE))))</f>
        <v/>
      </c>
      <c r="F704" s="7"/>
      <c r="G704" s="8"/>
    </row>
    <row r="705">
      <c r="A705" s="9" t="str">
        <f t="shared" ref="A705:A709" si="821">A704</f>
        <v/>
      </c>
      <c r="B705" s="9" t="str">
        <f>IF(ISBLANK(A704),"",LEFT(B704,27)&amp;VALUE(RIGHT(B704,1)+1))</f>
        <v/>
      </c>
      <c r="C705" s="6" t="str">
        <f t="shared" ref="C705:D705" si="820">C704</f>
        <v/>
      </c>
      <c r="D705" s="6" t="str">
        <f t="shared" si="820"/>
        <v/>
      </c>
      <c r="E705" s="10" t="str">
        <f>IF(ISBLANK(A704),"",E704+1)</f>
        <v/>
      </c>
      <c r="F705" s="11" t="str">
        <f t="shared" ref="F705:F709" si="823">F704</f>
        <v/>
      </c>
      <c r="G705" s="8"/>
    </row>
    <row r="706">
      <c r="A706" s="9" t="str">
        <f t="shared" si="821"/>
        <v/>
      </c>
      <c r="B706" s="9" t="str">
        <f>IF(ISBLANK(A704),"",LEFT(B705,27)&amp;VALUE(RIGHT(B705,1)+1))</f>
        <v/>
      </c>
      <c r="C706" s="6" t="str">
        <f t="shared" ref="C706:D706" si="822">C705</f>
        <v/>
      </c>
      <c r="D706" s="6" t="str">
        <f t="shared" si="822"/>
        <v/>
      </c>
      <c r="E706" s="10" t="str">
        <f>IF(ISBLANK(A704),"",E705+1)</f>
        <v/>
      </c>
      <c r="F706" s="11" t="str">
        <f t="shared" si="823"/>
        <v/>
      </c>
      <c r="G706" s="8"/>
    </row>
    <row r="707">
      <c r="A707" s="9" t="str">
        <f t="shared" si="821"/>
        <v/>
      </c>
      <c r="B707" s="9" t="str">
        <f>IF(ISBLANK(A704),"",LEFT(B706,27)&amp;VALUE(RIGHT(B706,1)+1))</f>
        <v/>
      </c>
      <c r="C707" s="6" t="str">
        <f t="shared" ref="C707:D707" si="824">C706</f>
        <v/>
      </c>
      <c r="D707" s="6" t="str">
        <f t="shared" si="824"/>
        <v/>
      </c>
      <c r="E707" s="10" t="str">
        <f>IF(ISBLANK(A704),"",E706+1)</f>
        <v/>
      </c>
      <c r="F707" s="11" t="str">
        <f t="shared" si="823"/>
        <v/>
      </c>
      <c r="G707" s="8"/>
    </row>
    <row r="708">
      <c r="A708" s="9" t="str">
        <f t="shared" si="821"/>
        <v/>
      </c>
      <c r="B708" s="9" t="str">
        <f>IF(ISBLANK(A704),"",LEFT(B707,27)&amp;VALUE(RIGHT(B707,1)+1))</f>
        <v/>
      </c>
      <c r="C708" s="6" t="str">
        <f t="shared" ref="C708:D708" si="825">C707</f>
        <v/>
      </c>
      <c r="D708" s="6" t="str">
        <f t="shared" si="825"/>
        <v/>
      </c>
      <c r="E708" s="10" t="str">
        <f>IF(ISBLANK(A704),"",E707+1)</f>
        <v/>
      </c>
      <c r="F708" s="11" t="str">
        <f t="shared" si="823"/>
        <v/>
      </c>
      <c r="G708" s="8"/>
    </row>
    <row r="709">
      <c r="A709" s="12" t="str">
        <f t="shared" si="821"/>
        <v/>
      </c>
      <c r="B709" s="12" t="str">
        <f>IF(ISBLANK(A704),"",LEFT(B708,27)&amp;VALUE(RIGHT(B708,1)+1))</f>
        <v/>
      </c>
      <c r="C709" s="13" t="str">
        <f t="shared" ref="C709:D709" si="826">C708</f>
        <v/>
      </c>
      <c r="D709" s="13" t="str">
        <f t="shared" si="826"/>
        <v/>
      </c>
      <c r="E709" s="14" t="str">
        <f>IF(ISBLANK(A704),"",E708+1)</f>
        <v/>
      </c>
      <c r="F709" s="15" t="str">
        <f t="shared" si="823"/>
        <v/>
      </c>
      <c r="G709" s="16"/>
    </row>
    <row r="710">
      <c r="A710" s="5"/>
      <c r="B710" s="6" t="str">
        <f t="array" ref="B710">IF(ISBLANK(A710),"",IF(A710="PROREP (L)",VLOOKUP(LEFT($A710,6),'Data Feed (20C)'!$A$1:$G$10,2,FALSE),IF(A710="PROREP (S)", INDEX('Data Feed (20C)'!B:B, MATCH(LEFT($A710,6), 'Data Feed (20C)'!$A$1:$A$10, 0) + 1), VLOOKUP($A710,'Data Feed (20C)'!$A$1:$G$10,2,FALSE))))</f>
        <v/>
      </c>
      <c r="C710" s="6" t="str">
        <f t="array" ref="C710">IF(ISBLANK(A710),"",IF(A710="PROREP (L)",VLOOKUP(LEFT($A710,6),'Data Feed (20C)'!$A$1:$G$10,3,FALSE),IF(A710="PROREP (S)", INDEX('Data Feed (20C)'!C:C, MATCH(LEFT($A710,6), 'Data Feed (20C)'!$A$1:$A$10, 0) + 1, +1), VLOOKUP($A710,'Data Feed (20C)'!$A$1:$G$10,3,FALSE))))</f>
        <v/>
      </c>
      <c r="D710" s="6" t="str">
        <f t="array" ref="D710">IF(ISBLANK(A710),"",IF(A710="PROREP (L)",VLOOKUP(LEFT($A710,6),'Data Feed (20C)'!$A$1:$G$10,4,FALSE),IF(A710="PROREP (S)", INDEX('Data Feed (20C)'!D:D, MATCH(LEFT($A710,6), 'Data Feed (20C)'!$A$1:$A$10, 0) + 1, +1), VLOOKUP($A710,'Data Feed (20C)'!$A$1:$G$10,4,FALSE))))</f>
        <v/>
      </c>
      <c r="E710" s="6" t="str">
        <f t="array" ref="E710">IF(ISBLANK(A710),"",IF(A710="PROREP (L)",VLOOKUP(LEFT($A710,6),'Data Feed (20C)'!$A$1:$G$10,7,FALSE),IF(A710="PROREP (S)", INDEX('Data Feed (20C)'!G:G, MATCH(LEFT($A710,6), 'Data Feed (20C)'!$A$1:$A$10, 0) + 1, +1), VLOOKUP($A710,'Data Feed (20C)'!$A$1:$G$10,7,FALSE))))</f>
        <v/>
      </c>
      <c r="F710" s="7"/>
      <c r="G710" s="8"/>
    </row>
    <row r="711">
      <c r="A711" s="9" t="str">
        <f t="shared" ref="A711:A715" si="828">A710</f>
        <v/>
      </c>
      <c r="B711" s="9" t="str">
        <f>IF(ISBLANK(A710),"",LEFT(B710,27)&amp;VALUE(RIGHT(B710,1)+1))</f>
        <v/>
      </c>
      <c r="C711" s="6" t="str">
        <f t="shared" ref="C711:D711" si="827">C710</f>
        <v/>
      </c>
      <c r="D711" s="6" t="str">
        <f t="shared" si="827"/>
        <v/>
      </c>
      <c r="E711" s="10" t="str">
        <f>IF(ISBLANK(A710),"",E710+1)</f>
        <v/>
      </c>
      <c r="F711" s="11" t="str">
        <f t="shared" ref="F711:F715" si="830">F710</f>
        <v/>
      </c>
      <c r="G711" s="8"/>
    </row>
    <row r="712">
      <c r="A712" s="9" t="str">
        <f t="shared" si="828"/>
        <v/>
      </c>
      <c r="B712" s="9" t="str">
        <f>IF(ISBLANK(A710),"",LEFT(B711,27)&amp;VALUE(RIGHT(B711,1)+1))</f>
        <v/>
      </c>
      <c r="C712" s="6" t="str">
        <f t="shared" ref="C712:D712" si="829">C711</f>
        <v/>
      </c>
      <c r="D712" s="6" t="str">
        <f t="shared" si="829"/>
        <v/>
      </c>
      <c r="E712" s="10" t="str">
        <f>IF(ISBLANK(A710),"",E711+1)</f>
        <v/>
      </c>
      <c r="F712" s="11" t="str">
        <f t="shared" si="830"/>
        <v/>
      </c>
      <c r="G712" s="8"/>
    </row>
    <row r="713">
      <c r="A713" s="9" t="str">
        <f t="shared" si="828"/>
        <v/>
      </c>
      <c r="B713" s="9" t="str">
        <f>IF(ISBLANK(A710),"",LEFT(B712,27)&amp;VALUE(RIGHT(B712,1)+1))</f>
        <v/>
      </c>
      <c r="C713" s="6" t="str">
        <f t="shared" ref="C713:D713" si="831">C712</f>
        <v/>
      </c>
      <c r="D713" s="6" t="str">
        <f t="shared" si="831"/>
        <v/>
      </c>
      <c r="E713" s="10" t="str">
        <f>IF(ISBLANK(A710),"",E712+1)</f>
        <v/>
      </c>
      <c r="F713" s="11" t="str">
        <f t="shared" si="830"/>
        <v/>
      </c>
      <c r="G713" s="8"/>
    </row>
    <row r="714">
      <c r="A714" s="9" t="str">
        <f t="shared" si="828"/>
        <v/>
      </c>
      <c r="B714" s="9" t="str">
        <f>IF(ISBLANK(A710),"",LEFT(B713,27)&amp;VALUE(RIGHT(B713,1)+1))</f>
        <v/>
      </c>
      <c r="C714" s="6" t="str">
        <f t="shared" ref="C714:D714" si="832">C713</f>
        <v/>
      </c>
      <c r="D714" s="6" t="str">
        <f t="shared" si="832"/>
        <v/>
      </c>
      <c r="E714" s="10" t="str">
        <f>IF(ISBLANK(A710),"",E713+1)</f>
        <v/>
      </c>
      <c r="F714" s="11" t="str">
        <f t="shared" si="830"/>
        <v/>
      </c>
      <c r="G714" s="8"/>
    </row>
    <row r="715">
      <c r="A715" s="12" t="str">
        <f t="shared" si="828"/>
        <v/>
      </c>
      <c r="B715" s="12" t="str">
        <f>IF(ISBLANK(A710),"",LEFT(B714,27)&amp;VALUE(RIGHT(B714,1)+1))</f>
        <v/>
      </c>
      <c r="C715" s="13" t="str">
        <f t="shared" ref="C715:D715" si="833">C714</f>
        <v/>
      </c>
      <c r="D715" s="13" t="str">
        <f t="shared" si="833"/>
        <v/>
      </c>
      <c r="E715" s="14" t="str">
        <f>IF(ISBLANK(A710),"",E714+1)</f>
        <v/>
      </c>
      <c r="F715" s="15" t="str">
        <f t="shared" si="830"/>
        <v/>
      </c>
      <c r="G715" s="16"/>
    </row>
    <row r="716">
      <c r="A716" s="5"/>
      <c r="B716" s="6" t="str">
        <f t="array" ref="B716">IF(ISBLANK(A716),"",IF(A716="PROREP (L)",VLOOKUP(LEFT($A716,6),'Data Feed (20C)'!$A$1:$G$10,2,FALSE),IF(A716="PROREP (S)", INDEX('Data Feed (20C)'!B:B, MATCH(LEFT($A716,6), 'Data Feed (20C)'!$A$1:$A$10, 0) + 1), VLOOKUP($A716,'Data Feed (20C)'!$A$1:$G$10,2,FALSE))))</f>
        <v/>
      </c>
      <c r="C716" s="6" t="str">
        <f t="array" ref="C716">IF(ISBLANK(A716),"",IF(A716="PROREP (L)",VLOOKUP(LEFT($A716,6),'Data Feed (20C)'!$A$1:$G$10,3,FALSE),IF(A716="PROREP (S)", INDEX('Data Feed (20C)'!C:C, MATCH(LEFT($A716,6), 'Data Feed (20C)'!$A$1:$A$10, 0) + 1, +1), VLOOKUP($A716,'Data Feed (20C)'!$A$1:$G$10,3,FALSE))))</f>
        <v/>
      </c>
      <c r="D716" s="6" t="str">
        <f t="array" ref="D716">IF(ISBLANK(A716),"",IF(A716="PROREP (L)",VLOOKUP(LEFT($A716,6),'Data Feed (20C)'!$A$1:$G$10,4,FALSE),IF(A716="PROREP (S)", INDEX('Data Feed (20C)'!D:D, MATCH(LEFT($A716,6), 'Data Feed (20C)'!$A$1:$A$10, 0) + 1, +1), VLOOKUP($A716,'Data Feed (20C)'!$A$1:$G$10,4,FALSE))))</f>
        <v/>
      </c>
      <c r="E716" s="6" t="str">
        <f t="array" ref="E716">IF(ISBLANK(A716),"",IF(A716="PROREP (L)",VLOOKUP(LEFT($A716,6),'Data Feed (20C)'!$A$1:$G$10,7,FALSE),IF(A716="PROREP (S)", INDEX('Data Feed (20C)'!G:G, MATCH(LEFT($A716,6), 'Data Feed (20C)'!$A$1:$A$10, 0) + 1, +1), VLOOKUP($A716,'Data Feed (20C)'!$A$1:$G$10,7,FALSE))))</f>
        <v/>
      </c>
      <c r="F716" s="7"/>
      <c r="G716" s="8"/>
    </row>
    <row r="717">
      <c r="A717" s="9" t="str">
        <f t="shared" ref="A717:A721" si="835">A716</f>
        <v/>
      </c>
      <c r="B717" s="9" t="str">
        <f>IF(ISBLANK(A716),"",LEFT(B716,27)&amp;VALUE(RIGHT(B716,1)+1))</f>
        <v/>
      </c>
      <c r="C717" s="6" t="str">
        <f t="shared" ref="C717:D717" si="834">C716</f>
        <v/>
      </c>
      <c r="D717" s="6" t="str">
        <f t="shared" si="834"/>
        <v/>
      </c>
      <c r="E717" s="10" t="str">
        <f>IF(ISBLANK(A716),"",E716+1)</f>
        <v/>
      </c>
      <c r="F717" s="11" t="str">
        <f t="shared" ref="F717:F721" si="837">F716</f>
        <v/>
      </c>
      <c r="G717" s="8"/>
    </row>
    <row r="718">
      <c r="A718" s="9" t="str">
        <f t="shared" si="835"/>
        <v/>
      </c>
      <c r="B718" s="9" t="str">
        <f>IF(ISBLANK(A716),"",LEFT(B717,27)&amp;VALUE(RIGHT(B717,1)+1))</f>
        <v/>
      </c>
      <c r="C718" s="6" t="str">
        <f t="shared" ref="C718:D718" si="836">C717</f>
        <v/>
      </c>
      <c r="D718" s="6" t="str">
        <f t="shared" si="836"/>
        <v/>
      </c>
      <c r="E718" s="10" t="str">
        <f>IF(ISBLANK(A716),"",E717+1)</f>
        <v/>
      </c>
      <c r="F718" s="11" t="str">
        <f t="shared" si="837"/>
        <v/>
      </c>
      <c r="G718" s="8"/>
    </row>
    <row r="719">
      <c r="A719" s="9" t="str">
        <f t="shared" si="835"/>
        <v/>
      </c>
      <c r="B719" s="9" t="str">
        <f>IF(ISBLANK(A716),"",LEFT(B718,27)&amp;VALUE(RIGHT(B718,1)+1))</f>
        <v/>
      </c>
      <c r="C719" s="6" t="str">
        <f t="shared" ref="C719:D719" si="838">C718</f>
        <v/>
      </c>
      <c r="D719" s="6" t="str">
        <f t="shared" si="838"/>
        <v/>
      </c>
      <c r="E719" s="10" t="str">
        <f>IF(ISBLANK(A716),"",E718+1)</f>
        <v/>
      </c>
      <c r="F719" s="11" t="str">
        <f t="shared" si="837"/>
        <v/>
      </c>
      <c r="G719" s="8"/>
    </row>
    <row r="720">
      <c r="A720" s="9" t="str">
        <f t="shared" si="835"/>
        <v/>
      </c>
      <c r="B720" s="9" t="str">
        <f>IF(ISBLANK(A716),"",LEFT(B719,27)&amp;VALUE(RIGHT(B719,1)+1))</f>
        <v/>
      </c>
      <c r="C720" s="6" t="str">
        <f t="shared" ref="C720:D720" si="839">C719</f>
        <v/>
      </c>
      <c r="D720" s="6" t="str">
        <f t="shared" si="839"/>
        <v/>
      </c>
      <c r="E720" s="10" t="str">
        <f>IF(ISBLANK(A716),"",E719+1)</f>
        <v/>
      </c>
      <c r="F720" s="11" t="str">
        <f t="shared" si="837"/>
        <v/>
      </c>
      <c r="G720" s="8"/>
    </row>
    <row r="721">
      <c r="A721" s="12" t="str">
        <f t="shared" si="835"/>
        <v/>
      </c>
      <c r="B721" s="12" t="str">
        <f>IF(ISBLANK(A716),"",LEFT(B720,27)&amp;VALUE(RIGHT(B720,1)+1))</f>
        <v/>
      </c>
      <c r="C721" s="13" t="str">
        <f t="shared" ref="C721:D721" si="840">C720</f>
        <v/>
      </c>
      <c r="D721" s="13" t="str">
        <f t="shared" si="840"/>
        <v/>
      </c>
      <c r="E721" s="14" t="str">
        <f>IF(ISBLANK(A716),"",E720+1)</f>
        <v/>
      </c>
      <c r="F721" s="15" t="str">
        <f t="shared" si="837"/>
        <v/>
      </c>
      <c r="G721" s="16"/>
    </row>
    <row r="722">
      <c r="A722" s="5"/>
      <c r="B722" s="6" t="str">
        <f t="array" ref="B722">IF(ISBLANK(A722),"",IF(A722="PROREP (L)",VLOOKUP(LEFT($A722,6),'Data Feed (20C)'!$A$1:$G$10,2,FALSE),IF(A722="PROREP (S)", INDEX('Data Feed (20C)'!B:B, MATCH(LEFT($A722,6), 'Data Feed (20C)'!$A$1:$A$10, 0) + 1), VLOOKUP($A722,'Data Feed (20C)'!$A$1:$G$10,2,FALSE))))</f>
        <v/>
      </c>
      <c r="C722" s="6" t="str">
        <f t="array" ref="C722">IF(ISBLANK(A722),"",IF(A722="PROREP (L)",VLOOKUP(LEFT($A722,6),'Data Feed (20C)'!$A$1:$G$10,3,FALSE),IF(A722="PROREP (S)", INDEX('Data Feed (20C)'!C:C, MATCH(LEFT($A722,6), 'Data Feed (20C)'!$A$1:$A$10, 0) + 1, +1), VLOOKUP($A722,'Data Feed (20C)'!$A$1:$G$10,3,FALSE))))</f>
        <v/>
      </c>
      <c r="D722" s="6" t="str">
        <f t="array" ref="D722">IF(ISBLANK(A722),"",IF(A722="PROREP (L)",VLOOKUP(LEFT($A722,6),'Data Feed (20C)'!$A$1:$G$10,4,FALSE),IF(A722="PROREP (S)", INDEX('Data Feed (20C)'!D:D, MATCH(LEFT($A722,6), 'Data Feed (20C)'!$A$1:$A$10, 0) + 1, +1), VLOOKUP($A722,'Data Feed (20C)'!$A$1:$G$10,4,FALSE))))</f>
        <v/>
      </c>
      <c r="E722" s="6" t="str">
        <f t="array" ref="E722">IF(ISBLANK(A722),"",IF(A722="PROREP (L)",VLOOKUP(LEFT($A722,6),'Data Feed (20C)'!$A$1:$G$10,7,FALSE),IF(A722="PROREP (S)", INDEX('Data Feed (20C)'!G:G, MATCH(LEFT($A722,6), 'Data Feed (20C)'!$A$1:$A$10, 0) + 1, +1), VLOOKUP($A722,'Data Feed (20C)'!$A$1:$G$10,7,FALSE))))</f>
        <v/>
      </c>
      <c r="F722" s="7"/>
      <c r="G722" s="8"/>
    </row>
    <row r="723">
      <c r="A723" s="9" t="str">
        <f t="shared" ref="A723:A727" si="842">A722</f>
        <v/>
      </c>
      <c r="B723" s="9" t="str">
        <f>IF(ISBLANK(A722),"",LEFT(B722,27)&amp;VALUE(RIGHT(B722,1)+1))</f>
        <v/>
      </c>
      <c r="C723" s="6" t="str">
        <f t="shared" ref="C723:D723" si="841">C722</f>
        <v/>
      </c>
      <c r="D723" s="6" t="str">
        <f t="shared" si="841"/>
        <v/>
      </c>
      <c r="E723" s="10" t="str">
        <f>IF(ISBLANK(A722),"",E722+1)</f>
        <v/>
      </c>
      <c r="F723" s="11" t="str">
        <f t="shared" ref="F723:F727" si="844">F722</f>
        <v/>
      </c>
      <c r="G723" s="8"/>
    </row>
    <row r="724">
      <c r="A724" s="9" t="str">
        <f t="shared" si="842"/>
        <v/>
      </c>
      <c r="B724" s="9" t="str">
        <f>IF(ISBLANK(A722),"",LEFT(B723,27)&amp;VALUE(RIGHT(B723,1)+1))</f>
        <v/>
      </c>
      <c r="C724" s="6" t="str">
        <f t="shared" ref="C724:D724" si="843">C723</f>
        <v/>
      </c>
      <c r="D724" s="6" t="str">
        <f t="shared" si="843"/>
        <v/>
      </c>
      <c r="E724" s="10" t="str">
        <f>IF(ISBLANK(A722),"",E723+1)</f>
        <v/>
      </c>
      <c r="F724" s="11" t="str">
        <f t="shared" si="844"/>
        <v/>
      </c>
      <c r="G724" s="8"/>
    </row>
    <row r="725">
      <c r="A725" s="9" t="str">
        <f t="shared" si="842"/>
        <v/>
      </c>
      <c r="B725" s="9" t="str">
        <f>IF(ISBLANK(A722),"",LEFT(B724,27)&amp;VALUE(RIGHT(B724,1)+1))</f>
        <v/>
      </c>
      <c r="C725" s="6" t="str">
        <f t="shared" ref="C725:D725" si="845">C724</f>
        <v/>
      </c>
      <c r="D725" s="6" t="str">
        <f t="shared" si="845"/>
        <v/>
      </c>
      <c r="E725" s="10" t="str">
        <f>IF(ISBLANK(A722),"",E724+1)</f>
        <v/>
      </c>
      <c r="F725" s="11" t="str">
        <f t="shared" si="844"/>
        <v/>
      </c>
      <c r="G725" s="8"/>
    </row>
    <row r="726">
      <c r="A726" s="9" t="str">
        <f t="shared" si="842"/>
        <v/>
      </c>
      <c r="B726" s="9" t="str">
        <f>IF(ISBLANK(A722),"",LEFT(B725,27)&amp;VALUE(RIGHT(B725,1)+1))</f>
        <v/>
      </c>
      <c r="C726" s="6" t="str">
        <f t="shared" ref="C726:D726" si="846">C725</f>
        <v/>
      </c>
      <c r="D726" s="6" t="str">
        <f t="shared" si="846"/>
        <v/>
      </c>
      <c r="E726" s="10" t="str">
        <f>IF(ISBLANK(A722),"",E725+1)</f>
        <v/>
      </c>
      <c r="F726" s="11" t="str">
        <f t="shared" si="844"/>
        <v/>
      </c>
      <c r="G726" s="8"/>
    </row>
    <row r="727">
      <c r="A727" s="12" t="str">
        <f t="shared" si="842"/>
        <v/>
      </c>
      <c r="B727" s="12" t="str">
        <f>IF(ISBLANK(A722),"",LEFT(B726,27)&amp;VALUE(RIGHT(B726,1)+1))</f>
        <v/>
      </c>
      <c r="C727" s="13" t="str">
        <f t="shared" ref="C727:D727" si="847">C726</f>
        <v/>
      </c>
      <c r="D727" s="13" t="str">
        <f t="shared" si="847"/>
        <v/>
      </c>
      <c r="E727" s="14" t="str">
        <f>IF(ISBLANK(A722),"",E726+1)</f>
        <v/>
      </c>
      <c r="F727" s="15" t="str">
        <f t="shared" si="844"/>
        <v/>
      </c>
      <c r="G727" s="16"/>
    </row>
    <row r="728">
      <c r="A728" s="5"/>
      <c r="B728" s="6" t="str">
        <f t="array" ref="B728">IF(ISBLANK(A728),"",IF(A728="PROREP (L)",VLOOKUP(LEFT($A728,6),'Data Feed (20C)'!$A$1:$G$10,2,FALSE),IF(A728="PROREP (S)", INDEX('Data Feed (20C)'!B:B, MATCH(LEFT($A728,6), 'Data Feed (20C)'!$A$1:$A$10, 0) + 1), VLOOKUP($A728,'Data Feed (20C)'!$A$1:$G$10,2,FALSE))))</f>
        <v/>
      </c>
      <c r="C728" s="6" t="str">
        <f t="array" ref="C728">IF(ISBLANK(A728),"",IF(A728="PROREP (L)",VLOOKUP(LEFT($A728,6),'Data Feed (20C)'!$A$1:$G$10,3,FALSE),IF(A728="PROREP (S)", INDEX('Data Feed (20C)'!C:C, MATCH(LEFT($A728,6), 'Data Feed (20C)'!$A$1:$A$10, 0) + 1, +1), VLOOKUP($A728,'Data Feed (20C)'!$A$1:$G$10,3,FALSE))))</f>
        <v/>
      </c>
      <c r="D728" s="6" t="str">
        <f t="array" ref="D728">IF(ISBLANK(A728),"",IF(A728="PROREP (L)",VLOOKUP(LEFT($A728,6),'Data Feed (20C)'!$A$1:$G$10,4,FALSE),IF(A728="PROREP (S)", INDEX('Data Feed (20C)'!D:D, MATCH(LEFT($A728,6), 'Data Feed (20C)'!$A$1:$A$10, 0) + 1, +1), VLOOKUP($A728,'Data Feed (20C)'!$A$1:$G$10,4,FALSE))))</f>
        <v/>
      </c>
      <c r="E728" s="6" t="str">
        <f t="array" ref="E728">IF(ISBLANK(A728),"",IF(A728="PROREP (L)",VLOOKUP(LEFT($A728,6),'Data Feed (20C)'!$A$1:$G$10,7,FALSE),IF(A728="PROREP (S)", INDEX('Data Feed (20C)'!G:G, MATCH(LEFT($A728,6), 'Data Feed (20C)'!$A$1:$A$10, 0) + 1, +1), VLOOKUP($A728,'Data Feed (20C)'!$A$1:$G$10,7,FALSE))))</f>
        <v/>
      </c>
      <c r="F728" s="7"/>
      <c r="G728" s="8"/>
    </row>
    <row r="729">
      <c r="A729" s="9" t="str">
        <f t="shared" ref="A729:A733" si="849">A728</f>
        <v/>
      </c>
      <c r="B729" s="9" t="str">
        <f>IF(ISBLANK(A728),"",LEFT(B728,27)&amp;VALUE(RIGHT(B728,1)+1))</f>
        <v/>
      </c>
      <c r="C729" s="6" t="str">
        <f t="shared" ref="C729:D729" si="848">C728</f>
        <v/>
      </c>
      <c r="D729" s="6" t="str">
        <f t="shared" si="848"/>
        <v/>
      </c>
      <c r="E729" s="10" t="str">
        <f>IF(ISBLANK(A728),"",E728+1)</f>
        <v/>
      </c>
      <c r="F729" s="11" t="str">
        <f t="shared" ref="F729:F733" si="851">F728</f>
        <v/>
      </c>
      <c r="G729" s="8"/>
    </row>
    <row r="730">
      <c r="A730" s="9" t="str">
        <f t="shared" si="849"/>
        <v/>
      </c>
      <c r="B730" s="9" t="str">
        <f>IF(ISBLANK(A728),"",LEFT(B729,27)&amp;VALUE(RIGHT(B729,1)+1))</f>
        <v/>
      </c>
      <c r="C730" s="6" t="str">
        <f t="shared" ref="C730:D730" si="850">C729</f>
        <v/>
      </c>
      <c r="D730" s="6" t="str">
        <f t="shared" si="850"/>
        <v/>
      </c>
      <c r="E730" s="10" t="str">
        <f>IF(ISBLANK(A728),"",E729+1)</f>
        <v/>
      </c>
      <c r="F730" s="11" t="str">
        <f t="shared" si="851"/>
        <v/>
      </c>
      <c r="G730" s="8"/>
    </row>
    <row r="731">
      <c r="A731" s="9" t="str">
        <f t="shared" si="849"/>
        <v/>
      </c>
      <c r="B731" s="9" t="str">
        <f>IF(ISBLANK(A728),"",LEFT(B730,27)&amp;VALUE(RIGHT(B730,1)+1))</f>
        <v/>
      </c>
      <c r="C731" s="6" t="str">
        <f t="shared" ref="C731:D731" si="852">C730</f>
        <v/>
      </c>
      <c r="D731" s="6" t="str">
        <f t="shared" si="852"/>
        <v/>
      </c>
      <c r="E731" s="10" t="str">
        <f>IF(ISBLANK(A728),"",E730+1)</f>
        <v/>
      </c>
      <c r="F731" s="11" t="str">
        <f t="shared" si="851"/>
        <v/>
      </c>
      <c r="G731" s="8"/>
    </row>
    <row r="732">
      <c r="A732" s="9" t="str">
        <f t="shared" si="849"/>
        <v/>
      </c>
      <c r="B732" s="9" t="str">
        <f>IF(ISBLANK(A728),"",LEFT(B731,27)&amp;VALUE(RIGHT(B731,1)+1))</f>
        <v/>
      </c>
      <c r="C732" s="6" t="str">
        <f t="shared" ref="C732:D732" si="853">C731</f>
        <v/>
      </c>
      <c r="D732" s="6" t="str">
        <f t="shared" si="853"/>
        <v/>
      </c>
      <c r="E732" s="10" t="str">
        <f>IF(ISBLANK(A728),"",E731+1)</f>
        <v/>
      </c>
      <c r="F732" s="11" t="str">
        <f t="shared" si="851"/>
        <v/>
      </c>
      <c r="G732" s="8"/>
    </row>
    <row r="733">
      <c r="A733" s="12" t="str">
        <f t="shared" si="849"/>
        <v/>
      </c>
      <c r="B733" s="12" t="str">
        <f>IF(ISBLANK(A728),"",LEFT(B732,27)&amp;VALUE(RIGHT(B732,1)+1))</f>
        <v/>
      </c>
      <c r="C733" s="13" t="str">
        <f t="shared" ref="C733:D733" si="854">C732</f>
        <v/>
      </c>
      <c r="D733" s="13" t="str">
        <f t="shared" si="854"/>
        <v/>
      </c>
      <c r="E733" s="14" t="str">
        <f>IF(ISBLANK(A728),"",E732+1)</f>
        <v/>
      </c>
      <c r="F733" s="15" t="str">
        <f t="shared" si="851"/>
        <v/>
      </c>
      <c r="G733" s="16"/>
    </row>
    <row r="734">
      <c r="A734" s="5"/>
      <c r="B734" s="6" t="str">
        <f t="array" ref="B734">IF(ISBLANK(A734),"",IF(A734="PROREP (L)",VLOOKUP(LEFT($A734,6),'Data Feed (20C)'!$A$1:$G$10,2,FALSE),IF(A734="PROREP (S)", INDEX('Data Feed (20C)'!B:B, MATCH(LEFT($A734,6), 'Data Feed (20C)'!$A$1:$A$10, 0) + 1), VLOOKUP($A734,'Data Feed (20C)'!$A$1:$G$10,2,FALSE))))</f>
        <v/>
      </c>
      <c r="C734" s="6" t="str">
        <f t="array" ref="C734">IF(ISBLANK(A734),"",IF(A734="PROREP (L)",VLOOKUP(LEFT($A734,6),'Data Feed (20C)'!$A$1:$G$10,3,FALSE),IF(A734="PROREP (S)", INDEX('Data Feed (20C)'!C:C, MATCH(LEFT($A734,6), 'Data Feed (20C)'!$A$1:$A$10, 0) + 1, +1), VLOOKUP($A734,'Data Feed (20C)'!$A$1:$G$10,3,FALSE))))</f>
        <v/>
      </c>
      <c r="D734" s="6" t="str">
        <f t="array" ref="D734">IF(ISBLANK(A734),"",IF(A734="PROREP (L)",VLOOKUP(LEFT($A734,6),'Data Feed (20C)'!$A$1:$G$10,4,FALSE),IF(A734="PROREP (S)", INDEX('Data Feed (20C)'!D:D, MATCH(LEFT($A734,6), 'Data Feed (20C)'!$A$1:$A$10, 0) + 1, +1), VLOOKUP($A734,'Data Feed (20C)'!$A$1:$G$10,4,FALSE))))</f>
        <v/>
      </c>
      <c r="E734" s="6" t="str">
        <f t="array" ref="E734">IF(ISBLANK(A734),"",IF(A734="PROREP (L)",VLOOKUP(LEFT($A734,6),'Data Feed (20C)'!$A$1:$G$10,7,FALSE),IF(A734="PROREP (S)", INDEX('Data Feed (20C)'!G:G, MATCH(LEFT($A734,6), 'Data Feed (20C)'!$A$1:$A$10, 0) + 1, +1), VLOOKUP($A734,'Data Feed (20C)'!$A$1:$G$10,7,FALSE))))</f>
        <v/>
      </c>
      <c r="F734" s="7"/>
      <c r="G734" s="8"/>
    </row>
    <row r="735">
      <c r="A735" s="9" t="str">
        <f t="shared" ref="A735:A739" si="856">A734</f>
        <v/>
      </c>
      <c r="B735" s="9" t="str">
        <f>IF(ISBLANK(A734),"",LEFT(B734,27)&amp;VALUE(RIGHT(B734,1)+1))</f>
        <v/>
      </c>
      <c r="C735" s="6" t="str">
        <f t="shared" ref="C735:D735" si="855">C734</f>
        <v/>
      </c>
      <c r="D735" s="6" t="str">
        <f t="shared" si="855"/>
        <v/>
      </c>
      <c r="E735" s="10" t="str">
        <f>IF(ISBLANK(A734),"",E734+1)</f>
        <v/>
      </c>
      <c r="F735" s="11" t="str">
        <f t="shared" ref="F735:F739" si="858">F734</f>
        <v/>
      </c>
      <c r="G735" s="8"/>
    </row>
    <row r="736">
      <c r="A736" s="9" t="str">
        <f t="shared" si="856"/>
        <v/>
      </c>
      <c r="B736" s="9" t="str">
        <f>IF(ISBLANK(A734),"",LEFT(B735,27)&amp;VALUE(RIGHT(B735,1)+1))</f>
        <v/>
      </c>
      <c r="C736" s="6" t="str">
        <f t="shared" ref="C736:D736" si="857">C735</f>
        <v/>
      </c>
      <c r="D736" s="6" t="str">
        <f t="shared" si="857"/>
        <v/>
      </c>
      <c r="E736" s="10" t="str">
        <f>IF(ISBLANK(A734),"",E735+1)</f>
        <v/>
      </c>
      <c r="F736" s="11" t="str">
        <f t="shared" si="858"/>
        <v/>
      </c>
      <c r="G736" s="8"/>
    </row>
    <row r="737">
      <c r="A737" s="9" t="str">
        <f t="shared" si="856"/>
        <v/>
      </c>
      <c r="B737" s="9" t="str">
        <f>IF(ISBLANK(A734),"",LEFT(B736,27)&amp;VALUE(RIGHT(B736,1)+1))</f>
        <v/>
      </c>
      <c r="C737" s="6" t="str">
        <f t="shared" ref="C737:D737" si="859">C736</f>
        <v/>
      </c>
      <c r="D737" s="6" t="str">
        <f t="shared" si="859"/>
        <v/>
      </c>
      <c r="E737" s="10" t="str">
        <f>IF(ISBLANK(A734),"",E736+1)</f>
        <v/>
      </c>
      <c r="F737" s="11" t="str">
        <f t="shared" si="858"/>
        <v/>
      </c>
      <c r="G737" s="8"/>
    </row>
    <row r="738">
      <c r="A738" s="9" t="str">
        <f t="shared" si="856"/>
        <v/>
      </c>
      <c r="B738" s="9" t="str">
        <f>IF(ISBLANK(A734),"",LEFT(B737,27)&amp;VALUE(RIGHT(B737,1)+1))</f>
        <v/>
      </c>
      <c r="C738" s="6" t="str">
        <f t="shared" ref="C738:D738" si="860">C737</f>
        <v/>
      </c>
      <c r="D738" s="6" t="str">
        <f t="shared" si="860"/>
        <v/>
      </c>
      <c r="E738" s="10" t="str">
        <f>IF(ISBLANK(A734),"",E737+1)</f>
        <v/>
      </c>
      <c r="F738" s="11" t="str">
        <f t="shared" si="858"/>
        <v/>
      </c>
      <c r="G738" s="8"/>
    </row>
    <row r="739">
      <c r="A739" s="12" t="str">
        <f t="shared" si="856"/>
        <v/>
      </c>
      <c r="B739" s="12" t="str">
        <f>IF(ISBLANK(A734),"",LEFT(B738,27)&amp;VALUE(RIGHT(B738,1)+1))</f>
        <v/>
      </c>
      <c r="C739" s="13" t="str">
        <f t="shared" ref="C739:D739" si="861">C738</f>
        <v/>
      </c>
      <c r="D739" s="13" t="str">
        <f t="shared" si="861"/>
        <v/>
      </c>
      <c r="E739" s="14" t="str">
        <f>IF(ISBLANK(A734),"",E738+1)</f>
        <v/>
      </c>
      <c r="F739" s="15" t="str">
        <f t="shared" si="858"/>
        <v/>
      </c>
      <c r="G739" s="16"/>
    </row>
    <row r="740">
      <c r="A740" s="5"/>
      <c r="B740" s="6" t="str">
        <f t="array" ref="B740">IF(ISBLANK(A740),"",IF(A740="PROREP (L)",VLOOKUP(LEFT($A740,6),'Data Feed (20C)'!$A$1:$G$10,2,FALSE),IF(A740="PROREP (S)", INDEX('Data Feed (20C)'!B:B, MATCH(LEFT($A740,6), 'Data Feed (20C)'!$A$1:$A$10, 0) + 1), VLOOKUP($A740,'Data Feed (20C)'!$A$1:$G$10,2,FALSE))))</f>
        <v/>
      </c>
      <c r="C740" s="6" t="str">
        <f t="array" ref="C740">IF(ISBLANK(A740),"",IF(A740="PROREP (L)",VLOOKUP(LEFT($A740,6),'Data Feed (20C)'!$A$1:$G$10,3,FALSE),IF(A740="PROREP (S)", INDEX('Data Feed (20C)'!C:C, MATCH(LEFT($A740,6), 'Data Feed (20C)'!$A$1:$A$10, 0) + 1, +1), VLOOKUP($A740,'Data Feed (20C)'!$A$1:$G$10,3,FALSE))))</f>
        <v/>
      </c>
      <c r="D740" s="6" t="str">
        <f t="array" ref="D740">IF(ISBLANK(A740),"",IF(A740="PROREP (L)",VLOOKUP(LEFT($A740,6),'Data Feed (20C)'!$A$1:$G$10,4,FALSE),IF(A740="PROREP (S)", INDEX('Data Feed (20C)'!D:D, MATCH(LEFT($A740,6), 'Data Feed (20C)'!$A$1:$A$10, 0) + 1, +1), VLOOKUP($A740,'Data Feed (20C)'!$A$1:$G$10,4,FALSE))))</f>
        <v/>
      </c>
      <c r="E740" s="6" t="str">
        <f t="array" ref="E740">IF(ISBLANK(A740),"",IF(A740="PROREP (L)",VLOOKUP(LEFT($A740,6),'Data Feed (20C)'!$A$1:$G$10,7,FALSE),IF(A740="PROREP (S)", INDEX('Data Feed (20C)'!G:G, MATCH(LEFT($A740,6), 'Data Feed (20C)'!$A$1:$A$10, 0) + 1, +1), VLOOKUP($A740,'Data Feed (20C)'!$A$1:$G$10,7,FALSE))))</f>
        <v/>
      </c>
      <c r="F740" s="7"/>
      <c r="G740" s="8"/>
    </row>
    <row r="741">
      <c r="A741" s="9" t="str">
        <f t="shared" ref="A741:A745" si="863">A740</f>
        <v/>
      </c>
      <c r="B741" s="9" t="str">
        <f>IF(ISBLANK(A740),"",LEFT(B740,27)&amp;VALUE(RIGHT(B740,1)+1))</f>
        <v/>
      </c>
      <c r="C741" s="6" t="str">
        <f t="shared" ref="C741:D741" si="862">C740</f>
        <v/>
      </c>
      <c r="D741" s="6" t="str">
        <f t="shared" si="862"/>
        <v/>
      </c>
      <c r="E741" s="10" t="str">
        <f>IF(ISBLANK(A740),"",E740+1)</f>
        <v/>
      </c>
      <c r="F741" s="11" t="str">
        <f t="shared" ref="F741:F745" si="865">F740</f>
        <v/>
      </c>
      <c r="G741" s="8"/>
    </row>
    <row r="742">
      <c r="A742" s="9" t="str">
        <f t="shared" si="863"/>
        <v/>
      </c>
      <c r="B742" s="9" t="str">
        <f>IF(ISBLANK(A740),"",LEFT(B741,27)&amp;VALUE(RIGHT(B741,1)+1))</f>
        <v/>
      </c>
      <c r="C742" s="6" t="str">
        <f t="shared" ref="C742:D742" si="864">C741</f>
        <v/>
      </c>
      <c r="D742" s="6" t="str">
        <f t="shared" si="864"/>
        <v/>
      </c>
      <c r="E742" s="10" t="str">
        <f>IF(ISBLANK(A740),"",E741+1)</f>
        <v/>
      </c>
      <c r="F742" s="11" t="str">
        <f t="shared" si="865"/>
        <v/>
      </c>
      <c r="G742" s="8"/>
    </row>
    <row r="743">
      <c r="A743" s="9" t="str">
        <f t="shared" si="863"/>
        <v/>
      </c>
      <c r="B743" s="9" t="str">
        <f>IF(ISBLANK(A740),"",LEFT(B742,27)&amp;VALUE(RIGHT(B742,1)+1))</f>
        <v/>
      </c>
      <c r="C743" s="6" t="str">
        <f t="shared" ref="C743:D743" si="866">C742</f>
        <v/>
      </c>
      <c r="D743" s="6" t="str">
        <f t="shared" si="866"/>
        <v/>
      </c>
      <c r="E743" s="10" t="str">
        <f>IF(ISBLANK(A740),"",E742+1)</f>
        <v/>
      </c>
      <c r="F743" s="11" t="str">
        <f t="shared" si="865"/>
        <v/>
      </c>
      <c r="G743" s="8"/>
    </row>
    <row r="744">
      <c r="A744" s="9" t="str">
        <f t="shared" si="863"/>
        <v/>
      </c>
      <c r="B744" s="9" t="str">
        <f>IF(ISBLANK(A740),"",LEFT(B743,27)&amp;VALUE(RIGHT(B743,1)+1))</f>
        <v/>
      </c>
      <c r="C744" s="6" t="str">
        <f t="shared" ref="C744:D744" si="867">C743</f>
        <v/>
      </c>
      <c r="D744" s="6" t="str">
        <f t="shared" si="867"/>
        <v/>
      </c>
      <c r="E744" s="10" t="str">
        <f>IF(ISBLANK(A740),"",E743+1)</f>
        <v/>
      </c>
      <c r="F744" s="11" t="str">
        <f t="shared" si="865"/>
        <v/>
      </c>
      <c r="G744" s="8"/>
    </row>
    <row r="745">
      <c r="A745" s="12" t="str">
        <f t="shared" si="863"/>
        <v/>
      </c>
      <c r="B745" s="12" t="str">
        <f>IF(ISBLANK(A740),"",LEFT(B744,27)&amp;VALUE(RIGHT(B744,1)+1))</f>
        <v/>
      </c>
      <c r="C745" s="13" t="str">
        <f t="shared" ref="C745:D745" si="868">C744</f>
        <v/>
      </c>
      <c r="D745" s="13" t="str">
        <f t="shared" si="868"/>
        <v/>
      </c>
      <c r="E745" s="14" t="str">
        <f>IF(ISBLANK(A740),"",E744+1)</f>
        <v/>
      </c>
      <c r="F745" s="15" t="str">
        <f t="shared" si="865"/>
        <v/>
      </c>
      <c r="G745" s="16"/>
    </row>
    <row r="746">
      <c r="A746" s="5"/>
      <c r="B746" s="6" t="str">
        <f t="array" ref="B746">IF(ISBLANK(A746),"",IF(A746="PROREP (L)",VLOOKUP(LEFT($A746,6),'Data Feed (20C)'!$A$1:$G$10,2,FALSE),IF(A746="PROREP (S)", INDEX('Data Feed (20C)'!B:B, MATCH(LEFT($A746,6), 'Data Feed (20C)'!$A$1:$A$10, 0) + 1), VLOOKUP($A746,'Data Feed (20C)'!$A$1:$G$10,2,FALSE))))</f>
        <v/>
      </c>
      <c r="C746" s="6" t="str">
        <f t="array" ref="C746">IF(ISBLANK(A746),"",IF(A746="PROREP (L)",VLOOKUP(LEFT($A746,6),'Data Feed (20C)'!$A$1:$G$10,3,FALSE),IF(A746="PROREP (S)", INDEX('Data Feed (20C)'!C:C, MATCH(LEFT($A746,6), 'Data Feed (20C)'!$A$1:$A$10, 0) + 1, +1), VLOOKUP($A746,'Data Feed (20C)'!$A$1:$G$10,3,FALSE))))</f>
        <v/>
      </c>
      <c r="D746" s="6" t="str">
        <f t="array" ref="D746">IF(ISBLANK(A746),"",IF(A746="PROREP (L)",VLOOKUP(LEFT($A746,6),'Data Feed (20C)'!$A$1:$G$10,4,FALSE),IF(A746="PROREP (S)", INDEX('Data Feed (20C)'!D:D, MATCH(LEFT($A746,6), 'Data Feed (20C)'!$A$1:$A$10, 0) + 1, +1), VLOOKUP($A746,'Data Feed (20C)'!$A$1:$G$10,4,FALSE))))</f>
        <v/>
      </c>
      <c r="E746" s="6" t="str">
        <f t="array" ref="E746">IF(ISBLANK(A746),"",IF(A746="PROREP (L)",VLOOKUP(LEFT($A746,6),'Data Feed (20C)'!$A$1:$G$10,7,FALSE),IF(A746="PROREP (S)", INDEX('Data Feed (20C)'!G:G, MATCH(LEFT($A746,6), 'Data Feed (20C)'!$A$1:$A$10, 0) + 1, +1), VLOOKUP($A746,'Data Feed (20C)'!$A$1:$G$10,7,FALSE))))</f>
        <v/>
      </c>
      <c r="F746" s="7"/>
      <c r="G746" s="8"/>
    </row>
    <row r="747">
      <c r="A747" s="9" t="str">
        <f t="shared" ref="A747:A751" si="870">A746</f>
        <v/>
      </c>
      <c r="B747" s="9" t="str">
        <f>IF(ISBLANK(A746),"",LEFT(B746,27)&amp;VALUE(RIGHT(B746,1)+1))</f>
        <v/>
      </c>
      <c r="C747" s="6" t="str">
        <f t="shared" ref="C747:D747" si="869">C746</f>
        <v/>
      </c>
      <c r="D747" s="6" t="str">
        <f t="shared" si="869"/>
        <v/>
      </c>
      <c r="E747" s="10" t="str">
        <f>IF(ISBLANK(A746),"",E746+1)</f>
        <v/>
      </c>
      <c r="F747" s="11" t="str">
        <f t="shared" ref="F747:F751" si="872">F746</f>
        <v/>
      </c>
      <c r="G747" s="8"/>
    </row>
    <row r="748">
      <c r="A748" s="9" t="str">
        <f t="shared" si="870"/>
        <v/>
      </c>
      <c r="B748" s="9" t="str">
        <f>IF(ISBLANK(A746),"",LEFT(B747,27)&amp;VALUE(RIGHT(B747,1)+1))</f>
        <v/>
      </c>
      <c r="C748" s="6" t="str">
        <f t="shared" ref="C748:D748" si="871">C747</f>
        <v/>
      </c>
      <c r="D748" s="6" t="str">
        <f t="shared" si="871"/>
        <v/>
      </c>
      <c r="E748" s="10" t="str">
        <f>IF(ISBLANK(A746),"",E747+1)</f>
        <v/>
      </c>
      <c r="F748" s="11" t="str">
        <f t="shared" si="872"/>
        <v/>
      </c>
      <c r="G748" s="8"/>
    </row>
    <row r="749">
      <c r="A749" s="9" t="str">
        <f t="shared" si="870"/>
        <v/>
      </c>
      <c r="B749" s="9" t="str">
        <f>IF(ISBLANK(A746),"",LEFT(B748,27)&amp;VALUE(RIGHT(B748,1)+1))</f>
        <v/>
      </c>
      <c r="C749" s="6" t="str">
        <f t="shared" ref="C749:D749" si="873">C748</f>
        <v/>
      </c>
      <c r="D749" s="6" t="str">
        <f t="shared" si="873"/>
        <v/>
      </c>
      <c r="E749" s="10" t="str">
        <f>IF(ISBLANK(A746),"",E748+1)</f>
        <v/>
      </c>
      <c r="F749" s="11" t="str">
        <f t="shared" si="872"/>
        <v/>
      </c>
      <c r="G749" s="8"/>
    </row>
    <row r="750">
      <c r="A750" s="9" t="str">
        <f t="shared" si="870"/>
        <v/>
      </c>
      <c r="B750" s="9" t="str">
        <f>IF(ISBLANK(A746),"",LEFT(B749,27)&amp;VALUE(RIGHT(B749,1)+1))</f>
        <v/>
      </c>
      <c r="C750" s="6" t="str">
        <f t="shared" ref="C750:D750" si="874">C749</f>
        <v/>
      </c>
      <c r="D750" s="6" t="str">
        <f t="shared" si="874"/>
        <v/>
      </c>
      <c r="E750" s="10" t="str">
        <f>IF(ISBLANK(A746),"",E749+1)</f>
        <v/>
      </c>
      <c r="F750" s="11" t="str">
        <f t="shared" si="872"/>
        <v/>
      </c>
      <c r="G750" s="8"/>
    </row>
    <row r="751">
      <c r="A751" s="12" t="str">
        <f t="shared" si="870"/>
        <v/>
      </c>
      <c r="B751" s="12" t="str">
        <f>IF(ISBLANK(A746),"",LEFT(B750,27)&amp;VALUE(RIGHT(B750,1)+1))</f>
        <v/>
      </c>
      <c r="C751" s="13" t="str">
        <f t="shared" ref="C751:D751" si="875">C750</f>
        <v/>
      </c>
      <c r="D751" s="13" t="str">
        <f t="shared" si="875"/>
        <v/>
      </c>
      <c r="E751" s="14" t="str">
        <f>IF(ISBLANK(A746),"",E750+1)</f>
        <v/>
      </c>
      <c r="F751" s="15" t="str">
        <f t="shared" si="872"/>
        <v/>
      </c>
      <c r="G751" s="16"/>
    </row>
    <row r="752">
      <c r="A752" s="5"/>
      <c r="B752" s="6" t="str">
        <f t="array" ref="B752">IF(ISBLANK(A752),"",IF(A752="PROREP (L)",VLOOKUP(LEFT($A752,6),'Data Feed (20C)'!$A$1:$G$10,2,FALSE),IF(A752="PROREP (S)", INDEX('Data Feed (20C)'!B:B, MATCH(LEFT($A752,6), 'Data Feed (20C)'!$A$1:$A$10, 0) + 1), VLOOKUP($A752,'Data Feed (20C)'!$A$1:$G$10,2,FALSE))))</f>
        <v/>
      </c>
      <c r="C752" s="6" t="str">
        <f t="array" ref="C752">IF(ISBLANK(A752),"",IF(A752="PROREP (L)",VLOOKUP(LEFT($A752,6),'Data Feed (20C)'!$A$1:$G$10,3,FALSE),IF(A752="PROREP (S)", INDEX('Data Feed (20C)'!C:C, MATCH(LEFT($A752,6), 'Data Feed (20C)'!$A$1:$A$10, 0) + 1, +1), VLOOKUP($A752,'Data Feed (20C)'!$A$1:$G$10,3,FALSE))))</f>
        <v/>
      </c>
      <c r="D752" s="6" t="str">
        <f t="array" ref="D752">IF(ISBLANK(A752),"",IF(A752="PROREP (L)",VLOOKUP(LEFT($A752,6),'Data Feed (20C)'!$A$1:$G$10,4,FALSE),IF(A752="PROREP (S)", INDEX('Data Feed (20C)'!D:D, MATCH(LEFT($A752,6), 'Data Feed (20C)'!$A$1:$A$10, 0) + 1, +1), VLOOKUP($A752,'Data Feed (20C)'!$A$1:$G$10,4,FALSE))))</f>
        <v/>
      </c>
      <c r="E752" s="6" t="str">
        <f t="array" ref="E752">IF(ISBLANK(A752),"",IF(A752="PROREP (L)",VLOOKUP(LEFT($A752,6),'Data Feed (20C)'!$A$1:$G$10,7,FALSE),IF(A752="PROREP (S)", INDEX('Data Feed (20C)'!G:G, MATCH(LEFT($A752,6), 'Data Feed (20C)'!$A$1:$A$10, 0) + 1, +1), VLOOKUP($A752,'Data Feed (20C)'!$A$1:$G$10,7,FALSE))))</f>
        <v/>
      </c>
      <c r="F752" s="7"/>
      <c r="G752" s="8"/>
    </row>
    <row r="753">
      <c r="A753" s="9" t="str">
        <f t="shared" ref="A753:A757" si="877">A752</f>
        <v/>
      </c>
      <c r="B753" s="9" t="str">
        <f>IF(ISBLANK(A752),"",LEFT(B752,27)&amp;VALUE(RIGHT(B752,1)+1))</f>
        <v/>
      </c>
      <c r="C753" s="6" t="str">
        <f t="shared" ref="C753:D753" si="876">C752</f>
        <v/>
      </c>
      <c r="D753" s="6" t="str">
        <f t="shared" si="876"/>
        <v/>
      </c>
      <c r="E753" s="10" t="str">
        <f>IF(ISBLANK(A752),"",E752+1)</f>
        <v/>
      </c>
      <c r="F753" s="11" t="str">
        <f t="shared" ref="F753:F757" si="879">F752</f>
        <v/>
      </c>
      <c r="G753" s="8"/>
    </row>
    <row r="754">
      <c r="A754" s="9" t="str">
        <f t="shared" si="877"/>
        <v/>
      </c>
      <c r="B754" s="9" t="str">
        <f>IF(ISBLANK(A752),"",LEFT(B753,27)&amp;VALUE(RIGHT(B753,1)+1))</f>
        <v/>
      </c>
      <c r="C754" s="6" t="str">
        <f t="shared" ref="C754:D754" si="878">C753</f>
        <v/>
      </c>
      <c r="D754" s="6" t="str">
        <f t="shared" si="878"/>
        <v/>
      </c>
      <c r="E754" s="10" t="str">
        <f>IF(ISBLANK(A752),"",E753+1)</f>
        <v/>
      </c>
      <c r="F754" s="11" t="str">
        <f t="shared" si="879"/>
        <v/>
      </c>
      <c r="G754" s="8"/>
    </row>
    <row r="755">
      <c r="A755" s="9" t="str">
        <f t="shared" si="877"/>
        <v/>
      </c>
      <c r="B755" s="9" t="str">
        <f>IF(ISBLANK(A752),"",LEFT(B754,27)&amp;VALUE(RIGHT(B754,1)+1))</f>
        <v/>
      </c>
      <c r="C755" s="6" t="str">
        <f t="shared" ref="C755:D755" si="880">C754</f>
        <v/>
      </c>
      <c r="D755" s="6" t="str">
        <f t="shared" si="880"/>
        <v/>
      </c>
      <c r="E755" s="10" t="str">
        <f>IF(ISBLANK(A752),"",E754+1)</f>
        <v/>
      </c>
      <c r="F755" s="11" t="str">
        <f t="shared" si="879"/>
        <v/>
      </c>
      <c r="G755" s="8"/>
    </row>
    <row r="756">
      <c r="A756" s="9" t="str">
        <f t="shared" si="877"/>
        <v/>
      </c>
      <c r="B756" s="9" t="str">
        <f>IF(ISBLANK(A752),"",LEFT(B755,27)&amp;VALUE(RIGHT(B755,1)+1))</f>
        <v/>
      </c>
      <c r="C756" s="6" t="str">
        <f t="shared" ref="C756:D756" si="881">C755</f>
        <v/>
      </c>
      <c r="D756" s="6" t="str">
        <f t="shared" si="881"/>
        <v/>
      </c>
      <c r="E756" s="10" t="str">
        <f>IF(ISBLANK(A752),"",E755+1)</f>
        <v/>
      </c>
      <c r="F756" s="11" t="str">
        <f t="shared" si="879"/>
        <v/>
      </c>
      <c r="G756" s="8"/>
    </row>
    <row r="757">
      <c r="A757" s="12" t="str">
        <f t="shared" si="877"/>
        <v/>
      </c>
      <c r="B757" s="12" t="str">
        <f>IF(ISBLANK(A752),"",LEFT(B756,27)&amp;VALUE(RIGHT(B756,1)+1))</f>
        <v/>
      </c>
      <c r="C757" s="13" t="str">
        <f t="shared" ref="C757:D757" si="882">C756</f>
        <v/>
      </c>
      <c r="D757" s="13" t="str">
        <f t="shared" si="882"/>
        <v/>
      </c>
      <c r="E757" s="14" t="str">
        <f>IF(ISBLANK(A752),"",E756+1)</f>
        <v/>
      </c>
      <c r="F757" s="15" t="str">
        <f t="shared" si="879"/>
        <v/>
      </c>
      <c r="G757" s="16"/>
    </row>
    <row r="758">
      <c r="A758" s="5"/>
      <c r="B758" s="6" t="str">
        <f t="array" ref="B758">IF(ISBLANK(A758),"",IF(A758="PROREP (L)",VLOOKUP(LEFT($A758,6),'Data Feed (20C)'!$A$1:$G$10,2,FALSE),IF(A758="PROREP (S)", INDEX('Data Feed (20C)'!B:B, MATCH(LEFT($A758,6), 'Data Feed (20C)'!$A$1:$A$10, 0) + 1), VLOOKUP($A758,'Data Feed (20C)'!$A$1:$G$10,2,FALSE))))</f>
        <v/>
      </c>
      <c r="C758" s="6" t="str">
        <f t="array" ref="C758">IF(ISBLANK(A758),"",IF(A758="PROREP (L)",VLOOKUP(LEFT($A758,6),'Data Feed (20C)'!$A$1:$G$10,3,FALSE),IF(A758="PROREP (S)", INDEX('Data Feed (20C)'!C:C, MATCH(LEFT($A758,6), 'Data Feed (20C)'!$A$1:$A$10, 0) + 1, +1), VLOOKUP($A758,'Data Feed (20C)'!$A$1:$G$10,3,FALSE))))</f>
        <v/>
      </c>
      <c r="D758" s="6" t="str">
        <f t="array" ref="D758">IF(ISBLANK(A758),"",IF(A758="PROREP (L)",VLOOKUP(LEFT($A758,6),'Data Feed (20C)'!$A$1:$G$10,4,FALSE),IF(A758="PROREP (S)", INDEX('Data Feed (20C)'!D:D, MATCH(LEFT($A758,6), 'Data Feed (20C)'!$A$1:$A$10, 0) + 1, +1), VLOOKUP($A758,'Data Feed (20C)'!$A$1:$G$10,4,FALSE))))</f>
        <v/>
      </c>
      <c r="E758" s="6" t="str">
        <f t="array" ref="E758">IF(ISBLANK(A758),"",IF(A758="PROREP (L)",VLOOKUP(LEFT($A758,6),'Data Feed (20C)'!$A$1:$G$10,7,FALSE),IF(A758="PROREP (S)", INDEX('Data Feed (20C)'!G:G, MATCH(LEFT($A758,6), 'Data Feed (20C)'!$A$1:$A$10, 0) + 1, +1), VLOOKUP($A758,'Data Feed (20C)'!$A$1:$G$10,7,FALSE))))</f>
        <v/>
      </c>
      <c r="F758" s="7"/>
      <c r="G758" s="8"/>
    </row>
    <row r="759">
      <c r="A759" s="9" t="str">
        <f t="shared" ref="A759:A763" si="884">A758</f>
        <v/>
      </c>
      <c r="B759" s="9" t="str">
        <f>IF(ISBLANK(A758),"",LEFT(B758,27)&amp;VALUE(RIGHT(B758,1)+1))</f>
        <v/>
      </c>
      <c r="C759" s="6" t="str">
        <f t="shared" ref="C759:D759" si="883">C758</f>
        <v/>
      </c>
      <c r="D759" s="6" t="str">
        <f t="shared" si="883"/>
        <v/>
      </c>
      <c r="E759" s="10" t="str">
        <f>IF(ISBLANK(A758),"",E758+1)</f>
        <v/>
      </c>
      <c r="F759" s="11" t="str">
        <f t="shared" ref="F759:F763" si="886">F758</f>
        <v/>
      </c>
      <c r="G759" s="8"/>
    </row>
    <row r="760">
      <c r="A760" s="9" t="str">
        <f t="shared" si="884"/>
        <v/>
      </c>
      <c r="B760" s="9" t="str">
        <f>IF(ISBLANK(A758),"",LEFT(B759,27)&amp;VALUE(RIGHT(B759,1)+1))</f>
        <v/>
      </c>
      <c r="C760" s="6" t="str">
        <f t="shared" ref="C760:D760" si="885">C759</f>
        <v/>
      </c>
      <c r="D760" s="6" t="str">
        <f t="shared" si="885"/>
        <v/>
      </c>
      <c r="E760" s="10" t="str">
        <f>IF(ISBLANK(A758),"",E759+1)</f>
        <v/>
      </c>
      <c r="F760" s="11" t="str">
        <f t="shared" si="886"/>
        <v/>
      </c>
      <c r="G760" s="8"/>
    </row>
    <row r="761">
      <c r="A761" s="9" t="str">
        <f t="shared" si="884"/>
        <v/>
      </c>
      <c r="B761" s="9" t="str">
        <f>IF(ISBLANK(A758),"",LEFT(B760,27)&amp;VALUE(RIGHT(B760,1)+1))</f>
        <v/>
      </c>
      <c r="C761" s="6" t="str">
        <f t="shared" ref="C761:D761" si="887">C760</f>
        <v/>
      </c>
      <c r="D761" s="6" t="str">
        <f t="shared" si="887"/>
        <v/>
      </c>
      <c r="E761" s="10" t="str">
        <f>IF(ISBLANK(A758),"",E760+1)</f>
        <v/>
      </c>
      <c r="F761" s="11" t="str">
        <f t="shared" si="886"/>
        <v/>
      </c>
      <c r="G761" s="8"/>
    </row>
    <row r="762">
      <c r="A762" s="9" t="str">
        <f t="shared" si="884"/>
        <v/>
      </c>
      <c r="B762" s="9" t="str">
        <f>IF(ISBLANK(A758),"",LEFT(B761,27)&amp;VALUE(RIGHT(B761,1)+1))</f>
        <v/>
      </c>
      <c r="C762" s="6" t="str">
        <f t="shared" ref="C762:D762" si="888">C761</f>
        <v/>
      </c>
      <c r="D762" s="6" t="str">
        <f t="shared" si="888"/>
        <v/>
      </c>
      <c r="E762" s="10" t="str">
        <f>IF(ISBLANK(A758),"",E761+1)</f>
        <v/>
      </c>
      <c r="F762" s="11" t="str">
        <f t="shared" si="886"/>
        <v/>
      </c>
      <c r="G762" s="8"/>
    </row>
    <row r="763">
      <c r="A763" s="12" t="str">
        <f t="shared" si="884"/>
        <v/>
      </c>
      <c r="B763" s="12" t="str">
        <f>IF(ISBLANK(A758),"",LEFT(B762,27)&amp;VALUE(RIGHT(B762,1)+1))</f>
        <v/>
      </c>
      <c r="C763" s="13" t="str">
        <f t="shared" ref="C763:D763" si="889">C762</f>
        <v/>
      </c>
      <c r="D763" s="13" t="str">
        <f t="shared" si="889"/>
        <v/>
      </c>
      <c r="E763" s="14" t="str">
        <f>IF(ISBLANK(A758),"",E762+1)</f>
        <v/>
      </c>
      <c r="F763" s="15" t="str">
        <f t="shared" si="886"/>
        <v/>
      </c>
      <c r="G763" s="16"/>
    </row>
    <row r="764">
      <c r="A764" s="5"/>
      <c r="B764" s="6" t="str">
        <f t="array" ref="B764">IF(ISBLANK(A764),"",IF(A764="PROREP (L)",VLOOKUP(LEFT($A764,6),'Data Feed (20C)'!$A$1:$G$10,2,FALSE),IF(A764="PROREP (S)", INDEX('Data Feed (20C)'!B:B, MATCH(LEFT($A764,6), 'Data Feed (20C)'!$A$1:$A$10, 0) + 1), VLOOKUP($A764,'Data Feed (20C)'!$A$1:$G$10,2,FALSE))))</f>
        <v/>
      </c>
      <c r="C764" s="6" t="str">
        <f t="array" ref="C764">IF(ISBLANK(A764),"",IF(A764="PROREP (L)",VLOOKUP(LEFT($A764,6),'Data Feed (20C)'!$A$1:$G$10,3,FALSE),IF(A764="PROREP (S)", INDEX('Data Feed (20C)'!C:C, MATCH(LEFT($A764,6), 'Data Feed (20C)'!$A$1:$A$10, 0) + 1, +1), VLOOKUP($A764,'Data Feed (20C)'!$A$1:$G$10,3,FALSE))))</f>
        <v/>
      </c>
      <c r="D764" s="6" t="str">
        <f t="array" ref="D764">IF(ISBLANK(A764),"",IF(A764="PROREP (L)",VLOOKUP(LEFT($A764,6),'Data Feed (20C)'!$A$1:$G$10,4,FALSE),IF(A764="PROREP (S)", INDEX('Data Feed (20C)'!D:D, MATCH(LEFT($A764,6), 'Data Feed (20C)'!$A$1:$A$10, 0) + 1, +1), VLOOKUP($A764,'Data Feed (20C)'!$A$1:$G$10,4,FALSE))))</f>
        <v/>
      </c>
      <c r="E764" s="6" t="str">
        <f t="array" ref="E764">IF(ISBLANK(A764),"",IF(A764="PROREP (L)",VLOOKUP(LEFT($A764,6),'Data Feed (20C)'!$A$1:$G$10,7,FALSE),IF(A764="PROREP (S)", INDEX('Data Feed (20C)'!G:G, MATCH(LEFT($A764,6), 'Data Feed (20C)'!$A$1:$A$10, 0) + 1, +1), VLOOKUP($A764,'Data Feed (20C)'!$A$1:$G$10,7,FALSE))))</f>
        <v/>
      </c>
      <c r="F764" s="7"/>
      <c r="G764" s="8"/>
    </row>
    <row r="765">
      <c r="A765" s="9" t="str">
        <f t="shared" ref="A765:A769" si="891">A764</f>
        <v/>
      </c>
      <c r="B765" s="9" t="str">
        <f>IF(ISBLANK(A764),"",LEFT(B764,27)&amp;VALUE(RIGHT(B764,1)+1))</f>
        <v/>
      </c>
      <c r="C765" s="6" t="str">
        <f t="shared" ref="C765:D765" si="890">C764</f>
        <v/>
      </c>
      <c r="D765" s="6" t="str">
        <f t="shared" si="890"/>
        <v/>
      </c>
      <c r="E765" s="10" t="str">
        <f>IF(ISBLANK(A764),"",E764+1)</f>
        <v/>
      </c>
      <c r="F765" s="11" t="str">
        <f t="shared" ref="F765:F769" si="893">F764</f>
        <v/>
      </c>
      <c r="G765" s="8"/>
    </row>
    <row r="766">
      <c r="A766" s="9" t="str">
        <f t="shared" si="891"/>
        <v/>
      </c>
      <c r="B766" s="9" t="str">
        <f>IF(ISBLANK(A764),"",LEFT(B765,27)&amp;VALUE(RIGHT(B765,1)+1))</f>
        <v/>
      </c>
      <c r="C766" s="6" t="str">
        <f t="shared" ref="C766:D766" si="892">C765</f>
        <v/>
      </c>
      <c r="D766" s="6" t="str">
        <f t="shared" si="892"/>
        <v/>
      </c>
      <c r="E766" s="10" t="str">
        <f>IF(ISBLANK(A764),"",E765+1)</f>
        <v/>
      </c>
      <c r="F766" s="11" t="str">
        <f t="shared" si="893"/>
        <v/>
      </c>
      <c r="G766" s="8"/>
    </row>
    <row r="767">
      <c r="A767" s="9" t="str">
        <f t="shared" si="891"/>
        <v/>
      </c>
      <c r="B767" s="9" t="str">
        <f>IF(ISBLANK(A764),"",LEFT(B766,27)&amp;VALUE(RIGHT(B766,1)+1))</f>
        <v/>
      </c>
      <c r="C767" s="6" t="str">
        <f t="shared" ref="C767:D767" si="894">C766</f>
        <v/>
      </c>
      <c r="D767" s="6" t="str">
        <f t="shared" si="894"/>
        <v/>
      </c>
      <c r="E767" s="10" t="str">
        <f>IF(ISBLANK(A764),"",E766+1)</f>
        <v/>
      </c>
      <c r="F767" s="11" t="str">
        <f t="shared" si="893"/>
        <v/>
      </c>
      <c r="G767" s="8"/>
    </row>
    <row r="768">
      <c r="A768" s="9" t="str">
        <f t="shared" si="891"/>
        <v/>
      </c>
      <c r="B768" s="9" t="str">
        <f>IF(ISBLANK(A764),"",LEFT(B767,27)&amp;VALUE(RIGHT(B767,1)+1))</f>
        <v/>
      </c>
      <c r="C768" s="6" t="str">
        <f t="shared" ref="C768:D768" si="895">C767</f>
        <v/>
      </c>
      <c r="D768" s="6" t="str">
        <f t="shared" si="895"/>
        <v/>
      </c>
      <c r="E768" s="10" t="str">
        <f>IF(ISBLANK(A764),"",E767+1)</f>
        <v/>
      </c>
      <c r="F768" s="11" t="str">
        <f t="shared" si="893"/>
        <v/>
      </c>
      <c r="G768" s="8"/>
    </row>
    <row r="769">
      <c r="A769" s="12" t="str">
        <f t="shared" si="891"/>
        <v/>
      </c>
      <c r="B769" s="12" t="str">
        <f>IF(ISBLANK(A764),"",LEFT(B768,27)&amp;VALUE(RIGHT(B768,1)+1))</f>
        <v/>
      </c>
      <c r="C769" s="13" t="str">
        <f t="shared" ref="C769:D769" si="896">C768</f>
        <v/>
      </c>
      <c r="D769" s="13" t="str">
        <f t="shared" si="896"/>
        <v/>
      </c>
      <c r="E769" s="14" t="str">
        <f>IF(ISBLANK(A764),"",E768+1)</f>
        <v/>
      </c>
      <c r="F769" s="15" t="str">
        <f t="shared" si="893"/>
        <v/>
      </c>
      <c r="G769" s="16"/>
    </row>
    <row r="770">
      <c r="A770" s="5"/>
      <c r="B770" s="6" t="str">
        <f t="array" ref="B770">IF(ISBLANK(A770),"",IF(A770="PROREP (L)",VLOOKUP(LEFT($A770,6),'Data Feed (20C)'!$A$1:$G$10,2,FALSE),IF(A770="PROREP (S)", INDEX('Data Feed (20C)'!B:B, MATCH(LEFT($A770,6), 'Data Feed (20C)'!$A$1:$A$10, 0) + 1), VLOOKUP($A770,'Data Feed (20C)'!$A$1:$G$10,2,FALSE))))</f>
        <v/>
      </c>
      <c r="C770" s="6" t="str">
        <f t="array" ref="C770">IF(ISBLANK(A770),"",IF(A770="PROREP (L)",VLOOKUP(LEFT($A770,6),'Data Feed (20C)'!$A$1:$G$10,3,FALSE),IF(A770="PROREP (S)", INDEX('Data Feed (20C)'!C:C, MATCH(LEFT($A770,6), 'Data Feed (20C)'!$A$1:$A$10, 0) + 1, +1), VLOOKUP($A770,'Data Feed (20C)'!$A$1:$G$10,3,FALSE))))</f>
        <v/>
      </c>
      <c r="D770" s="6" t="str">
        <f t="array" ref="D770">IF(ISBLANK(A770),"",IF(A770="PROREP (L)",VLOOKUP(LEFT($A770,6),'Data Feed (20C)'!$A$1:$G$10,4,FALSE),IF(A770="PROREP (S)", INDEX('Data Feed (20C)'!D:D, MATCH(LEFT($A770,6), 'Data Feed (20C)'!$A$1:$A$10, 0) + 1, +1), VLOOKUP($A770,'Data Feed (20C)'!$A$1:$G$10,4,FALSE))))</f>
        <v/>
      </c>
      <c r="E770" s="6" t="str">
        <f t="array" ref="E770">IF(ISBLANK(A770),"",IF(A770="PROREP (L)",VLOOKUP(LEFT($A770,6),'Data Feed (20C)'!$A$1:$G$10,7,FALSE),IF(A770="PROREP (S)", INDEX('Data Feed (20C)'!G:G, MATCH(LEFT($A770,6), 'Data Feed (20C)'!$A$1:$A$10, 0) + 1, +1), VLOOKUP($A770,'Data Feed (20C)'!$A$1:$G$10,7,FALSE))))</f>
        <v/>
      </c>
      <c r="F770" s="7"/>
      <c r="G770" s="8"/>
    </row>
    <row r="771">
      <c r="A771" s="9" t="str">
        <f t="shared" ref="A771:A775" si="898">A770</f>
        <v/>
      </c>
      <c r="B771" s="9" t="str">
        <f>IF(ISBLANK(A770),"",LEFT(B770,27)&amp;VALUE(RIGHT(B770,1)+1))</f>
        <v/>
      </c>
      <c r="C771" s="6" t="str">
        <f t="shared" ref="C771:D771" si="897">C770</f>
        <v/>
      </c>
      <c r="D771" s="6" t="str">
        <f t="shared" si="897"/>
        <v/>
      </c>
      <c r="E771" s="10" t="str">
        <f>IF(ISBLANK(A770),"",E770+1)</f>
        <v/>
      </c>
      <c r="F771" s="11" t="str">
        <f t="shared" ref="F771:F775" si="900">F770</f>
        <v/>
      </c>
      <c r="G771" s="8"/>
    </row>
    <row r="772">
      <c r="A772" s="9" t="str">
        <f t="shared" si="898"/>
        <v/>
      </c>
      <c r="B772" s="9" t="str">
        <f>IF(ISBLANK(A770),"",LEFT(B771,27)&amp;VALUE(RIGHT(B771,1)+1))</f>
        <v/>
      </c>
      <c r="C772" s="6" t="str">
        <f t="shared" ref="C772:D772" si="899">C771</f>
        <v/>
      </c>
      <c r="D772" s="6" t="str">
        <f t="shared" si="899"/>
        <v/>
      </c>
      <c r="E772" s="10" t="str">
        <f>IF(ISBLANK(A770),"",E771+1)</f>
        <v/>
      </c>
      <c r="F772" s="11" t="str">
        <f t="shared" si="900"/>
        <v/>
      </c>
      <c r="G772" s="8"/>
    </row>
    <row r="773">
      <c r="A773" s="9" t="str">
        <f t="shared" si="898"/>
        <v/>
      </c>
      <c r="B773" s="9" t="str">
        <f>IF(ISBLANK(A770),"",LEFT(B772,27)&amp;VALUE(RIGHT(B772,1)+1))</f>
        <v/>
      </c>
      <c r="C773" s="6" t="str">
        <f t="shared" ref="C773:D773" si="901">C772</f>
        <v/>
      </c>
      <c r="D773" s="6" t="str">
        <f t="shared" si="901"/>
        <v/>
      </c>
      <c r="E773" s="10" t="str">
        <f>IF(ISBLANK(A770),"",E772+1)</f>
        <v/>
      </c>
      <c r="F773" s="11" t="str">
        <f t="shared" si="900"/>
        <v/>
      </c>
      <c r="G773" s="8"/>
    </row>
    <row r="774">
      <c r="A774" s="9" t="str">
        <f t="shared" si="898"/>
        <v/>
      </c>
      <c r="B774" s="9" t="str">
        <f>IF(ISBLANK(A770),"",LEFT(B773,27)&amp;VALUE(RIGHT(B773,1)+1))</f>
        <v/>
      </c>
      <c r="C774" s="6" t="str">
        <f t="shared" ref="C774:D774" si="902">C773</f>
        <v/>
      </c>
      <c r="D774" s="6" t="str">
        <f t="shared" si="902"/>
        <v/>
      </c>
      <c r="E774" s="10" t="str">
        <f>IF(ISBLANK(A770),"",E773+1)</f>
        <v/>
      </c>
      <c r="F774" s="11" t="str">
        <f t="shared" si="900"/>
        <v/>
      </c>
      <c r="G774" s="8"/>
    </row>
    <row r="775">
      <c r="A775" s="12" t="str">
        <f t="shared" si="898"/>
        <v/>
      </c>
      <c r="B775" s="12" t="str">
        <f>IF(ISBLANK(A770),"",LEFT(B774,27)&amp;VALUE(RIGHT(B774,1)+1))</f>
        <v/>
      </c>
      <c r="C775" s="13" t="str">
        <f t="shared" ref="C775:D775" si="903">C774</f>
        <v/>
      </c>
      <c r="D775" s="13" t="str">
        <f t="shared" si="903"/>
        <v/>
      </c>
      <c r="E775" s="14" t="str">
        <f>IF(ISBLANK(A770),"",E774+1)</f>
        <v/>
      </c>
      <c r="F775" s="15" t="str">
        <f t="shared" si="900"/>
        <v/>
      </c>
      <c r="G775" s="16"/>
    </row>
    <row r="776">
      <c r="A776" s="5"/>
      <c r="B776" s="6" t="str">
        <f t="array" ref="B776">IF(ISBLANK(A776),"",IF(A776="PROREP (L)",VLOOKUP(LEFT($A776,6),'Data Feed (20C)'!$A$1:$G$10,2,FALSE),IF(A776="PROREP (S)", INDEX('Data Feed (20C)'!B:B, MATCH(LEFT($A776,6), 'Data Feed (20C)'!$A$1:$A$10, 0) + 1), VLOOKUP($A776,'Data Feed (20C)'!$A$1:$G$10,2,FALSE))))</f>
        <v/>
      </c>
      <c r="C776" s="6" t="str">
        <f t="array" ref="C776">IF(ISBLANK(A776),"",IF(A776="PROREP (L)",VLOOKUP(LEFT($A776,6),'Data Feed (20C)'!$A$1:$G$10,3,FALSE),IF(A776="PROREP (S)", INDEX('Data Feed (20C)'!C:C, MATCH(LEFT($A776,6), 'Data Feed (20C)'!$A$1:$A$10, 0) + 1, +1), VLOOKUP($A776,'Data Feed (20C)'!$A$1:$G$10,3,FALSE))))</f>
        <v/>
      </c>
      <c r="D776" s="6" t="str">
        <f t="array" ref="D776">IF(ISBLANK(A776),"",IF(A776="PROREP (L)",VLOOKUP(LEFT($A776,6),'Data Feed (20C)'!$A$1:$G$10,4,FALSE),IF(A776="PROREP (S)", INDEX('Data Feed (20C)'!D:D, MATCH(LEFT($A776,6), 'Data Feed (20C)'!$A$1:$A$10, 0) + 1, +1), VLOOKUP($A776,'Data Feed (20C)'!$A$1:$G$10,4,FALSE))))</f>
        <v/>
      </c>
      <c r="E776" s="6" t="str">
        <f t="array" ref="E776">IF(ISBLANK(A776),"",IF(A776="PROREP (L)",VLOOKUP(LEFT($A776,6),'Data Feed (20C)'!$A$1:$G$10,7,FALSE),IF(A776="PROREP (S)", INDEX('Data Feed (20C)'!G:G, MATCH(LEFT($A776,6), 'Data Feed (20C)'!$A$1:$A$10, 0) + 1, +1), VLOOKUP($A776,'Data Feed (20C)'!$A$1:$G$10,7,FALSE))))</f>
        <v/>
      </c>
      <c r="F776" s="7"/>
      <c r="G776" s="8"/>
    </row>
    <row r="777">
      <c r="A777" s="9" t="str">
        <f t="shared" ref="A777:A781" si="905">A776</f>
        <v/>
      </c>
      <c r="B777" s="9" t="str">
        <f>IF(ISBLANK(A776),"",LEFT(B776,27)&amp;VALUE(RIGHT(B776,1)+1))</f>
        <v/>
      </c>
      <c r="C777" s="6" t="str">
        <f t="shared" ref="C777:D777" si="904">C776</f>
        <v/>
      </c>
      <c r="D777" s="6" t="str">
        <f t="shared" si="904"/>
        <v/>
      </c>
      <c r="E777" s="10" t="str">
        <f>IF(ISBLANK(A776),"",E776+1)</f>
        <v/>
      </c>
      <c r="F777" s="11" t="str">
        <f t="shared" ref="F777:F781" si="907">F776</f>
        <v/>
      </c>
      <c r="G777" s="8"/>
    </row>
    <row r="778">
      <c r="A778" s="9" t="str">
        <f t="shared" si="905"/>
        <v/>
      </c>
      <c r="B778" s="9" t="str">
        <f>IF(ISBLANK(A776),"",LEFT(B777,27)&amp;VALUE(RIGHT(B777,1)+1))</f>
        <v/>
      </c>
      <c r="C778" s="6" t="str">
        <f t="shared" ref="C778:D778" si="906">C777</f>
        <v/>
      </c>
      <c r="D778" s="6" t="str">
        <f t="shared" si="906"/>
        <v/>
      </c>
      <c r="E778" s="10" t="str">
        <f>IF(ISBLANK(A776),"",E777+1)</f>
        <v/>
      </c>
      <c r="F778" s="11" t="str">
        <f t="shared" si="907"/>
        <v/>
      </c>
      <c r="G778" s="8"/>
    </row>
    <row r="779">
      <c r="A779" s="9" t="str">
        <f t="shared" si="905"/>
        <v/>
      </c>
      <c r="B779" s="9" t="str">
        <f>IF(ISBLANK(A776),"",LEFT(B778,27)&amp;VALUE(RIGHT(B778,1)+1))</f>
        <v/>
      </c>
      <c r="C779" s="6" t="str">
        <f t="shared" ref="C779:D779" si="908">C778</f>
        <v/>
      </c>
      <c r="D779" s="6" t="str">
        <f t="shared" si="908"/>
        <v/>
      </c>
      <c r="E779" s="10" t="str">
        <f>IF(ISBLANK(A776),"",E778+1)</f>
        <v/>
      </c>
      <c r="F779" s="11" t="str">
        <f t="shared" si="907"/>
        <v/>
      </c>
      <c r="G779" s="8"/>
    </row>
    <row r="780">
      <c r="A780" s="9" t="str">
        <f t="shared" si="905"/>
        <v/>
      </c>
      <c r="B780" s="9" t="str">
        <f>IF(ISBLANK(A776),"",LEFT(B779,27)&amp;VALUE(RIGHT(B779,1)+1))</f>
        <v/>
      </c>
      <c r="C780" s="6" t="str">
        <f t="shared" ref="C780:D780" si="909">C779</f>
        <v/>
      </c>
      <c r="D780" s="6" t="str">
        <f t="shared" si="909"/>
        <v/>
      </c>
      <c r="E780" s="10" t="str">
        <f>IF(ISBLANK(A776),"",E779+1)</f>
        <v/>
      </c>
      <c r="F780" s="11" t="str">
        <f t="shared" si="907"/>
        <v/>
      </c>
      <c r="G780" s="8"/>
    </row>
    <row r="781">
      <c r="A781" s="12" t="str">
        <f t="shared" si="905"/>
        <v/>
      </c>
      <c r="B781" s="12" t="str">
        <f>IF(ISBLANK(A776),"",LEFT(B780,27)&amp;VALUE(RIGHT(B780,1)+1))</f>
        <v/>
      </c>
      <c r="C781" s="13" t="str">
        <f t="shared" ref="C781:D781" si="910">C780</f>
        <v/>
      </c>
      <c r="D781" s="13" t="str">
        <f t="shared" si="910"/>
        <v/>
      </c>
      <c r="E781" s="14" t="str">
        <f>IF(ISBLANK(A776),"",E780+1)</f>
        <v/>
      </c>
      <c r="F781" s="15" t="str">
        <f t="shared" si="907"/>
        <v/>
      </c>
      <c r="G781" s="16"/>
    </row>
    <row r="782">
      <c r="A782" s="5"/>
      <c r="B782" s="6" t="str">
        <f t="array" ref="B782">IF(ISBLANK(A782),"",IF(A782="PROREP (L)",VLOOKUP(LEFT($A782,6),'Data Feed (20C)'!$A$1:$G$10,2,FALSE),IF(A782="PROREP (S)", INDEX('Data Feed (20C)'!B:B, MATCH(LEFT($A782,6), 'Data Feed (20C)'!$A$1:$A$10, 0) + 1), VLOOKUP($A782,'Data Feed (20C)'!$A$1:$G$10,2,FALSE))))</f>
        <v/>
      </c>
      <c r="C782" s="6" t="str">
        <f t="array" ref="C782">IF(ISBLANK(A782),"",IF(A782="PROREP (L)",VLOOKUP(LEFT($A782,6),'Data Feed (20C)'!$A$1:$G$10,3,FALSE),IF(A782="PROREP (S)", INDEX('Data Feed (20C)'!C:C, MATCH(LEFT($A782,6), 'Data Feed (20C)'!$A$1:$A$10, 0) + 1, +1), VLOOKUP($A782,'Data Feed (20C)'!$A$1:$G$10,3,FALSE))))</f>
        <v/>
      </c>
      <c r="D782" s="6" t="str">
        <f t="array" ref="D782">IF(ISBLANK(A782),"",IF(A782="PROREP (L)",VLOOKUP(LEFT($A782,6),'Data Feed (20C)'!$A$1:$G$10,4,FALSE),IF(A782="PROREP (S)", INDEX('Data Feed (20C)'!D:D, MATCH(LEFT($A782,6), 'Data Feed (20C)'!$A$1:$A$10, 0) + 1, +1), VLOOKUP($A782,'Data Feed (20C)'!$A$1:$G$10,4,FALSE))))</f>
        <v/>
      </c>
      <c r="E782" s="6" t="str">
        <f t="array" ref="E782">IF(ISBLANK(A782),"",IF(A782="PROREP (L)",VLOOKUP(LEFT($A782,6),'Data Feed (20C)'!$A$1:$G$10,7,FALSE),IF(A782="PROREP (S)", INDEX('Data Feed (20C)'!G:G, MATCH(LEFT($A782,6), 'Data Feed (20C)'!$A$1:$A$10, 0) + 1, +1), VLOOKUP($A782,'Data Feed (20C)'!$A$1:$G$10,7,FALSE))))</f>
        <v/>
      </c>
      <c r="F782" s="7"/>
      <c r="G782" s="8"/>
    </row>
    <row r="783">
      <c r="A783" s="9" t="str">
        <f t="shared" ref="A783:A787" si="912">A782</f>
        <v/>
      </c>
      <c r="B783" s="9" t="str">
        <f>IF(ISBLANK(A782),"",LEFT(B782,27)&amp;VALUE(RIGHT(B782,1)+1))</f>
        <v/>
      </c>
      <c r="C783" s="6" t="str">
        <f t="shared" ref="C783:D783" si="911">C782</f>
        <v/>
      </c>
      <c r="D783" s="6" t="str">
        <f t="shared" si="911"/>
        <v/>
      </c>
      <c r="E783" s="10" t="str">
        <f>IF(ISBLANK(A782),"",E782+1)</f>
        <v/>
      </c>
      <c r="F783" s="11" t="str">
        <f t="shared" ref="F783:F787" si="914">F782</f>
        <v/>
      </c>
      <c r="G783" s="8"/>
    </row>
    <row r="784">
      <c r="A784" s="9" t="str">
        <f t="shared" si="912"/>
        <v/>
      </c>
      <c r="B784" s="9" t="str">
        <f>IF(ISBLANK(A782),"",LEFT(B783,27)&amp;VALUE(RIGHT(B783,1)+1))</f>
        <v/>
      </c>
      <c r="C784" s="6" t="str">
        <f t="shared" ref="C784:D784" si="913">C783</f>
        <v/>
      </c>
      <c r="D784" s="6" t="str">
        <f t="shared" si="913"/>
        <v/>
      </c>
      <c r="E784" s="10" t="str">
        <f>IF(ISBLANK(A782),"",E783+1)</f>
        <v/>
      </c>
      <c r="F784" s="11" t="str">
        <f t="shared" si="914"/>
        <v/>
      </c>
      <c r="G784" s="8"/>
    </row>
    <row r="785">
      <c r="A785" s="9" t="str">
        <f t="shared" si="912"/>
        <v/>
      </c>
      <c r="B785" s="9" t="str">
        <f>IF(ISBLANK(A782),"",LEFT(B784,27)&amp;VALUE(RIGHT(B784,1)+1))</f>
        <v/>
      </c>
      <c r="C785" s="6" t="str">
        <f t="shared" ref="C785:D785" si="915">C784</f>
        <v/>
      </c>
      <c r="D785" s="6" t="str">
        <f t="shared" si="915"/>
        <v/>
      </c>
      <c r="E785" s="10" t="str">
        <f>IF(ISBLANK(A782),"",E784+1)</f>
        <v/>
      </c>
      <c r="F785" s="11" t="str">
        <f t="shared" si="914"/>
        <v/>
      </c>
      <c r="G785" s="8"/>
    </row>
    <row r="786">
      <c r="A786" s="9" t="str">
        <f t="shared" si="912"/>
        <v/>
      </c>
      <c r="B786" s="9" t="str">
        <f>IF(ISBLANK(A782),"",LEFT(B785,27)&amp;VALUE(RIGHT(B785,1)+1))</f>
        <v/>
      </c>
      <c r="C786" s="6" t="str">
        <f t="shared" ref="C786:D786" si="916">C785</f>
        <v/>
      </c>
      <c r="D786" s="6" t="str">
        <f t="shared" si="916"/>
        <v/>
      </c>
      <c r="E786" s="10" t="str">
        <f>IF(ISBLANK(A782),"",E785+1)</f>
        <v/>
      </c>
      <c r="F786" s="11" t="str">
        <f t="shared" si="914"/>
        <v/>
      </c>
      <c r="G786" s="8"/>
    </row>
    <row r="787">
      <c r="A787" s="12" t="str">
        <f t="shared" si="912"/>
        <v/>
      </c>
      <c r="B787" s="12" t="str">
        <f>IF(ISBLANK(A782),"",LEFT(B786,27)&amp;VALUE(RIGHT(B786,1)+1))</f>
        <v/>
      </c>
      <c r="C787" s="13" t="str">
        <f t="shared" ref="C787:D787" si="917">C786</f>
        <v/>
      </c>
      <c r="D787" s="13" t="str">
        <f t="shared" si="917"/>
        <v/>
      </c>
      <c r="E787" s="14" t="str">
        <f>IF(ISBLANK(A782),"",E786+1)</f>
        <v/>
      </c>
      <c r="F787" s="15" t="str">
        <f t="shared" si="914"/>
        <v/>
      </c>
      <c r="G787" s="16"/>
    </row>
    <row r="788">
      <c r="A788" s="5"/>
      <c r="B788" s="6" t="str">
        <f t="array" ref="B788">IF(ISBLANK(A788),"",IF(A788="PROREP (L)",VLOOKUP(LEFT($A788,6),'Data Feed (20C)'!$A$1:$G$10,2,FALSE),IF(A788="PROREP (S)", INDEX('Data Feed (20C)'!B:B, MATCH(LEFT($A788,6), 'Data Feed (20C)'!$A$1:$A$10, 0) + 1), VLOOKUP($A788,'Data Feed (20C)'!$A$1:$G$10,2,FALSE))))</f>
        <v/>
      </c>
      <c r="C788" s="6" t="str">
        <f t="array" ref="C788">IF(ISBLANK(A788),"",IF(A788="PROREP (L)",VLOOKUP(LEFT($A788,6),'Data Feed (20C)'!$A$1:$G$10,3,FALSE),IF(A788="PROREP (S)", INDEX('Data Feed (20C)'!C:C, MATCH(LEFT($A788,6), 'Data Feed (20C)'!$A$1:$A$10, 0) + 1, +1), VLOOKUP($A788,'Data Feed (20C)'!$A$1:$G$10,3,FALSE))))</f>
        <v/>
      </c>
      <c r="D788" s="6" t="str">
        <f t="array" ref="D788">IF(ISBLANK(A788),"",IF(A788="PROREP (L)",VLOOKUP(LEFT($A788,6),'Data Feed (20C)'!$A$1:$G$10,4,FALSE),IF(A788="PROREP (S)", INDEX('Data Feed (20C)'!D:D, MATCH(LEFT($A788,6), 'Data Feed (20C)'!$A$1:$A$10, 0) + 1, +1), VLOOKUP($A788,'Data Feed (20C)'!$A$1:$G$10,4,FALSE))))</f>
        <v/>
      </c>
      <c r="E788" s="6" t="str">
        <f t="array" ref="E788">IF(ISBLANK(A788),"",IF(A788="PROREP (L)",VLOOKUP(LEFT($A788,6),'Data Feed (20C)'!$A$1:$G$10,7,FALSE),IF(A788="PROREP (S)", INDEX('Data Feed (20C)'!G:G, MATCH(LEFT($A788,6), 'Data Feed (20C)'!$A$1:$A$10, 0) + 1, +1), VLOOKUP($A788,'Data Feed (20C)'!$A$1:$G$10,7,FALSE))))</f>
        <v/>
      </c>
      <c r="F788" s="7"/>
      <c r="G788" s="8"/>
    </row>
    <row r="789">
      <c r="A789" s="9" t="str">
        <f t="shared" ref="A789:A793" si="919">A788</f>
        <v/>
      </c>
      <c r="B789" s="9" t="str">
        <f>IF(ISBLANK(A788),"",LEFT(B788,27)&amp;VALUE(RIGHT(B788,1)+1))</f>
        <v/>
      </c>
      <c r="C789" s="6" t="str">
        <f t="shared" ref="C789:D789" si="918">C788</f>
        <v/>
      </c>
      <c r="D789" s="6" t="str">
        <f t="shared" si="918"/>
        <v/>
      </c>
      <c r="E789" s="10" t="str">
        <f>IF(ISBLANK(A788),"",E788+1)</f>
        <v/>
      </c>
      <c r="F789" s="11" t="str">
        <f t="shared" ref="F789:F793" si="921">F788</f>
        <v/>
      </c>
      <c r="G789" s="8"/>
    </row>
    <row r="790">
      <c r="A790" s="9" t="str">
        <f t="shared" si="919"/>
        <v/>
      </c>
      <c r="B790" s="9" t="str">
        <f>IF(ISBLANK(A788),"",LEFT(B789,27)&amp;VALUE(RIGHT(B789,1)+1))</f>
        <v/>
      </c>
      <c r="C790" s="6" t="str">
        <f t="shared" ref="C790:D790" si="920">C789</f>
        <v/>
      </c>
      <c r="D790" s="6" t="str">
        <f t="shared" si="920"/>
        <v/>
      </c>
      <c r="E790" s="10" t="str">
        <f>IF(ISBLANK(A788),"",E789+1)</f>
        <v/>
      </c>
      <c r="F790" s="11" t="str">
        <f t="shared" si="921"/>
        <v/>
      </c>
      <c r="G790" s="8"/>
    </row>
    <row r="791">
      <c r="A791" s="9" t="str">
        <f t="shared" si="919"/>
        <v/>
      </c>
      <c r="B791" s="9" t="str">
        <f>IF(ISBLANK(A788),"",LEFT(B790,27)&amp;VALUE(RIGHT(B790,1)+1))</f>
        <v/>
      </c>
      <c r="C791" s="6" t="str">
        <f t="shared" ref="C791:D791" si="922">C790</f>
        <v/>
      </c>
      <c r="D791" s="6" t="str">
        <f t="shared" si="922"/>
        <v/>
      </c>
      <c r="E791" s="10" t="str">
        <f>IF(ISBLANK(A788),"",E790+1)</f>
        <v/>
      </c>
      <c r="F791" s="11" t="str">
        <f t="shared" si="921"/>
        <v/>
      </c>
      <c r="G791" s="8"/>
    </row>
    <row r="792">
      <c r="A792" s="9" t="str">
        <f t="shared" si="919"/>
        <v/>
      </c>
      <c r="B792" s="9" t="str">
        <f>IF(ISBLANK(A788),"",LEFT(B791,27)&amp;VALUE(RIGHT(B791,1)+1))</f>
        <v/>
      </c>
      <c r="C792" s="6" t="str">
        <f t="shared" ref="C792:D792" si="923">C791</f>
        <v/>
      </c>
      <c r="D792" s="6" t="str">
        <f t="shared" si="923"/>
        <v/>
      </c>
      <c r="E792" s="10" t="str">
        <f>IF(ISBLANK(A788),"",E791+1)</f>
        <v/>
      </c>
      <c r="F792" s="11" t="str">
        <f t="shared" si="921"/>
        <v/>
      </c>
      <c r="G792" s="8"/>
    </row>
    <row r="793">
      <c r="A793" s="12" t="str">
        <f t="shared" si="919"/>
        <v/>
      </c>
      <c r="B793" s="12" t="str">
        <f>IF(ISBLANK(A788),"",LEFT(B792,27)&amp;VALUE(RIGHT(B792,1)+1))</f>
        <v/>
      </c>
      <c r="C793" s="13" t="str">
        <f t="shared" ref="C793:D793" si="924">C792</f>
        <v/>
      </c>
      <c r="D793" s="13" t="str">
        <f t="shared" si="924"/>
        <v/>
      </c>
      <c r="E793" s="14" t="str">
        <f>IF(ISBLANK(A788),"",E792+1)</f>
        <v/>
      </c>
      <c r="F793" s="15" t="str">
        <f t="shared" si="921"/>
        <v/>
      </c>
      <c r="G793" s="16"/>
    </row>
    <row r="794">
      <c r="A794" s="5"/>
      <c r="B794" s="6" t="str">
        <f t="array" ref="B794">IF(ISBLANK(A794),"",IF(A794="PROREP (L)",VLOOKUP(LEFT($A794,6),'Data Feed (20C)'!$A$1:$G$10,2,FALSE),IF(A794="PROREP (S)", INDEX('Data Feed (20C)'!B:B, MATCH(LEFT($A794,6), 'Data Feed (20C)'!$A$1:$A$10, 0) + 1), VLOOKUP($A794,'Data Feed (20C)'!$A$1:$G$10,2,FALSE))))</f>
        <v/>
      </c>
      <c r="C794" s="6" t="str">
        <f t="array" ref="C794">IF(ISBLANK(A794),"",IF(A794="PROREP (L)",VLOOKUP(LEFT($A794,6),'Data Feed (20C)'!$A$1:$G$10,3,FALSE),IF(A794="PROREP (S)", INDEX('Data Feed (20C)'!C:C, MATCH(LEFT($A794,6), 'Data Feed (20C)'!$A$1:$A$10, 0) + 1, +1), VLOOKUP($A794,'Data Feed (20C)'!$A$1:$G$10,3,FALSE))))</f>
        <v/>
      </c>
      <c r="D794" s="6" t="str">
        <f t="array" ref="D794">IF(ISBLANK(A794),"",IF(A794="PROREP (L)",VLOOKUP(LEFT($A794,6),'Data Feed (20C)'!$A$1:$G$10,4,FALSE),IF(A794="PROREP (S)", INDEX('Data Feed (20C)'!D:D, MATCH(LEFT($A794,6), 'Data Feed (20C)'!$A$1:$A$10, 0) + 1, +1), VLOOKUP($A794,'Data Feed (20C)'!$A$1:$G$10,4,FALSE))))</f>
        <v/>
      </c>
      <c r="E794" s="6" t="str">
        <f t="array" ref="E794">IF(ISBLANK(A794),"",IF(A794="PROREP (L)",VLOOKUP(LEFT($A794,6),'Data Feed (20C)'!$A$1:$G$10,7,FALSE),IF(A794="PROREP (S)", INDEX('Data Feed (20C)'!G:G, MATCH(LEFT($A794,6), 'Data Feed (20C)'!$A$1:$A$10, 0) + 1, +1), VLOOKUP($A794,'Data Feed (20C)'!$A$1:$G$10,7,FALSE))))</f>
        <v/>
      </c>
      <c r="F794" s="7"/>
      <c r="G794" s="8"/>
    </row>
    <row r="795">
      <c r="A795" s="9" t="str">
        <f t="shared" ref="A795:A799" si="926">A794</f>
        <v/>
      </c>
      <c r="B795" s="9" t="str">
        <f>IF(ISBLANK(A794),"",LEFT(B794,27)&amp;VALUE(RIGHT(B794,1)+1))</f>
        <v/>
      </c>
      <c r="C795" s="6" t="str">
        <f t="shared" ref="C795:D795" si="925">C794</f>
        <v/>
      </c>
      <c r="D795" s="6" t="str">
        <f t="shared" si="925"/>
        <v/>
      </c>
      <c r="E795" s="10" t="str">
        <f>IF(ISBLANK(A794),"",E794+1)</f>
        <v/>
      </c>
      <c r="F795" s="11" t="str">
        <f t="shared" ref="F795:F799" si="928">F794</f>
        <v/>
      </c>
      <c r="G795" s="8"/>
    </row>
    <row r="796">
      <c r="A796" s="9" t="str">
        <f t="shared" si="926"/>
        <v/>
      </c>
      <c r="B796" s="9" t="str">
        <f>IF(ISBLANK(A794),"",LEFT(B795,27)&amp;VALUE(RIGHT(B795,1)+1))</f>
        <v/>
      </c>
      <c r="C796" s="6" t="str">
        <f t="shared" ref="C796:D796" si="927">C795</f>
        <v/>
      </c>
      <c r="D796" s="6" t="str">
        <f t="shared" si="927"/>
        <v/>
      </c>
      <c r="E796" s="10" t="str">
        <f>IF(ISBLANK(A794),"",E795+1)</f>
        <v/>
      </c>
      <c r="F796" s="11" t="str">
        <f t="shared" si="928"/>
        <v/>
      </c>
      <c r="G796" s="8"/>
    </row>
    <row r="797">
      <c r="A797" s="9" t="str">
        <f t="shared" si="926"/>
        <v/>
      </c>
      <c r="B797" s="9" t="str">
        <f>IF(ISBLANK(A794),"",LEFT(B796,27)&amp;VALUE(RIGHT(B796,1)+1))</f>
        <v/>
      </c>
      <c r="C797" s="6" t="str">
        <f t="shared" ref="C797:D797" si="929">C796</f>
        <v/>
      </c>
      <c r="D797" s="6" t="str">
        <f t="shared" si="929"/>
        <v/>
      </c>
      <c r="E797" s="10" t="str">
        <f>IF(ISBLANK(A794),"",E796+1)</f>
        <v/>
      </c>
      <c r="F797" s="11" t="str">
        <f t="shared" si="928"/>
        <v/>
      </c>
      <c r="G797" s="8"/>
    </row>
    <row r="798">
      <c r="A798" s="9" t="str">
        <f t="shared" si="926"/>
        <v/>
      </c>
      <c r="B798" s="9" t="str">
        <f>IF(ISBLANK(A794),"",LEFT(B797,27)&amp;VALUE(RIGHT(B797,1)+1))</f>
        <v/>
      </c>
      <c r="C798" s="6" t="str">
        <f t="shared" ref="C798:D798" si="930">C797</f>
        <v/>
      </c>
      <c r="D798" s="6" t="str">
        <f t="shared" si="930"/>
        <v/>
      </c>
      <c r="E798" s="10" t="str">
        <f>IF(ISBLANK(A794),"",E797+1)</f>
        <v/>
      </c>
      <c r="F798" s="11" t="str">
        <f t="shared" si="928"/>
        <v/>
      </c>
      <c r="G798" s="8"/>
    </row>
    <row r="799">
      <c r="A799" s="12" t="str">
        <f t="shared" si="926"/>
        <v/>
      </c>
      <c r="B799" s="12" t="str">
        <f>IF(ISBLANK(A794),"",LEFT(B798,27)&amp;VALUE(RIGHT(B798,1)+1))</f>
        <v/>
      </c>
      <c r="C799" s="13" t="str">
        <f t="shared" ref="C799:D799" si="931">C798</f>
        <v/>
      </c>
      <c r="D799" s="13" t="str">
        <f t="shared" si="931"/>
        <v/>
      </c>
      <c r="E799" s="14" t="str">
        <f>IF(ISBLANK(A794),"",E798+1)</f>
        <v/>
      </c>
      <c r="F799" s="15" t="str">
        <f t="shared" si="928"/>
        <v/>
      </c>
      <c r="G799" s="16"/>
    </row>
    <row r="800">
      <c r="A800" s="5"/>
      <c r="B800" s="6" t="str">
        <f t="array" ref="B800">IF(ISBLANK(A800),"",IF(A800="PROREP (L)",VLOOKUP(LEFT($A800,6),'Data Feed (20C)'!$A$1:$G$10,2,FALSE),IF(A800="PROREP (S)", INDEX('Data Feed (20C)'!B:B, MATCH(LEFT($A800,6), 'Data Feed (20C)'!$A$1:$A$10, 0) + 1), VLOOKUP($A800,'Data Feed (20C)'!$A$1:$G$10,2,FALSE))))</f>
        <v/>
      </c>
      <c r="C800" s="6" t="str">
        <f t="array" ref="C800">IF(ISBLANK(A800),"",IF(A800="PROREP (L)",VLOOKUP(LEFT($A800,6),'Data Feed (20C)'!$A$1:$G$10,3,FALSE),IF(A800="PROREP (S)", INDEX('Data Feed (20C)'!C:C, MATCH(LEFT($A800,6), 'Data Feed (20C)'!$A$1:$A$10, 0) + 1, +1), VLOOKUP($A800,'Data Feed (20C)'!$A$1:$G$10,3,FALSE))))</f>
        <v/>
      </c>
      <c r="D800" s="6" t="str">
        <f t="array" ref="D800">IF(ISBLANK(A800),"",IF(A800="PROREP (L)",VLOOKUP(LEFT($A800,6),'Data Feed (20C)'!$A$1:$G$10,4,FALSE),IF(A800="PROREP (S)", INDEX('Data Feed (20C)'!D:D, MATCH(LEFT($A800,6), 'Data Feed (20C)'!$A$1:$A$10, 0) + 1, +1), VLOOKUP($A800,'Data Feed (20C)'!$A$1:$G$10,4,FALSE))))</f>
        <v/>
      </c>
      <c r="E800" s="6" t="str">
        <f t="array" ref="E800">IF(ISBLANK(A800),"",IF(A800="PROREP (L)",VLOOKUP(LEFT($A800,6),'Data Feed (20C)'!$A$1:$G$10,7,FALSE),IF(A800="PROREP (S)", INDEX('Data Feed (20C)'!G:G, MATCH(LEFT($A800,6), 'Data Feed (20C)'!$A$1:$A$10, 0) + 1, +1), VLOOKUP($A800,'Data Feed (20C)'!$A$1:$G$10,7,FALSE))))</f>
        <v/>
      </c>
      <c r="F800" s="7"/>
      <c r="G800" s="8"/>
    </row>
    <row r="801">
      <c r="A801" s="9" t="str">
        <f t="shared" ref="A801:A805" si="933">A800</f>
        <v/>
      </c>
      <c r="B801" s="9" t="str">
        <f>IF(ISBLANK(A800),"",LEFT(B800,27)&amp;VALUE(RIGHT(B800,1)+1))</f>
        <v/>
      </c>
      <c r="C801" s="6" t="str">
        <f t="shared" ref="C801:D801" si="932">C800</f>
        <v/>
      </c>
      <c r="D801" s="6" t="str">
        <f t="shared" si="932"/>
        <v/>
      </c>
      <c r="E801" s="10" t="str">
        <f>IF(ISBLANK(A800),"",E800+1)</f>
        <v/>
      </c>
      <c r="F801" s="11" t="str">
        <f t="shared" ref="F801:F805" si="935">F800</f>
        <v/>
      </c>
      <c r="G801" s="8"/>
    </row>
    <row r="802">
      <c r="A802" s="9" t="str">
        <f t="shared" si="933"/>
        <v/>
      </c>
      <c r="B802" s="9" t="str">
        <f>IF(ISBLANK(A800),"",LEFT(B801,27)&amp;VALUE(RIGHT(B801,1)+1))</f>
        <v/>
      </c>
      <c r="C802" s="6" t="str">
        <f t="shared" ref="C802:D802" si="934">C801</f>
        <v/>
      </c>
      <c r="D802" s="6" t="str">
        <f t="shared" si="934"/>
        <v/>
      </c>
      <c r="E802" s="10" t="str">
        <f>IF(ISBLANK(A800),"",E801+1)</f>
        <v/>
      </c>
      <c r="F802" s="11" t="str">
        <f t="shared" si="935"/>
        <v/>
      </c>
      <c r="G802" s="8"/>
    </row>
    <row r="803">
      <c r="A803" s="9" t="str">
        <f t="shared" si="933"/>
        <v/>
      </c>
      <c r="B803" s="9" t="str">
        <f>IF(ISBLANK(A800),"",LEFT(B802,27)&amp;VALUE(RIGHT(B802,1)+1))</f>
        <v/>
      </c>
      <c r="C803" s="6" t="str">
        <f t="shared" ref="C803:D803" si="936">C802</f>
        <v/>
      </c>
      <c r="D803" s="6" t="str">
        <f t="shared" si="936"/>
        <v/>
      </c>
      <c r="E803" s="10" t="str">
        <f>IF(ISBLANK(A800),"",E802+1)</f>
        <v/>
      </c>
      <c r="F803" s="11" t="str">
        <f t="shared" si="935"/>
        <v/>
      </c>
      <c r="G803" s="8"/>
    </row>
    <row r="804">
      <c r="A804" s="9" t="str">
        <f t="shared" si="933"/>
        <v/>
      </c>
      <c r="B804" s="9" t="str">
        <f>IF(ISBLANK(A800),"",LEFT(B803,27)&amp;VALUE(RIGHT(B803,1)+1))</f>
        <v/>
      </c>
      <c r="C804" s="6" t="str">
        <f t="shared" ref="C804:D804" si="937">C803</f>
        <v/>
      </c>
      <c r="D804" s="6" t="str">
        <f t="shared" si="937"/>
        <v/>
      </c>
      <c r="E804" s="10" t="str">
        <f>IF(ISBLANK(A800),"",E803+1)</f>
        <v/>
      </c>
      <c r="F804" s="11" t="str">
        <f t="shared" si="935"/>
        <v/>
      </c>
      <c r="G804" s="8"/>
    </row>
    <row r="805">
      <c r="A805" s="12" t="str">
        <f t="shared" si="933"/>
        <v/>
      </c>
      <c r="B805" s="12" t="str">
        <f>IF(ISBLANK(A800),"",LEFT(B804,27)&amp;VALUE(RIGHT(B804,1)+1))</f>
        <v/>
      </c>
      <c r="C805" s="13" t="str">
        <f t="shared" ref="C805:D805" si="938">C804</f>
        <v/>
      </c>
      <c r="D805" s="13" t="str">
        <f t="shared" si="938"/>
        <v/>
      </c>
      <c r="E805" s="14" t="str">
        <f>IF(ISBLANK(A800),"",E804+1)</f>
        <v/>
      </c>
      <c r="F805" s="15" t="str">
        <f t="shared" si="935"/>
        <v/>
      </c>
      <c r="G805" s="16"/>
    </row>
    <row r="806">
      <c r="A806" s="5"/>
      <c r="B806" s="6" t="str">
        <f t="array" ref="B806">IF(ISBLANK(A806),"",IF(A806="PROREP (L)",VLOOKUP(LEFT($A806,6),'Data Feed (20C)'!$A$1:$G$10,2,FALSE),IF(A806="PROREP (S)", INDEX('Data Feed (20C)'!B:B, MATCH(LEFT($A806,6), 'Data Feed (20C)'!$A$1:$A$10, 0) + 1), VLOOKUP($A806,'Data Feed (20C)'!$A$1:$G$10,2,FALSE))))</f>
        <v/>
      </c>
      <c r="C806" s="6" t="str">
        <f t="array" ref="C806">IF(ISBLANK(A806),"",IF(A806="PROREP (L)",VLOOKUP(LEFT($A806,6),'Data Feed (20C)'!$A$1:$G$10,3,FALSE),IF(A806="PROREP (S)", INDEX('Data Feed (20C)'!C:C, MATCH(LEFT($A806,6), 'Data Feed (20C)'!$A$1:$A$10, 0) + 1, +1), VLOOKUP($A806,'Data Feed (20C)'!$A$1:$G$10,3,FALSE))))</f>
        <v/>
      </c>
      <c r="D806" s="6" t="str">
        <f t="array" ref="D806">IF(ISBLANK(A806),"",IF(A806="PROREP (L)",VLOOKUP(LEFT($A806,6),'Data Feed (20C)'!$A$1:$G$10,4,FALSE),IF(A806="PROREP (S)", INDEX('Data Feed (20C)'!D:D, MATCH(LEFT($A806,6), 'Data Feed (20C)'!$A$1:$A$10, 0) + 1, +1), VLOOKUP($A806,'Data Feed (20C)'!$A$1:$G$10,4,FALSE))))</f>
        <v/>
      </c>
      <c r="E806" s="6" t="str">
        <f t="array" ref="E806">IF(ISBLANK(A806),"",IF(A806="PROREP (L)",VLOOKUP(LEFT($A806,6),'Data Feed (20C)'!$A$1:$G$10,7,FALSE),IF(A806="PROREP (S)", INDEX('Data Feed (20C)'!G:G, MATCH(LEFT($A806,6), 'Data Feed (20C)'!$A$1:$A$10, 0) + 1, +1), VLOOKUP($A806,'Data Feed (20C)'!$A$1:$G$10,7,FALSE))))</f>
        <v/>
      </c>
      <c r="F806" s="7"/>
      <c r="G806" s="8"/>
    </row>
    <row r="807">
      <c r="A807" s="9" t="str">
        <f t="shared" ref="A807:A811" si="940">A806</f>
        <v/>
      </c>
      <c r="B807" s="9" t="str">
        <f>IF(ISBLANK(A806),"",LEFT(B806,27)&amp;VALUE(RIGHT(B806,1)+1))</f>
        <v/>
      </c>
      <c r="C807" s="6" t="str">
        <f t="shared" ref="C807:D807" si="939">C806</f>
        <v/>
      </c>
      <c r="D807" s="6" t="str">
        <f t="shared" si="939"/>
        <v/>
      </c>
      <c r="E807" s="10" t="str">
        <f>IF(ISBLANK(A806),"",E806+1)</f>
        <v/>
      </c>
      <c r="F807" s="11" t="str">
        <f t="shared" ref="F807:F811" si="942">F806</f>
        <v/>
      </c>
      <c r="G807" s="8"/>
    </row>
    <row r="808">
      <c r="A808" s="9" t="str">
        <f t="shared" si="940"/>
        <v/>
      </c>
      <c r="B808" s="9" t="str">
        <f>IF(ISBLANK(A806),"",LEFT(B807,27)&amp;VALUE(RIGHT(B807,1)+1))</f>
        <v/>
      </c>
      <c r="C808" s="6" t="str">
        <f t="shared" ref="C808:D808" si="941">C807</f>
        <v/>
      </c>
      <c r="D808" s="6" t="str">
        <f t="shared" si="941"/>
        <v/>
      </c>
      <c r="E808" s="10" t="str">
        <f>IF(ISBLANK(A806),"",E807+1)</f>
        <v/>
      </c>
      <c r="F808" s="11" t="str">
        <f t="shared" si="942"/>
        <v/>
      </c>
      <c r="G808" s="8"/>
    </row>
    <row r="809">
      <c r="A809" s="9" t="str">
        <f t="shared" si="940"/>
        <v/>
      </c>
      <c r="B809" s="9" t="str">
        <f>IF(ISBLANK(A806),"",LEFT(B808,27)&amp;VALUE(RIGHT(B808,1)+1))</f>
        <v/>
      </c>
      <c r="C809" s="6" t="str">
        <f t="shared" ref="C809:D809" si="943">C808</f>
        <v/>
      </c>
      <c r="D809" s="6" t="str">
        <f t="shared" si="943"/>
        <v/>
      </c>
      <c r="E809" s="10" t="str">
        <f>IF(ISBLANK(A806),"",E808+1)</f>
        <v/>
      </c>
      <c r="F809" s="11" t="str">
        <f t="shared" si="942"/>
        <v/>
      </c>
      <c r="G809" s="8"/>
    </row>
    <row r="810">
      <c r="A810" s="9" t="str">
        <f t="shared" si="940"/>
        <v/>
      </c>
      <c r="B810" s="9" t="str">
        <f>IF(ISBLANK(A806),"",LEFT(B809,27)&amp;VALUE(RIGHT(B809,1)+1))</f>
        <v/>
      </c>
      <c r="C810" s="6" t="str">
        <f t="shared" ref="C810:D810" si="944">C809</f>
        <v/>
      </c>
      <c r="D810" s="6" t="str">
        <f t="shared" si="944"/>
        <v/>
      </c>
      <c r="E810" s="10" t="str">
        <f>IF(ISBLANK(A806),"",E809+1)</f>
        <v/>
      </c>
      <c r="F810" s="11" t="str">
        <f t="shared" si="942"/>
        <v/>
      </c>
      <c r="G810" s="8"/>
    </row>
    <row r="811">
      <c r="A811" s="12" t="str">
        <f t="shared" si="940"/>
        <v/>
      </c>
      <c r="B811" s="12" t="str">
        <f>IF(ISBLANK(A806),"",LEFT(B810,27)&amp;VALUE(RIGHT(B810,1)+1))</f>
        <v/>
      </c>
      <c r="C811" s="13" t="str">
        <f t="shared" ref="C811:D811" si="945">C810</f>
        <v/>
      </c>
      <c r="D811" s="13" t="str">
        <f t="shared" si="945"/>
        <v/>
      </c>
      <c r="E811" s="14" t="str">
        <f>IF(ISBLANK(A806),"",E810+1)</f>
        <v/>
      </c>
      <c r="F811" s="15" t="str">
        <f t="shared" si="942"/>
        <v/>
      </c>
      <c r="G811" s="16"/>
    </row>
    <row r="812">
      <c r="A812" s="5"/>
      <c r="B812" s="6" t="str">
        <f t="array" ref="B812">IF(ISBLANK(A812),"",IF(A812="PROREP (L)",VLOOKUP(LEFT($A812,6),'Data Feed (20C)'!$A$1:$G$10,2,FALSE),IF(A812="PROREP (S)", INDEX('Data Feed (20C)'!B:B, MATCH(LEFT($A812,6), 'Data Feed (20C)'!$A$1:$A$10, 0) + 1), VLOOKUP($A812,'Data Feed (20C)'!$A$1:$G$10,2,FALSE))))</f>
        <v/>
      </c>
      <c r="C812" s="6" t="str">
        <f t="array" ref="C812">IF(ISBLANK(A812),"",IF(A812="PROREP (L)",VLOOKUP(LEFT($A812,6),'Data Feed (20C)'!$A$1:$G$10,3,FALSE),IF(A812="PROREP (S)", INDEX('Data Feed (20C)'!C:C, MATCH(LEFT($A812,6), 'Data Feed (20C)'!$A$1:$A$10, 0) + 1, +1), VLOOKUP($A812,'Data Feed (20C)'!$A$1:$G$10,3,FALSE))))</f>
        <v/>
      </c>
      <c r="D812" s="6" t="str">
        <f t="array" ref="D812">IF(ISBLANK(A812),"",IF(A812="PROREP (L)",VLOOKUP(LEFT($A812,6),'Data Feed (20C)'!$A$1:$G$10,4,FALSE),IF(A812="PROREP (S)", INDEX('Data Feed (20C)'!D:D, MATCH(LEFT($A812,6), 'Data Feed (20C)'!$A$1:$A$10, 0) + 1, +1), VLOOKUP($A812,'Data Feed (20C)'!$A$1:$G$10,4,FALSE))))</f>
        <v/>
      </c>
      <c r="E812" s="6" t="str">
        <f t="array" ref="E812">IF(ISBLANK(A812),"",IF(A812="PROREP (L)",VLOOKUP(LEFT($A812,6),'Data Feed (20C)'!$A$1:$G$10,7,FALSE),IF(A812="PROREP (S)", INDEX('Data Feed (20C)'!G:G, MATCH(LEFT($A812,6), 'Data Feed (20C)'!$A$1:$A$10, 0) + 1, +1), VLOOKUP($A812,'Data Feed (20C)'!$A$1:$G$10,7,FALSE))))</f>
        <v/>
      </c>
      <c r="F812" s="7"/>
      <c r="G812" s="8"/>
    </row>
    <row r="813">
      <c r="A813" s="9" t="str">
        <f t="shared" ref="A813:A817" si="947">A812</f>
        <v/>
      </c>
      <c r="B813" s="9" t="str">
        <f>IF(ISBLANK(A812),"",LEFT(B812,27)&amp;VALUE(RIGHT(B812,1)+1))</f>
        <v/>
      </c>
      <c r="C813" s="6" t="str">
        <f t="shared" ref="C813:D813" si="946">C812</f>
        <v/>
      </c>
      <c r="D813" s="6" t="str">
        <f t="shared" si="946"/>
        <v/>
      </c>
      <c r="E813" s="10" t="str">
        <f>IF(ISBLANK(A812),"",E812+1)</f>
        <v/>
      </c>
      <c r="F813" s="11" t="str">
        <f t="shared" ref="F813:F817" si="949">F812</f>
        <v/>
      </c>
      <c r="G813" s="8"/>
    </row>
    <row r="814">
      <c r="A814" s="9" t="str">
        <f t="shared" si="947"/>
        <v/>
      </c>
      <c r="B814" s="9" t="str">
        <f>IF(ISBLANK(A812),"",LEFT(B813,27)&amp;VALUE(RIGHT(B813,1)+1))</f>
        <v/>
      </c>
      <c r="C814" s="6" t="str">
        <f t="shared" ref="C814:D814" si="948">C813</f>
        <v/>
      </c>
      <c r="D814" s="6" t="str">
        <f t="shared" si="948"/>
        <v/>
      </c>
      <c r="E814" s="10" t="str">
        <f>IF(ISBLANK(A812),"",E813+1)</f>
        <v/>
      </c>
      <c r="F814" s="11" t="str">
        <f t="shared" si="949"/>
        <v/>
      </c>
      <c r="G814" s="8"/>
    </row>
    <row r="815">
      <c r="A815" s="9" t="str">
        <f t="shared" si="947"/>
        <v/>
      </c>
      <c r="B815" s="9" t="str">
        <f>IF(ISBLANK(A812),"",LEFT(B814,27)&amp;VALUE(RIGHT(B814,1)+1))</f>
        <v/>
      </c>
      <c r="C815" s="6" t="str">
        <f t="shared" ref="C815:D815" si="950">C814</f>
        <v/>
      </c>
      <c r="D815" s="6" t="str">
        <f t="shared" si="950"/>
        <v/>
      </c>
      <c r="E815" s="10" t="str">
        <f>IF(ISBLANK(A812),"",E814+1)</f>
        <v/>
      </c>
      <c r="F815" s="11" t="str">
        <f t="shared" si="949"/>
        <v/>
      </c>
      <c r="G815" s="8"/>
    </row>
    <row r="816">
      <c r="A816" s="9" t="str">
        <f t="shared" si="947"/>
        <v/>
      </c>
      <c r="B816" s="9" t="str">
        <f>IF(ISBLANK(A812),"",LEFT(B815,27)&amp;VALUE(RIGHT(B815,1)+1))</f>
        <v/>
      </c>
      <c r="C816" s="6" t="str">
        <f t="shared" ref="C816:D816" si="951">C815</f>
        <v/>
      </c>
      <c r="D816" s="6" t="str">
        <f t="shared" si="951"/>
        <v/>
      </c>
      <c r="E816" s="10" t="str">
        <f>IF(ISBLANK(A812),"",E815+1)</f>
        <v/>
      </c>
      <c r="F816" s="11" t="str">
        <f t="shared" si="949"/>
        <v/>
      </c>
      <c r="G816" s="8"/>
    </row>
    <row r="817">
      <c r="A817" s="12" t="str">
        <f t="shared" si="947"/>
        <v/>
      </c>
      <c r="B817" s="12" t="str">
        <f>IF(ISBLANK(A812),"",LEFT(B816,27)&amp;VALUE(RIGHT(B816,1)+1))</f>
        <v/>
      </c>
      <c r="C817" s="13" t="str">
        <f t="shared" ref="C817:D817" si="952">C816</f>
        <v/>
      </c>
      <c r="D817" s="13" t="str">
        <f t="shared" si="952"/>
        <v/>
      </c>
      <c r="E817" s="14" t="str">
        <f>IF(ISBLANK(A812),"",E816+1)</f>
        <v/>
      </c>
      <c r="F817" s="15" t="str">
        <f t="shared" si="949"/>
        <v/>
      </c>
      <c r="G817" s="16"/>
    </row>
    <row r="818">
      <c r="A818" s="5"/>
      <c r="B818" s="6" t="str">
        <f t="array" ref="B818">IF(ISBLANK(A818),"",IF(A818="PROREP (L)",VLOOKUP(LEFT($A818,6),'Data Feed (20C)'!$A$1:$G$10,2,FALSE),IF(A818="PROREP (S)", INDEX('Data Feed (20C)'!B:B, MATCH(LEFT($A818,6), 'Data Feed (20C)'!$A$1:$A$10, 0) + 1), VLOOKUP($A818,'Data Feed (20C)'!$A$1:$G$10,2,FALSE))))</f>
        <v/>
      </c>
      <c r="C818" s="6" t="str">
        <f t="array" ref="C818">IF(ISBLANK(A818),"",IF(A818="PROREP (L)",VLOOKUP(LEFT($A818,6),'Data Feed (20C)'!$A$1:$G$10,3,FALSE),IF(A818="PROREP (S)", INDEX('Data Feed (20C)'!C:C, MATCH(LEFT($A818,6), 'Data Feed (20C)'!$A$1:$A$10, 0) + 1, +1), VLOOKUP($A818,'Data Feed (20C)'!$A$1:$G$10,3,FALSE))))</f>
        <v/>
      </c>
      <c r="D818" s="6" t="str">
        <f t="array" ref="D818">IF(ISBLANK(A818),"",IF(A818="PROREP (L)",VLOOKUP(LEFT($A818,6),'Data Feed (20C)'!$A$1:$G$10,4,FALSE),IF(A818="PROREP (S)", INDEX('Data Feed (20C)'!D:D, MATCH(LEFT($A818,6), 'Data Feed (20C)'!$A$1:$A$10, 0) + 1, +1), VLOOKUP($A818,'Data Feed (20C)'!$A$1:$G$10,4,FALSE))))</f>
        <v/>
      </c>
      <c r="E818" s="6" t="str">
        <f t="array" ref="E818">IF(ISBLANK(A818),"",IF(A818="PROREP (L)",VLOOKUP(LEFT($A818,6),'Data Feed (20C)'!$A$1:$G$10,7,FALSE),IF(A818="PROREP (S)", INDEX('Data Feed (20C)'!G:G, MATCH(LEFT($A818,6), 'Data Feed (20C)'!$A$1:$A$10, 0) + 1, +1), VLOOKUP($A818,'Data Feed (20C)'!$A$1:$G$10,7,FALSE))))</f>
        <v/>
      </c>
      <c r="F818" s="7"/>
      <c r="G818" s="8"/>
    </row>
    <row r="819">
      <c r="A819" s="9" t="str">
        <f t="shared" ref="A819:A823" si="954">A818</f>
        <v/>
      </c>
      <c r="B819" s="9" t="str">
        <f>IF(ISBLANK(A818),"",LEFT(B818,27)&amp;VALUE(RIGHT(B818,1)+1))</f>
        <v/>
      </c>
      <c r="C819" s="6" t="str">
        <f t="shared" ref="C819:D819" si="953">C818</f>
        <v/>
      </c>
      <c r="D819" s="6" t="str">
        <f t="shared" si="953"/>
        <v/>
      </c>
      <c r="E819" s="10" t="str">
        <f>IF(ISBLANK(A818),"",E818+1)</f>
        <v/>
      </c>
      <c r="F819" s="11" t="str">
        <f t="shared" ref="F819:F823" si="956">F818</f>
        <v/>
      </c>
      <c r="G819" s="8"/>
    </row>
    <row r="820">
      <c r="A820" s="9" t="str">
        <f t="shared" si="954"/>
        <v/>
      </c>
      <c r="B820" s="9" t="str">
        <f>IF(ISBLANK(A818),"",LEFT(B819,27)&amp;VALUE(RIGHT(B819,1)+1))</f>
        <v/>
      </c>
      <c r="C820" s="6" t="str">
        <f t="shared" ref="C820:D820" si="955">C819</f>
        <v/>
      </c>
      <c r="D820" s="6" t="str">
        <f t="shared" si="955"/>
        <v/>
      </c>
      <c r="E820" s="10" t="str">
        <f>IF(ISBLANK(A818),"",E819+1)</f>
        <v/>
      </c>
      <c r="F820" s="11" t="str">
        <f t="shared" si="956"/>
        <v/>
      </c>
      <c r="G820" s="8"/>
    </row>
    <row r="821">
      <c r="A821" s="9" t="str">
        <f t="shared" si="954"/>
        <v/>
      </c>
      <c r="B821" s="9" t="str">
        <f>IF(ISBLANK(A818),"",LEFT(B820,27)&amp;VALUE(RIGHT(B820,1)+1))</f>
        <v/>
      </c>
      <c r="C821" s="6" t="str">
        <f t="shared" ref="C821:D821" si="957">C820</f>
        <v/>
      </c>
      <c r="D821" s="6" t="str">
        <f t="shared" si="957"/>
        <v/>
      </c>
      <c r="E821" s="10" t="str">
        <f>IF(ISBLANK(A818),"",E820+1)</f>
        <v/>
      </c>
      <c r="F821" s="11" t="str">
        <f t="shared" si="956"/>
        <v/>
      </c>
      <c r="G821" s="8"/>
    </row>
    <row r="822">
      <c r="A822" s="9" t="str">
        <f t="shared" si="954"/>
        <v/>
      </c>
      <c r="B822" s="9" t="str">
        <f>IF(ISBLANK(A818),"",LEFT(B821,27)&amp;VALUE(RIGHT(B821,1)+1))</f>
        <v/>
      </c>
      <c r="C822" s="6" t="str">
        <f t="shared" ref="C822:D822" si="958">C821</f>
        <v/>
      </c>
      <c r="D822" s="6" t="str">
        <f t="shared" si="958"/>
        <v/>
      </c>
      <c r="E822" s="10" t="str">
        <f>IF(ISBLANK(A818),"",E821+1)</f>
        <v/>
      </c>
      <c r="F822" s="11" t="str">
        <f t="shared" si="956"/>
        <v/>
      </c>
      <c r="G822" s="8"/>
    </row>
    <row r="823">
      <c r="A823" s="12" t="str">
        <f t="shared" si="954"/>
        <v/>
      </c>
      <c r="B823" s="12" t="str">
        <f>IF(ISBLANK(A818),"",LEFT(B822,27)&amp;VALUE(RIGHT(B822,1)+1))</f>
        <v/>
      </c>
      <c r="C823" s="13" t="str">
        <f t="shared" ref="C823:D823" si="959">C822</f>
        <v/>
      </c>
      <c r="D823" s="13" t="str">
        <f t="shared" si="959"/>
        <v/>
      </c>
      <c r="E823" s="14" t="str">
        <f>IF(ISBLANK(A818),"",E822+1)</f>
        <v/>
      </c>
      <c r="F823" s="15" t="str">
        <f t="shared" si="956"/>
        <v/>
      </c>
      <c r="G823" s="16"/>
    </row>
    <row r="824">
      <c r="A824" s="5"/>
      <c r="B824" s="6" t="str">
        <f t="array" ref="B824">IF(ISBLANK(A824),"",IF(A824="PROREP (L)",VLOOKUP(LEFT($A824,6),'Data Feed (20C)'!$A$1:$G$10,2,FALSE),IF(A824="PROREP (S)", INDEX('Data Feed (20C)'!B:B, MATCH(LEFT($A824,6), 'Data Feed (20C)'!$A$1:$A$10, 0) + 1), VLOOKUP($A824,'Data Feed (20C)'!$A$1:$G$10,2,FALSE))))</f>
        <v/>
      </c>
      <c r="C824" s="6" t="str">
        <f t="array" ref="C824">IF(ISBLANK(A824),"",IF(A824="PROREP (L)",VLOOKUP(LEFT($A824,6),'Data Feed (20C)'!$A$1:$G$10,3,FALSE),IF(A824="PROREP (S)", INDEX('Data Feed (20C)'!C:C, MATCH(LEFT($A824,6), 'Data Feed (20C)'!$A$1:$A$10, 0) + 1, +1), VLOOKUP($A824,'Data Feed (20C)'!$A$1:$G$10,3,FALSE))))</f>
        <v/>
      </c>
      <c r="D824" s="6" t="str">
        <f t="array" ref="D824">IF(ISBLANK(A824),"",IF(A824="PROREP (L)",VLOOKUP(LEFT($A824,6),'Data Feed (20C)'!$A$1:$G$10,4,FALSE),IF(A824="PROREP (S)", INDEX('Data Feed (20C)'!D:D, MATCH(LEFT($A824,6), 'Data Feed (20C)'!$A$1:$A$10, 0) + 1, +1), VLOOKUP($A824,'Data Feed (20C)'!$A$1:$G$10,4,FALSE))))</f>
        <v/>
      </c>
      <c r="E824" s="6" t="str">
        <f t="array" ref="E824">IF(ISBLANK(A824),"",IF(A824="PROREP (L)",VLOOKUP(LEFT($A824,6),'Data Feed (20C)'!$A$1:$G$10,7,FALSE),IF(A824="PROREP (S)", INDEX('Data Feed (20C)'!G:G, MATCH(LEFT($A824,6), 'Data Feed (20C)'!$A$1:$A$10, 0) + 1, +1), VLOOKUP($A824,'Data Feed (20C)'!$A$1:$G$10,7,FALSE))))</f>
        <v/>
      </c>
      <c r="F824" s="7"/>
      <c r="G824" s="8"/>
    </row>
    <row r="825">
      <c r="A825" s="9" t="str">
        <f t="shared" ref="A825:A829" si="961">A824</f>
        <v/>
      </c>
      <c r="B825" s="9" t="str">
        <f>IF(ISBLANK(A824),"",LEFT(B824,27)&amp;VALUE(RIGHT(B824,1)+1))</f>
        <v/>
      </c>
      <c r="C825" s="6" t="str">
        <f t="shared" ref="C825:D825" si="960">C824</f>
        <v/>
      </c>
      <c r="D825" s="6" t="str">
        <f t="shared" si="960"/>
        <v/>
      </c>
      <c r="E825" s="10" t="str">
        <f>IF(ISBLANK(A824),"",E824+1)</f>
        <v/>
      </c>
      <c r="F825" s="11" t="str">
        <f t="shared" ref="F825:F829" si="963">F824</f>
        <v/>
      </c>
      <c r="G825" s="8"/>
    </row>
    <row r="826">
      <c r="A826" s="9" t="str">
        <f t="shared" si="961"/>
        <v/>
      </c>
      <c r="B826" s="9" t="str">
        <f>IF(ISBLANK(A824),"",LEFT(B825,27)&amp;VALUE(RIGHT(B825,1)+1))</f>
        <v/>
      </c>
      <c r="C826" s="6" t="str">
        <f t="shared" ref="C826:D826" si="962">C825</f>
        <v/>
      </c>
      <c r="D826" s="6" t="str">
        <f t="shared" si="962"/>
        <v/>
      </c>
      <c r="E826" s="10" t="str">
        <f>IF(ISBLANK(A824),"",E825+1)</f>
        <v/>
      </c>
      <c r="F826" s="11" t="str">
        <f t="shared" si="963"/>
        <v/>
      </c>
      <c r="G826" s="8"/>
    </row>
    <row r="827">
      <c r="A827" s="9" t="str">
        <f t="shared" si="961"/>
        <v/>
      </c>
      <c r="B827" s="9" t="str">
        <f>IF(ISBLANK(A824),"",LEFT(B826,27)&amp;VALUE(RIGHT(B826,1)+1))</f>
        <v/>
      </c>
      <c r="C827" s="6" t="str">
        <f t="shared" ref="C827:D827" si="964">C826</f>
        <v/>
      </c>
      <c r="D827" s="6" t="str">
        <f t="shared" si="964"/>
        <v/>
      </c>
      <c r="E827" s="10" t="str">
        <f>IF(ISBLANK(A824),"",E826+1)</f>
        <v/>
      </c>
      <c r="F827" s="11" t="str">
        <f t="shared" si="963"/>
        <v/>
      </c>
      <c r="G827" s="8"/>
    </row>
    <row r="828">
      <c r="A828" s="9" t="str">
        <f t="shared" si="961"/>
        <v/>
      </c>
      <c r="B828" s="9" t="str">
        <f>IF(ISBLANK(A824),"",LEFT(B827,27)&amp;VALUE(RIGHT(B827,1)+1))</f>
        <v/>
      </c>
      <c r="C828" s="6" t="str">
        <f t="shared" ref="C828:D828" si="965">C827</f>
        <v/>
      </c>
      <c r="D828" s="6" t="str">
        <f t="shared" si="965"/>
        <v/>
      </c>
      <c r="E828" s="10" t="str">
        <f>IF(ISBLANK(A824),"",E827+1)</f>
        <v/>
      </c>
      <c r="F828" s="11" t="str">
        <f t="shared" si="963"/>
        <v/>
      </c>
      <c r="G828" s="8"/>
    </row>
    <row r="829">
      <c r="A829" s="12" t="str">
        <f t="shared" si="961"/>
        <v/>
      </c>
      <c r="B829" s="12" t="str">
        <f>IF(ISBLANK(A824),"",LEFT(B828,27)&amp;VALUE(RIGHT(B828,1)+1))</f>
        <v/>
      </c>
      <c r="C829" s="13" t="str">
        <f t="shared" ref="C829:D829" si="966">C828</f>
        <v/>
      </c>
      <c r="D829" s="13" t="str">
        <f t="shared" si="966"/>
        <v/>
      </c>
      <c r="E829" s="14" t="str">
        <f>IF(ISBLANK(A824),"",E828+1)</f>
        <v/>
      </c>
      <c r="F829" s="15" t="str">
        <f t="shared" si="963"/>
        <v/>
      </c>
      <c r="G829" s="16"/>
    </row>
    <row r="830">
      <c r="A830" s="5"/>
      <c r="B830" s="6" t="str">
        <f t="array" ref="B830">IF(ISBLANK(A830),"",IF(A830="PROREP (L)",VLOOKUP(LEFT($A830,6),'Data Feed (20C)'!$A$1:$G$10,2,FALSE),IF(A830="PROREP (S)", INDEX('Data Feed (20C)'!B:B, MATCH(LEFT($A830,6), 'Data Feed (20C)'!$A$1:$A$10, 0) + 1), VLOOKUP($A830,'Data Feed (20C)'!$A$1:$G$10,2,FALSE))))</f>
        <v/>
      </c>
      <c r="C830" s="6" t="str">
        <f t="array" ref="C830">IF(ISBLANK(A830),"",IF(A830="PROREP (L)",VLOOKUP(LEFT($A830,6),'Data Feed (20C)'!$A$1:$G$10,3,FALSE),IF(A830="PROREP (S)", INDEX('Data Feed (20C)'!C:C, MATCH(LEFT($A830,6), 'Data Feed (20C)'!$A$1:$A$10, 0) + 1, +1), VLOOKUP($A830,'Data Feed (20C)'!$A$1:$G$10,3,FALSE))))</f>
        <v/>
      </c>
      <c r="D830" s="6" t="str">
        <f t="array" ref="D830">IF(ISBLANK(A830),"",IF(A830="PROREP (L)",VLOOKUP(LEFT($A830,6),'Data Feed (20C)'!$A$1:$G$10,4,FALSE),IF(A830="PROREP (S)", INDEX('Data Feed (20C)'!D:D, MATCH(LEFT($A830,6), 'Data Feed (20C)'!$A$1:$A$10, 0) + 1, +1), VLOOKUP($A830,'Data Feed (20C)'!$A$1:$G$10,4,FALSE))))</f>
        <v/>
      </c>
      <c r="E830" s="6" t="str">
        <f t="array" ref="E830">IF(ISBLANK(A830),"",IF(A830="PROREP (L)",VLOOKUP(LEFT($A830,6),'Data Feed (20C)'!$A$1:$G$10,7,FALSE),IF(A830="PROREP (S)", INDEX('Data Feed (20C)'!G:G, MATCH(LEFT($A830,6), 'Data Feed (20C)'!$A$1:$A$10, 0) + 1, +1), VLOOKUP($A830,'Data Feed (20C)'!$A$1:$G$10,7,FALSE))))</f>
        <v/>
      </c>
      <c r="F830" s="7"/>
      <c r="G830" s="8"/>
    </row>
    <row r="831">
      <c r="A831" s="9" t="str">
        <f t="shared" ref="A831:A835" si="968">A830</f>
        <v/>
      </c>
      <c r="B831" s="9" t="str">
        <f>IF(ISBLANK(A830),"",LEFT(B830,27)&amp;VALUE(RIGHT(B830,1)+1))</f>
        <v/>
      </c>
      <c r="C831" s="6" t="str">
        <f t="shared" ref="C831:D831" si="967">C830</f>
        <v/>
      </c>
      <c r="D831" s="6" t="str">
        <f t="shared" si="967"/>
        <v/>
      </c>
      <c r="E831" s="10" t="str">
        <f>IF(ISBLANK(A830),"",E830+1)</f>
        <v/>
      </c>
      <c r="F831" s="11" t="str">
        <f t="shared" ref="F831:F835" si="970">F830</f>
        <v/>
      </c>
      <c r="G831" s="8"/>
    </row>
    <row r="832">
      <c r="A832" s="9" t="str">
        <f t="shared" si="968"/>
        <v/>
      </c>
      <c r="B832" s="9" t="str">
        <f>IF(ISBLANK(A830),"",LEFT(B831,27)&amp;VALUE(RIGHT(B831,1)+1))</f>
        <v/>
      </c>
      <c r="C832" s="6" t="str">
        <f t="shared" ref="C832:D832" si="969">C831</f>
        <v/>
      </c>
      <c r="D832" s="6" t="str">
        <f t="shared" si="969"/>
        <v/>
      </c>
      <c r="E832" s="10" t="str">
        <f>IF(ISBLANK(A830),"",E831+1)</f>
        <v/>
      </c>
      <c r="F832" s="11" t="str">
        <f t="shared" si="970"/>
        <v/>
      </c>
      <c r="G832" s="8"/>
    </row>
    <row r="833">
      <c r="A833" s="9" t="str">
        <f t="shared" si="968"/>
        <v/>
      </c>
      <c r="B833" s="9" t="str">
        <f>IF(ISBLANK(A830),"",LEFT(B832,27)&amp;VALUE(RIGHT(B832,1)+1))</f>
        <v/>
      </c>
      <c r="C833" s="6" t="str">
        <f t="shared" ref="C833:D833" si="971">C832</f>
        <v/>
      </c>
      <c r="D833" s="6" t="str">
        <f t="shared" si="971"/>
        <v/>
      </c>
      <c r="E833" s="10" t="str">
        <f>IF(ISBLANK(A830),"",E832+1)</f>
        <v/>
      </c>
      <c r="F833" s="11" t="str">
        <f t="shared" si="970"/>
        <v/>
      </c>
      <c r="G833" s="8"/>
    </row>
    <row r="834">
      <c r="A834" s="9" t="str">
        <f t="shared" si="968"/>
        <v/>
      </c>
      <c r="B834" s="9" t="str">
        <f>IF(ISBLANK(A830),"",LEFT(B833,27)&amp;VALUE(RIGHT(B833,1)+1))</f>
        <v/>
      </c>
      <c r="C834" s="6" t="str">
        <f t="shared" ref="C834:D834" si="972">C833</f>
        <v/>
      </c>
      <c r="D834" s="6" t="str">
        <f t="shared" si="972"/>
        <v/>
      </c>
      <c r="E834" s="10" t="str">
        <f>IF(ISBLANK(A830),"",E833+1)</f>
        <v/>
      </c>
      <c r="F834" s="11" t="str">
        <f t="shared" si="970"/>
        <v/>
      </c>
      <c r="G834" s="8"/>
    </row>
    <row r="835">
      <c r="A835" s="12" t="str">
        <f t="shared" si="968"/>
        <v/>
      </c>
      <c r="B835" s="12" t="str">
        <f>IF(ISBLANK(A830),"",LEFT(B834,27)&amp;VALUE(RIGHT(B834,1)+1))</f>
        <v/>
      </c>
      <c r="C835" s="13" t="str">
        <f t="shared" ref="C835:D835" si="973">C834</f>
        <v/>
      </c>
      <c r="D835" s="13" t="str">
        <f t="shared" si="973"/>
        <v/>
      </c>
      <c r="E835" s="14" t="str">
        <f>IF(ISBLANK(A830),"",E834+1)</f>
        <v/>
      </c>
      <c r="F835" s="15" t="str">
        <f t="shared" si="970"/>
        <v/>
      </c>
      <c r="G835" s="16"/>
    </row>
    <row r="836">
      <c r="A836" s="5"/>
      <c r="B836" s="6" t="str">
        <f t="array" ref="B836">IF(ISBLANK(A836),"",IF(A836="PROREP (L)",VLOOKUP(LEFT($A836,6),'Data Feed (20C)'!$A$1:$G$10,2,FALSE),IF(A836="PROREP (S)", INDEX('Data Feed (20C)'!B:B, MATCH(LEFT($A836,6), 'Data Feed (20C)'!$A$1:$A$10, 0) + 1), VLOOKUP($A836,'Data Feed (20C)'!$A$1:$G$10,2,FALSE))))</f>
        <v/>
      </c>
      <c r="C836" s="6" t="str">
        <f t="array" ref="C836">IF(ISBLANK(A836),"",IF(A836="PROREP (L)",VLOOKUP(LEFT($A836,6),'Data Feed (20C)'!$A$1:$G$10,3,FALSE),IF(A836="PROREP (S)", INDEX('Data Feed (20C)'!C:C, MATCH(LEFT($A836,6), 'Data Feed (20C)'!$A$1:$A$10, 0) + 1, +1), VLOOKUP($A836,'Data Feed (20C)'!$A$1:$G$10,3,FALSE))))</f>
        <v/>
      </c>
      <c r="D836" s="6" t="str">
        <f t="array" ref="D836">IF(ISBLANK(A836),"",IF(A836="PROREP (L)",VLOOKUP(LEFT($A836,6),'Data Feed (20C)'!$A$1:$G$10,4,FALSE),IF(A836="PROREP (S)", INDEX('Data Feed (20C)'!D:D, MATCH(LEFT($A836,6), 'Data Feed (20C)'!$A$1:$A$10, 0) + 1, +1), VLOOKUP($A836,'Data Feed (20C)'!$A$1:$G$10,4,FALSE))))</f>
        <v/>
      </c>
      <c r="E836" s="6" t="str">
        <f t="array" ref="E836">IF(ISBLANK(A836),"",IF(A836="PROREP (L)",VLOOKUP(LEFT($A836,6),'Data Feed (20C)'!$A$1:$G$10,7,FALSE),IF(A836="PROREP (S)", INDEX('Data Feed (20C)'!G:G, MATCH(LEFT($A836,6), 'Data Feed (20C)'!$A$1:$A$10, 0) + 1, +1), VLOOKUP($A836,'Data Feed (20C)'!$A$1:$G$10,7,FALSE))))</f>
        <v/>
      </c>
      <c r="F836" s="7"/>
      <c r="G836" s="8"/>
    </row>
    <row r="837">
      <c r="A837" s="9" t="str">
        <f t="shared" ref="A837:A841" si="975">A836</f>
        <v/>
      </c>
      <c r="B837" s="9" t="str">
        <f>IF(ISBLANK(A836),"",LEFT(B836,27)&amp;VALUE(RIGHT(B836,1)+1))</f>
        <v/>
      </c>
      <c r="C837" s="6" t="str">
        <f t="shared" ref="C837:D837" si="974">C836</f>
        <v/>
      </c>
      <c r="D837" s="6" t="str">
        <f t="shared" si="974"/>
        <v/>
      </c>
      <c r="E837" s="10" t="str">
        <f>IF(ISBLANK(A836),"",E836+1)</f>
        <v/>
      </c>
      <c r="F837" s="11" t="str">
        <f t="shared" ref="F837:F841" si="977">F836</f>
        <v/>
      </c>
      <c r="G837" s="8"/>
    </row>
    <row r="838">
      <c r="A838" s="9" t="str">
        <f t="shared" si="975"/>
        <v/>
      </c>
      <c r="B838" s="9" t="str">
        <f>IF(ISBLANK(A836),"",LEFT(B837,27)&amp;VALUE(RIGHT(B837,1)+1))</f>
        <v/>
      </c>
      <c r="C838" s="6" t="str">
        <f t="shared" ref="C838:D838" si="976">C837</f>
        <v/>
      </c>
      <c r="D838" s="6" t="str">
        <f t="shared" si="976"/>
        <v/>
      </c>
      <c r="E838" s="10" t="str">
        <f>IF(ISBLANK(A836),"",E837+1)</f>
        <v/>
      </c>
      <c r="F838" s="11" t="str">
        <f t="shared" si="977"/>
        <v/>
      </c>
      <c r="G838" s="8"/>
    </row>
    <row r="839">
      <c r="A839" s="9" t="str">
        <f t="shared" si="975"/>
        <v/>
      </c>
      <c r="B839" s="9" t="str">
        <f>IF(ISBLANK(A836),"",LEFT(B838,27)&amp;VALUE(RIGHT(B838,1)+1))</f>
        <v/>
      </c>
      <c r="C839" s="6" t="str">
        <f t="shared" ref="C839:D839" si="978">C838</f>
        <v/>
      </c>
      <c r="D839" s="6" t="str">
        <f t="shared" si="978"/>
        <v/>
      </c>
      <c r="E839" s="10" t="str">
        <f>IF(ISBLANK(A836),"",E838+1)</f>
        <v/>
      </c>
      <c r="F839" s="11" t="str">
        <f t="shared" si="977"/>
        <v/>
      </c>
      <c r="G839" s="8"/>
    </row>
    <row r="840">
      <c r="A840" s="9" t="str">
        <f t="shared" si="975"/>
        <v/>
      </c>
      <c r="B840" s="9" t="str">
        <f>IF(ISBLANK(A836),"",LEFT(B839,27)&amp;VALUE(RIGHT(B839,1)+1))</f>
        <v/>
      </c>
      <c r="C840" s="6" t="str">
        <f t="shared" ref="C840:D840" si="979">C839</f>
        <v/>
      </c>
      <c r="D840" s="6" t="str">
        <f t="shared" si="979"/>
        <v/>
      </c>
      <c r="E840" s="10" t="str">
        <f>IF(ISBLANK(A836),"",E839+1)</f>
        <v/>
      </c>
      <c r="F840" s="11" t="str">
        <f t="shared" si="977"/>
        <v/>
      </c>
      <c r="G840" s="8"/>
    </row>
    <row r="841">
      <c r="A841" s="12" t="str">
        <f t="shared" si="975"/>
        <v/>
      </c>
      <c r="B841" s="12" t="str">
        <f>IF(ISBLANK(A836),"",LEFT(B840,27)&amp;VALUE(RIGHT(B840,1)+1))</f>
        <v/>
      </c>
      <c r="C841" s="13" t="str">
        <f t="shared" ref="C841:D841" si="980">C840</f>
        <v/>
      </c>
      <c r="D841" s="13" t="str">
        <f t="shared" si="980"/>
        <v/>
      </c>
      <c r="E841" s="14" t="str">
        <f>IF(ISBLANK(A836),"",E840+1)</f>
        <v/>
      </c>
      <c r="F841" s="15" t="str">
        <f t="shared" si="977"/>
        <v/>
      </c>
      <c r="G841" s="16"/>
    </row>
    <row r="842">
      <c r="A842" s="5"/>
      <c r="B842" s="6" t="str">
        <f t="array" ref="B842">IF(ISBLANK(A842),"",IF(A842="PROREP (L)",VLOOKUP(LEFT($A842,6),'Data Feed (20C)'!$A$1:$G$10,2,FALSE),IF(A842="PROREP (S)", INDEX('Data Feed (20C)'!B:B, MATCH(LEFT($A842,6), 'Data Feed (20C)'!$A$1:$A$10, 0) + 1), VLOOKUP($A842,'Data Feed (20C)'!$A$1:$G$10,2,FALSE))))</f>
        <v/>
      </c>
      <c r="C842" s="6" t="str">
        <f t="array" ref="C842">IF(ISBLANK(A842),"",IF(A842="PROREP (L)",VLOOKUP(LEFT($A842,6),'Data Feed (20C)'!$A$1:$G$10,3,FALSE),IF(A842="PROREP (S)", INDEX('Data Feed (20C)'!C:C, MATCH(LEFT($A842,6), 'Data Feed (20C)'!$A$1:$A$10, 0) + 1, +1), VLOOKUP($A842,'Data Feed (20C)'!$A$1:$G$10,3,FALSE))))</f>
        <v/>
      </c>
      <c r="D842" s="6" t="str">
        <f t="array" ref="D842">IF(ISBLANK(A842),"",IF(A842="PROREP (L)",VLOOKUP(LEFT($A842,6),'Data Feed (20C)'!$A$1:$G$10,4,FALSE),IF(A842="PROREP (S)", INDEX('Data Feed (20C)'!D:D, MATCH(LEFT($A842,6), 'Data Feed (20C)'!$A$1:$A$10, 0) + 1, +1), VLOOKUP($A842,'Data Feed (20C)'!$A$1:$G$10,4,FALSE))))</f>
        <v/>
      </c>
      <c r="E842" s="6" t="str">
        <f t="array" ref="E842">IF(ISBLANK(A842),"",IF(A842="PROREP (L)",VLOOKUP(LEFT($A842,6),'Data Feed (20C)'!$A$1:$G$10,7,FALSE),IF(A842="PROREP (S)", INDEX('Data Feed (20C)'!G:G, MATCH(LEFT($A842,6), 'Data Feed (20C)'!$A$1:$A$10, 0) + 1, +1), VLOOKUP($A842,'Data Feed (20C)'!$A$1:$G$10,7,FALSE))))</f>
        <v/>
      </c>
      <c r="F842" s="7"/>
      <c r="G842" s="8"/>
    </row>
    <row r="843">
      <c r="A843" s="9" t="str">
        <f t="shared" ref="A843:A847" si="982">A842</f>
        <v/>
      </c>
      <c r="B843" s="9" t="str">
        <f>IF(ISBLANK(A842),"",LEFT(B842,27)&amp;VALUE(RIGHT(B842,1)+1))</f>
        <v/>
      </c>
      <c r="C843" s="6" t="str">
        <f t="shared" ref="C843:D843" si="981">C842</f>
        <v/>
      </c>
      <c r="D843" s="6" t="str">
        <f t="shared" si="981"/>
        <v/>
      </c>
      <c r="E843" s="10" t="str">
        <f>IF(ISBLANK(A842),"",E842+1)</f>
        <v/>
      </c>
      <c r="F843" s="11" t="str">
        <f t="shared" ref="F843:F847" si="984">F842</f>
        <v/>
      </c>
      <c r="G843" s="8"/>
    </row>
    <row r="844">
      <c r="A844" s="9" t="str">
        <f t="shared" si="982"/>
        <v/>
      </c>
      <c r="B844" s="9" t="str">
        <f>IF(ISBLANK(A842),"",LEFT(B843,27)&amp;VALUE(RIGHT(B843,1)+1))</f>
        <v/>
      </c>
      <c r="C844" s="6" t="str">
        <f t="shared" ref="C844:D844" si="983">C843</f>
        <v/>
      </c>
      <c r="D844" s="6" t="str">
        <f t="shared" si="983"/>
        <v/>
      </c>
      <c r="E844" s="10" t="str">
        <f>IF(ISBLANK(A842),"",E843+1)</f>
        <v/>
      </c>
      <c r="F844" s="11" t="str">
        <f t="shared" si="984"/>
        <v/>
      </c>
      <c r="G844" s="8"/>
    </row>
    <row r="845">
      <c r="A845" s="9" t="str">
        <f t="shared" si="982"/>
        <v/>
      </c>
      <c r="B845" s="9" t="str">
        <f>IF(ISBLANK(A842),"",LEFT(B844,27)&amp;VALUE(RIGHT(B844,1)+1))</f>
        <v/>
      </c>
      <c r="C845" s="6" t="str">
        <f t="shared" ref="C845:D845" si="985">C844</f>
        <v/>
      </c>
      <c r="D845" s="6" t="str">
        <f t="shared" si="985"/>
        <v/>
      </c>
      <c r="E845" s="10" t="str">
        <f>IF(ISBLANK(A842),"",E844+1)</f>
        <v/>
      </c>
      <c r="F845" s="11" t="str">
        <f t="shared" si="984"/>
        <v/>
      </c>
      <c r="G845" s="8"/>
    </row>
    <row r="846">
      <c r="A846" s="9" t="str">
        <f t="shared" si="982"/>
        <v/>
      </c>
      <c r="B846" s="9" t="str">
        <f>IF(ISBLANK(A842),"",LEFT(B845,27)&amp;VALUE(RIGHT(B845,1)+1))</f>
        <v/>
      </c>
      <c r="C846" s="6" t="str">
        <f t="shared" ref="C846:D846" si="986">C845</f>
        <v/>
      </c>
      <c r="D846" s="6" t="str">
        <f t="shared" si="986"/>
        <v/>
      </c>
      <c r="E846" s="10" t="str">
        <f>IF(ISBLANK(A842),"",E845+1)</f>
        <v/>
      </c>
      <c r="F846" s="11" t="str">
        <f t="shared" si="984"/>
        <v/>
      </c>
      <c r="G846" s="8"/>
    </row>
    <row r="847">
      <c r="A847" s="12" t="str">
        <f t="shared" si="982"/>
        <v/>
      </c>
      <c r="B847" s="12" t="str">
        <f>IF(ISBLANK(A842),"",LEFT(B846,27)&amp;VALUE(RIGHT(B846,1)+1))</f>
        <v/>
      </c>
      <c r="C847" s="13" t="str">
        <f t="shared" ref="C847:D847" si="987">C846</f>
        <v/>
      </c>
      <c r="D847" s="13" t="str">
        <f t="shared" si="987"/>
        <v/>
      </c>
      <c r="E847" s="14" t="str">
        <f>IF(ISBLANK(A842),"",E846+1)</f>
        <v/>
      </c>
      <c r="F847" s="15" t="str">
        <f t="shared" si="984"/>
        <v/>
      </c>
      <c r="G847" s="16"/>
    </row>
    <row r="848">
      <c r="A848" s="5"/>
      <c r="B848" s="6" t="str">
        <f t="array" ref="B848">IF(ISBLANK(A848),"",IF(A848="PROREP (L)",VLOOKUP(LEFT($A848,6),'Data Feed (20C)'!$A$1:$G$10,2,FALSE),IF(A848="PROREP (S)", INDEX('Data Feed (20C)'!B:B, MATCH(LEFT($A848,6), 'Data Feed (20C)'!$A$1:$A$10, 0) + 1), VLOOKUP($A848,'Data Feed (20C)'!$A$1:$G$10,2,FALSE))))</f>
        <v/>
      </c>
      <c r="C848" s="6" t="str">
        <f t="array" ref="C848">IF(ISBLANK(A848),"",IF(A848="PROREP (L)",VLOOKUP(LEFT($A848,6),'Data Feed (20C)'!$A$1:$G$10,3,FALSE),IF(A848="PROREP (S)", INDEX('Data Feed (20C)'!C:C, MATCH(LEFT($A848,6), 'Data Feed (20C)'!$A$1:$A$10, 0) + 1, +1), VLOOKUP($A848,'Data Feed (20C)'!$A$1:$G$10,3,FALSE))))</f>
        <v/>
      </c>
      <c r="D848" s="6" t="str">
        <f t="array" ref="D848">IF(ISBLANK(A848),"",IF(A848="PROREP (L)",VLOOKUP(LEFT($A848,6),'Data Feed (20C)'!$A$1:$G$10,4,FALSE),IF(A848="PROREP (S)", INDEX('Data Feed (20C)'!D:D, MATCH(LEFT($A848,6), 'Data Feed (20C)'!$A$1:$A$10, 0) + 1, +1), VLOOKUP($A848,'Data Feed (20C)'!$A$1:$G$10,4,FALSE))))</f>
        <v/>
      </c>
      <c r="E848" s="6" t="str">
        <f t="array" ref="E848">IF(ISBLANK(A848),"",IF(A848="PROREP (L)",VLOOKUP(LEFT($A848,6),'Data Feed (20C)'!$A$1:$G$10,7,FALSE),IF(A848="PROREP (S)", INDEX('Data Feed (20C)'!G:G, MATCH(LEFT($A848,6), 'Data Feed (20C)'!$A$1:$A$10, 0) + 1, +1), VLOOKUP($A848,'Data Feed (20C)'!$A$1:$G$10,7,FALSE))))</f>
        <v/>
      </c>
      <c r="F848" s="7"/>
      <c r="G848" s="8"/>
    </row>
    <row r="849">
      <c r="A849" s="9" t="str">
        <f t="shared" ref="A849:A853" si="989">A848</f>
        <v/>
      </c>
      <c r="B849" s="9" t="str">
        <f>IF(ISBLANK(A848),"",LEFT(B848,27)&amp;VALUE(RIGHT(B848,1)+1))</f>
        <v/>
      </c>
      <c r="C849" s="6" t="str">
        <f t="shared" ref="C849:D849" si="988">C848</f>
        <v/>
      </c>
      <c r="D849" s="6" t="str">
        <f t="shared" si="988"/>
        <v/>
      </c>
      <c r="E849" s="10" t="str">
        <f>IF(ISBLANK(A848),"",E848+1)</f>
        <v/>
      </c>
      <c r="F849" s="11" t="str">
        <f t="shared" ref="F849:F853" si="991">F848</f>
        <v/>
      </c>
      <c r="G849" s="8"/>
    </row>
    <row r="850">
      <c r="A850" s="9" t="str">
        <f t="shared" si="989"/>
        <v/>
      </c>
      <c r="B850" s="9" t="str">
        <f>IF(ISBLANK(A848),"",LEFT(B849,27)&amp;VALUE(RIGHT(B849,1)+1))</f>
        <v/>
      </c>
      <c r="C850" s="6" t="str">
        <f t="shared" ref="C850:D850" si="990">C849</f>
        <v/>
      </c>
      <c r="D850" s="6" t="str">
        <f t="shared" si="990"/>
        <v/>
      </c>
      <c r="E850" s="10" t="str">
        <f>IF(ISBLANK(A848),"",E849+1)</f>
        <v/>
      </c>
      <c r="F850" s="11" t="str">
        <f t="shared" si="991"/>
        <v/>
      </c>
      <c r="G850" s="8"/>
    </row>
    <row r="851">
      <c r="A851" s="9" t="str">
        <f t="shared" si="989"/>
        <v/>
      </c>
      <c r="B851" s="9" t="str">
        <f>IF(ISBLANK(A848),"",LEFT(B850,27)&amp;VALUE(RIGHT(B850,1)+1))</f>
        <v/>
      </c>
      <c r="C851" s="6" t="str">
        <f t="shared" ref="C851:D851" si="992">C850</f>
        <v/>
      </c>
      <c r="D851" s="6" t="str">
        <f t="shared" si="992"/>
        <v/>
      </c>
      <c r="E851" s="10" t="str">
        <f>IF(ISBLANK(A848),"",E850+1)</f>
        <v/>
      </c>
      <c r="F851" s="11" t="str">
        <f t="shared" si="991"/>
        <v/>
      </c>
      <c r="G851" s="8"/>
    </row>
    <row r="852">
      <c r="A852" s="9" t="str">
        <f t="shared" si="989"/>
        <v/>
      </c>
      <c r="B852" s="9" t="str">
        <f>IF(ISBLANK(A848),"",LEFT(B851,27)&amp;VALUE(RIGHT(B851,1)+1))</f>
        <v/>
      </c>
      <c r="C852" s="6" t="str">
        <f t="shared" ref="C852:D852" si="993">C851</f>
        <v/>
      </c>
      <c r="D852" s="6" t="str">
        <f t="shared" si="993"/>
        <v/>
      </c>
      <c r="E852" s="10" t="str">
        <f>IF(ISBLANK(A848),"",E851+1)</f>
        <v/>
      </c>
      <c r="F852" s="11" t="str">
        <f t="shared" si="991"/>
        <v/>
      </c>
      <c r="G852" s="8"/>
    </row>
    <row r="853">
      <c r="A853" s="12" t="str">
        <f t="shared" si="989"/>
        <v/>
      </c>
      <c r="B853" s="12" t="str">
        <f>IF(ISBLANK(A848),"",LEFT(B852,27)&amp;VALUE(RIGHT(B852,1)+1))</f>
        <v/>
      </c>
      <c r="C853" s="13" t="str">
        <f t="shared" ref="C853:D853" si="994">C852</f>
        <v/>
      </c>
      <c r="D853" s="13" t="str">
        <f t="shared" si="994"/>
        <v/>
      </c>
      <c r="E853" s="14" t="str">
        <f>IF(ISBLANK(A848),"",E852+1)</f>
        <v/>
      </c>
      <c r="F853" s="15" t="str">
        <f t="shared" si="991"/>
        <v/>
      </c>
      <c r="G853" s="16"/>
    </row>
    <row r="854">
      <c r="A854" s="5"/>
      <c r="B854" s="6" t="str">
        <f t="array" ref="B854">IF(ISBLANK(A854),"",IF(A854="PROREP (L)",VLOOKUP(LEFT($A854,6),'Data Feed (20C)'!$A$1:$G$10,2,FALSE),IF(A854="PROREP (S)", INDEX('Data Feed (20C)'!B:B, MATCH(LEFT($A854,6), 'Data Feed (20C)'!$A$1:$A$10, 0) + 1), VLOOKUP($A854,'Data Feed (20C)'!$A$1:$G$10,2,FALSE))))</f>
        <v/>
      </c>
      <c r="C854" s="6" t="str">
        <f t="array" ref="C854">IF(ISBLANK(A854),"",IF(A854="PROREP (L)",VLOOKUP(LEFT($A854,6),'Data Feed (20C)'!$A$1:$G$10,3,FALSE),IF(A854="PROREP (S)", INDEX('Data Feed (20C)'!C:C, MATCH(LEFT($A854,6), 'Data Feed (20C)'!$A$1:$A$10, 0) + 1, +1), VLOOKUP($A854,'Data Feed (20C)'!$A$1:$G$10,3,FALSE))))</f>
        <v/>
      </c>
      <c r="D854" s="6" t="str">
        <f t="array" ref="D854">IF(ISBLANK(A854),"",IF(A854="PROREP (L)",VLOOKUP(LEFT($A854,6),'Data Feed (20C)'!$A$1:$G$10,4,FALSE),IF(A854="PROREP (S)", INDEX('Data Feed (20C)'!D:D, MATCH(LEFT($A854,6), 'Data Feed (20C)'!$A$1:$A$10, 0) + 1, +1), VLOOKUP($A854,'Data Feed (20C)'!$A$1:$G$10,4,FALSE))))</f>
        <v/>
      </c>
      <c r="E854" s="6" t="str">
        <f t="array" ref="E854">IF(ISBLANK(A854),"",IF(A854="PROREP (L)",VLOOKUP(LEFT($A854,6),'Data Feed (20C)'!$A$1:$G$10,7,FALSE),IF(A854="PROREP (S)", INDEX('Data Feed (20C)'!G:G, MATCH(LEFT($A854,6), 'Data Feed (20C)'!$A$1:$A$10, 0) + 1, +1), VLOOKUP($A854,'Data Feed (20C)'!$A$1:$G$10,7,FALSE))))</f>
        <v/>
      </c>
      <c r="F854" s="7"/>
      <c r="G854" s="8"/>
    </row>
    <row r="855">
      <c r="A855" s="9" t="str">
        <f t="shared" ref="A855:A859" si="996">A854</f>
        <v/>
      </c>
      <c r="B855" s="9" t="str">
        <f>IF(ISBLANK(A854),"",LEFT(B854,27)&amp;VALUE(RIGHT(B854,1)+1))</f>
        <v/>
      </c>
      <c r="C855" s="6" t="str">
        <f t="shared" ref="C855:D855" si="995">C854</f>
        <v/>
      </c>
      <c r="D855" s="6" t="str">
        <f t="shared" si="995"/>
        <v/>
      </c>
      <c r="E855" s="10" t="str">
        <f>IF(ISBLANK(A854),"",E854+1)</f>
        <v/>
      </c>
      <c r="F855" s="11" t="str">
        <f t="shared" ref="F855:F859" si="998">F854</f>
        <v/>
      </c>
      <c r="G855" s="8"/>
    </row>
    <row r="856">
      <c r="A856" s="9" t="str">
        <f t="shared" si="996"/>
        <v/>
      </c>
      <c r="B856" s="9" t="str">
        <f>IF(ISBLANK(A854),"",LEFT(B855,27)&amp;VALUE(RIGHT(B855,1)+1))</f>
        <v/>
      </c>
      <c r="C856" s="6" t="str">
        <f t="shared" ref="C856:D856" si="997">C855</f>
        <v/>
      </c>
      <c r="D856" s="6" t="str">
        <f t="shared" si="997"/>
        <v/>
      </c>
      <c r="E856" s="10" t="str">
        <f>IF(ISBLANK(A854),"",E855+1)</f>
        <v/>
      </c>
      <c r="F856" s="11" t="str">
        <f t="shared" si="998"/>
        <v/>
      </c>
      <c r="G856" s="8"/>
    </row>
    <row r="857">
      <c r="A857" s="9" t="str">
        <f t="shared" si="996"/>
        <v/>
      </c>
      <c r="B857" s="9" t="str">
        <f>IF(ISBLANK(A854),"",LEFT(B856,27)&amp;VALUE(RIGHT(B856,1)+1))</f>
        <v/>
      </c>
      <c r="C857" s="6" t="str">
        <f t="shared" ref="C857:D857" si="999">C856</f>
        <v/>
      </c>
      <c r="D857" s="6" t="str">
        <f t="shared" si="999"/>
        <v/>
      </c>
      <c r="E857" s="10" t="str">
        <f>IF(ISBLANK(A854),"",E856+1)</f>
        <v/>
      </c>
      <c r="F857" s="11" t="str">
        <f t="shared" si="998"/>
        <v/>
      </c>
      <c r="G857" s="8"/>
    </row>
    <row r="858">
      <c r="A858" s="9" t="str">
        <f t="shared" si="996"/>
        <v/>
      </c>
      <c r="B858" s="9" t="str">
        <f>IF(ISBLANK(A854),"",LEFT(B857,27)&amp;VALUE(RIGHT(B857,1)+1))</f>
        <v/>
      </c>
      <c r="C858" s="6" t="str">
        <f t="shared" ref="C858:D858" si="1000">C857</f>
        <v/>
      </c>
      <c r="D858" s="6" t="str">
        <f t="shared" si="1000"/>
        <v/>
      </c>
      <c r="E858" s="10" t="str">
        <f>IF(ISBLANK(A854),"",E857+1)</f>
        <v/>
      </c>
      <c r="F858" s="11" t="str">
        <f t="shared" si="998"/>
        <v/>
      </c>
      <c r="G858" s="8"/>
    </row>
    <row r="859">
      <c r="A859" s="12" t="str">
        <f t="shared" si="996"/>
        <v/>
      </c>
      <c r="B859" s="12" t="str">
        <f>IF(ISBLANK(A854),"",LEFT(B858,27)&amp;VALUE(RIGHT(B858,1)+1))</f>
        <v/>
      </c>
      <c r="C859" s="13" t="str">
        <f t="shared" ref="C859:D859" si="1001">C858</f>
        <v/>
      </c>
      <c r="D859" s="13" t="str">
        <f t="shared" si="1001"/>
        <v/>
      </c>
      <c r="E859" s="14" t="str">
        <f>IF(ISBLANK(A854),"",E858+1)</f>
        <v/>
      </c>
      <c r="F859" s="15" t="str">
        <f t="shared" si="998"/>
        <v/>
      </c>
      <c r="G859" s="16"/>
    </row>
    <row r="860">
      <c r="A860" s="5"/>
      <c r="B860" s="6" t="str">
        <f t="array" ref="B860">IF(ISBLANK(A860),"",IF(A860="PROREP (L)",VLOOKUP(LEFT($A860,6),'Data Feed (20C)'!$A$1:$G$10,2,FALSE),IF(A860="PROREP (S)", INDEX('Data Feed (20C)'!B:B, MATCH(LEFT($A860,6), 'Data Feed (20C)'!$A$1:$A$10, 0) + 1), VLOOKUP($A860,'Data Feed (20C)'!$A$1:$G$10,2,FALSE))))</f>
        <v/>
      </c>
      <c r="C860" s="6" t="str">
        <f t="array" ref="C860">IF(ISBLANK(A860),"",IF(A860="PROREP (L)",VLOOKUP(LEFT($A860,6),'Data Feed (20C)'!$A$1:$G$10,3,FALSE),IF(A860="PROREP (S)", INDEX('Data Feed (20C)'!C:C, MATCH(LEFT($A860,6), 'Data Feed (20C)'!$A$1:$A$10, 0) + 1, +1), VLOOKUP($A860,'Data Feed (20C)'!$A$1:$G$10,3,FALSE))))</f>
        <v/>
      </c>
      <c r="D860" s="6" t="str">
        <f t="array" ref="D860">IF(ISBLANK(A860),"",IF(A860="PROREP (L)",VLOOKUP(LEFT($A860,6),'Data Feed (20C)'!$A$1:$G$10,4,FALSE),IF(A860="PROREP (S)", INDEX('Data Feed (20C)'!D:D, MATCH(LEFT($A860,6), 'Data Feed (20C)'!$A$1:$A$10, 0) + 1, +1), VLOOKUP($A860,'Data Feed (20C)'!$A$1:$G$10,4,FALSE))))</f>
        <v/>
      </c>
      <c r="E860" s="6" t="str">
        <f t="array" ref="E860">IF(ISBLANK(A860),"",IF(A860="PROREP (L)",VLOOKUP(LEFT($A860,6),'Data Feed (20C)'!$A$1:$G$10,7,FALSE),IF(A860="PROREP (S)", INDEX('Data Feed (20C)'!G:G, MATCH(LEFT($A860,6), 'Data Feed (20C)'!$A$1:$A$10, 0) + 1, +1), VLOOKUP($A860,'Data Feed (20C)'!$A$1:$G$10,7,FALSE))))</f>
        <v/>
      </c>
      <c r="F860" s="7"/>
      <c r="G860" s="8"/>
    </row>
    <row r="861">
      <c r="A861" s="9" t="str">
        <f t="shared" ref="A861:A865" si="1003">A860</f>
        <v/>
      </c>
      <c r="B861" s="9" t="str">
        <f>IF(ISBLANK(A860),"",LEFT(B860,27)&amp;VALUE(RIGHT(B860,1)+1))</f>
        <v/>
      </c>
      <c r="C861" s="6" t="str">
        <f t="shared" ref="C861:D861" si="1002">C860</f>
        <v/>
      </c>
      <c r="D861" s="6" t="str">
        <f t="shared" si="1002"/>
        <v/>
      </c>
      <c r="E861" s="10" t="str">
        <f>IF(ISBLANK(A860),"",E860+1)</f>
        <v/>
      </c>
      <c r="F861" s="11" t="str">
        <f t="shared" ref="F861:F865" si="1005">F860</f>
        <v/>
      </c>
      <c r="G861" s="8"/>
    </row>
    <row r="862">
      <c r="A862" s="9" t="str">
        <f t="shared" si="1003"/>
        <v/>
      </c>
      <c r="B862" s="9" t="str">
        <f>IF(ISBLANK(A860),"",LEFT(B861,27)&amp;VALUE(RIGHT(B861,1)+1))</f>
        <v/>
      </c>
      <c r="C862" s="6" t="str">
        <f t="shared" ref="C862:D862" si="1004">C861</f>
        <v/>
      </c>
      <c r="D862" s="6" t="str">
        <f t="shared" si="1004"/>
        <v/>
      </c>
      <c r="E862" s="10" t="str">
        <f>IF(ISBLANK(A860),"",E861+1)</f>
        <v/>
      </c>
      <c r="F862" s="11" t="str">
        <f t="shared" si="1005"/>
        <v/>
      </c>
      <c r="G862" s="8"/>
    </row>
    <row r="863">
      <c r="A863" s="9" t="str">
        <f t="shared" si="1003"/>
        <v/>
      </c>
      <c r="B863" s="9" t="str">
        <f>IF(ISBLANK(A860),"",LEFT(B862,27)&amp;VALUE(RIGHT(B862,1)+1))</f>
        <v/>
      </c>
      <c r="C863" s="6" t="str">
        <f t="shared" ref="C863:D863" si="1006">C862</f>
        <v/>
      </c>
      <c r="D863" s="6" t="str">
        <f t="shared" si="1006"/>
        <v/>
      </c>
      <c r="E863" s="10" t="str">
        <f>IF(ISBLANK(A860),"",E862+1)</f>
        <v/>
      </c>
      <c r="F863" s="11" t="str">
        <f t="shared" si="1005"/>
        <v/>
      </c>
      <c r="G863" s="8"/>
    </row>
    <row r="864">
      <c r="A864" s="9" t="str">
        <f t="shared" si="1003"/>
        <v/>
      </c>
      <c r="B864" s="9" t="str">
        <f>IF(ISBLANK(A860),"",LEFT(B863,27)&amp;VALUE(RIGHT(B863,1)+1))</f>
        <v/>
      </c>
      <c r="C864" s="6" t="str">
        <f t="shared" ref="C864:D864" si="1007">C863</f>
        <v/>
      </c>
      <c r="D864" s="6" t="str">
        <f t="shared" si="1007"/>
        <v/>
      </c>
      <c r="E864" s="10" t="str">
        <f>IF(ISBLANK(A860),"",E863+1)</f>
        <v/>
      </c>
      <c r="F864" s="11" t="str">
        <f t="shared" si="1005"/>
        <v/>
      </c>
      <c r="G864" s="8"/>
    </row>
    <row r="865">
      <c r="A865" s="12" t="str">
        <f t="shared" si="1003"/>
        <v/>
      </c>
      <c r="B865" s="12" t="str">
        <f>IF(ISBLANK(A860),"",LEFT(B864,27)&amp;VALUE(RIGHT(B864,1)+1))</f>
        <v/>
      </c>
      <c r="C865" s="13" t="str">
        <f t="shared" ref="C865:D865" si="1008">C864</f>
        <v/>
      </c>
      <c r="D865" s="13" t="str">
        <f t="shared" si="1008"/>
        <v/>
      </c>
      <c r="E865" s="14" t="str">
        <f>IF(ISBLANK(A860),"",E864+1)</f>
        <v/>
      </c>
      <c r="F865" s="15" t="str">
        <f t="shared" si="1005"/>
        <v/>
      </c>
      <c r="G865" s="16"/>
    </row>
    <row r="866">
      <c r="A866" s="5"/>
      <c r="B866" s="6" t="str">
        <f t="array" ref="B866">IF(ISBLANK(A866),"",IF(A866="PROREP (L)",VLOOKUP(LEFT($A866,6),'Data Feed (20C)'!$A$1:$G$10,2,FALSE),IF(A866="PROREP (S)", INDEX('Data Feed (20C)'!B:B, MATCH(LEFT($A866,6), 'Data Feed (20C)'!$A$1:$A$10, 0) + 1), VLOOKUP($A866,'Data Feed (20C)'!$A$1:$G$10,2,FALSE))))</f>
        <v/>
      </c>
      <c r="C866" s="6" t="str">
        <f t="array" ref="C866">IF(ISBLANK(A866),"",IF(A866="PROREP (L)",VLOOKUP(LEFT($A866,6),'Data Feed (20C)'!$A$1:$G$10,3,FALSE),IF(A866="PROREP (S)", INDEX('Data Feed (20C)'!C:C, MATCH(LEFT($A866,6), 'Data Feed (20C)'!$A$1:$A$10, 0) + 1, +1), VLOOKUP($A866,'Data Feed (20C)'!$A$1:$G$10,3,FALSE))))</f>
        <v/>
      </c>
      <c r="D866" s="6" t="str">
        <f t="array" ref="D866">IF(ISBLANK(A866),"",IF(A866="PROREP (L)",VLOOKUP(LEFT($A866,6),'Data Feed (20C)'!$A$1:$G$10,4,FALSE),IF(A866="PROREP (S)", INDEX('Data Feed (20C)'!D:D, MATCH(LEFT($A866,6), 'Data Feed (20C)'!$A$1:$A$10, 0) + 1, +1), VLOOKUP($A866,'Data Feed (20C)'!$A$1:$G$10,4,FALSE))))</f>
        <v/>
      </c>
      <c r="E866" s="6" t="str">
        <f t="array" ref="E866">IF(ISBLANK(A866),"",IF(A866="PROREP (L)",VLOOKUP(LEFT($A866,6),'Data Feed (20C)'!$A$1:$G$10,7,FALSE),IF(A866="PROREP (S)", INDEX('Data Feed (20C)'!G:G, MATCH(LEFT($A866,6), 'Data Feed (20C)'!$A$1:$A$10, 0) + 1, +1), VLOOKUP($A866,'Data Feed (20C)'!$A$1:$G$10,7,FALSE))))</f>
        <v/>
      </c>
      <c r="F866" s="7"/>
      <c r="G866" s="8"/>
    </row>
    <row r="867">
      <c r="A867" s="9" t="str">
        <f t="shared" ref="A867:A871" si="1010">A866</f>
        <v/>
      </c>
      <c r="B867" s="9" t="str">
        <f>IF(ISBLANK(A866),"",LEFT(B866,27)&amp;VALUE(RIGHT(B866,1)+1))</f>
        <v/>
      </c>
      <c r="C867" s="6" t="str">
        <f t="shared" ref="C867:D867" si="1009">C866</f>
        <v/>
      </c>
      <c r="D867" s="6" t="str">
        <f t="shared" si="1009"/>
        <v/>
      </c>
      <c r="E867" s="10" t="str">
        <f>IF(ISBLANK(A866),"",E866+1)</f>
        <v/>
      </c>
      <c r="F867" s="11" t="str">
        <f t="shared" ref="F867:F871" si="1012">F866</f>
        <v/>
      </c>
      <c r="G867" s="8"/>
    </row>
    <row r="868">
      <c r="A868" s="9" t="str">
        <f t="shared" si="1010"/>
        <v/>
      </c>
      <c r="B868" s="9" t="str">
        <f>IF(ISBLANK(A866),"",LEFT(B867,27)&amp;VALUE(RIGHT(B867,1)+1))</f>
        <v/>
      </c>
      <c r="C868" s="6" t="str">
        <f t="shared" ref="C868:D868" si="1011">C867</f>
        <v/>
      </c>
      <c r="D868" s="6" t="str">
        <f t="shared" si="1011"/>
        <v/>
      </c>
      <c r="E868" s="10" t="str">
        <f>IF(ISBLANK(A866),"",E867+1)</f>
        <v/>
      </c>
      <c r="F868" s="11" t="str">
        <f t="shared" si="1012"/>
        <v/>
      </c>
      <c r="G868" s="8"/>
    </row>
    <row r="869">
      <c r="A869" s="9" t="str">
        <f t="shared" si="1010"/>
        <v/>
      </c>
      <c r="B869" s="9" t="str">
        <f>IF(ISBLANK(A866),"",LEFT(B868,27)&amp;VALUE(RIGHT(B868,1)+1))</f>
        <v/>
      </c>
      <c r="C869" s="6" t="str">
        <f t="shared" ref="C869:D869" si="1013">C868</f>
        <v/>
      </c>
      <c r="D869" s="6" t="str">
        <f t="shared" si="1013"/>
        <v/>
      </c>
      <c r="E869" s="10" t="str">
        <f>IF(ISBLANK(A866),"",E868+1)</f>
        <v/>
      </c>
      <c r="F869" s="11" t="str">
        <f t="shared" si="1012"/>
        <v/>
      </c>
      <c r="G869" s="8"/>
    </row>
    <row r="870">
      <c r="A870" s="9" t="str">
        <f t="shared" si="1010"/>
        <v/>
      </c>
      <c r="B870" s="9" t="str">
        <f>IF(ISBLANK(A866),"",LEFT(B869,27)&amp;VALUE(RIGHT(B869,1)+1))</f>
        <v/>
      </c>
      <c r="C870" s="6" t="str">
        <f t="shared" ref="C870:D870" si="1014">C869</f>
        <v/>
      </c>
      <c r="D870" s="6" t="str">
        <f t="shared" si="1014"/>
        <v/>
      </c>
      <c r="E870" s="10" t="str">
        <f>IF(ISBLANK(A866),"",E869+1)</f>
        <v/>
      </c>
      <c r="F870" s="11" t="str">
        <f t="shared" si="1012"/>
        <v/>
      </c>
      <c r="G870" s="8"/>
    </row>
    <row r="871">
      <c r="A871" s="12" t="str">
        <f t="shared" si="1010"/>
        <v/>
      </c>
      <c r="B871" s="12" t="str">
        <f>IF(ISBLANK(A866),"",LEFT(B870,27)&amp;VALUE(RIGHT(B870,1)+1))</f>
        <v/>
      </c>
      <c r="C871" s="13" t="str">
        <f t="shared" ref="C871:D871" si="1015">C870</f>
        <v/>
      </c>
      <c r="D871" s="13" t="str">
        <f t="shared" si="1015"/>
        <v/>
      </c>
      <c r="E871" s="14" t="str">
        <f>IF(ISBLANK(A866),"",E870+1)</f>
        <v/>
      </c>
      <c r="F871" s="15" t="str">
        <f t="shared" si="1012"/>
        <v/>
      </c>
      <c r="G871" s="16"/>
    </row>
  </sheetData>
  <dataValidations>
    <dataValidation type="list" allowBlank="1" showErrorMessage="1" sqref="A2 A8 A14 A20 A26 A32 A38 A44 A50 A56 A62 A68 A74 A80 A86 A92 A98 A104 A110 A116 A122 A128 A134 A140 A146 A152 A158 A164 A170 A176 A182 A188 A194 A200 A206 A212 A218 A224 A230 A236 A242 A248 A254 A260 A266 A272 A278 A284 A290 A296 A302 A308 A314 A320 A326 A332 A338 A344 A350 A356 A362 A368 A374 A380 A386 A392 A398 A404 A410 A416 A422 A428 A434 A440 A446 A452 A458 A464 A470 A476 A482 A488 A494 A500 A506 A512 A518 A524 A530 A536 A542 A548 A554 A560 A566 A572 A578 A584 A590 A596 A602 A608 A614 A620 A626 A632 A638 A644 A650 A656 A662 A668 A674 A680 A686 A692 A698 A704 A710 A716 A722 A728 A734 A740 A746 A752 A758 A764 A770 A776 A782 A788 A794 A800 A806 A812 A818 A824 A830 A836 A842 A848 A854 A860 A866">
      <formula1>"PROREP (L),PROREP (S),ERIMON,CANCON"</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2" width="31.88"/>
    <col customWidth="1" min="3" max="3" width="19.75"/>
    <col customWidth="1" min="6" max="6" width="11.25"/>
    <col customWidth="1" min="7" max="7" width="6.13"/>
  </cols>
  <sheetData>
    <row r="1">
      <c r="A1" s="1" t="s">
        <v>0</v>
      </c>
      <c r="B1" s="1" t="s">
        <v>1</v>
      </c>
      <c r="C1" s="2" t="s">
        <v>2</v>
      </c>
      <c r="D1" s="2" t="s">
        <v>3</v>
      </c>
      <c r="E1" s="2" t="s">
        <v>4</v>
      </c>
      <c r="F1" s="3" t="s">
        <v>5</v>
      </c>
      <c r="G1" s="4" t="s">
        <v>6</v>
      </c>
    </row>
    <row r="2">
      <c r="A2" s="5" t="s">
        <v>7</v>
      </c>
      <c r="B2" s="6" t="str">
        <f t="array" ref="B2">IF(ISBLANK(A2),"",IF(A2="PROREP (L)",VLOOKUP(LEFT($A2,6),'Data Feed (25C)'!$A$1:$G$10,2,FALSE),IF(A2="PROREP (S)", INDEX('Data Feed (25C)'!B:B, MATCH(LEFT($A2,6), 'Data Feed (25C)'!$A$1:$A$10, 0) + 1), VLOOKUP($A2,'Data Feed (25C)'!$A$1:$G$10,2,FALSE))))</f>
        <v>JKS240702ERIMON_25C_sample_1</v>
      </c>
      <c r="C2" s="6" t="str">
        <f t="array" ref="C2">IF(ISBLANK(A2),"",IF(A2="PROREP (L)",VLOOKUP(LEFT($A2,6),'Data Feed (25C)'!$A$1:$G$10,3,FALSE),IF(A2="PROREP (S)", INDEX('Data Feed (25C)'!C:C, MATCH(LEFT($A2,6), 'Data Feed (25C)'!$A$1:$A$10, 0) + 1, +1), VLOOKUP($A2,'Data Feed (25C)'!$A$1:$G$10,3,FALSE))))</f>
        <v>Erica monsoniana</v>
      </c>
      <c r="D2" s="6" t="str">
        <f t="array" ref="D2">IF(ISBLANK(A2),"",IF(A2="PROREP (L)",VLOOKUP(LEFT($A2,6),'Data Feed (25C)'!$A$1:$G$10,4,FALSE),IF(A2="PROREP (S)", INDEX('Data Feed (25C)'!D:D, MATCH(LEFT($A2,6), 'Data Feed (25C)'!$A$1:$A$10, 0) + 1, +1), VLOOKUP($A2,'Data Feed (25C)'!$A$1:$G$10,4,FALSE))))</f>
        <v>25C</v>
      </c>
      <c r="E2" s="6">
        <f t="array" ref="E2">IF(ISBLANK(A2),"",IF(A2="PROREP (L)",VLOOKUP(LEFT($A2,6),'Data Feed (25C)'!$A$1:$G$10,7,FALSE),IF(A2="PROREP (S)", INDEX('Data Feed (25C)'!G:G, MATCH(LEFT($A2,6), 'Data Feed (25C)'!$A$1:$A$10, 0) + 1, +1), VLOOKUP($A2,'Data Feed (25C)'!$A$1:$G$10,7,FALSE))))</f>
        <v>1</v>
      </c>
      <c r="F2" s="7">
        <v>45477.525</v>
      </c>
      <c r="G2" s="8">
        <v>1.13</v>
      </c>
    </row>
    <row r="3">
      <c r="A3" s="9" t="str">
        <f t="shared" ref="A3:A7" si="2">A2</f>
        <v>ERIMON</v>
      </c>
      <c r="B3" s="9" t="str">
        <f>IF(ISBLANK(A2),"",LEFT(B2,27)&amp;VALUE(RIGHT(B2,1)+1))</f>
        <v>JKS240702ERIMON_25C_sample_2</v>
      </c>
      <c r="C3" s="6" t="str">
        <f t="shared" ref="C3:D3" si="1">C2</f>
        <v>Erica monsoniana</v>
      </c>
      <c r="D3" s="6" t="str">
        <f t="shared" si="1"/>
        <v>25C</v>
      </c>
      <c r="E3" s="10">
        <f>IF(ISBLANK(A2),"",E2+1)</f>
        <v>2</v>
      </c>
      <c r="F3" s="7">
        <f t="shared" ref="F3:F7" si="4">F2</f>
        <v>45477.525</v>
      </c>
      <c r="G3" s="8"/>
    </row>
    <row r="4">
      <c r="A4" s="9" t="str">
        <f t="shared" si="2"/>
        <v>ERIMON</v>
      </c>
      <c r="B4" s="9" t="str">
        <f>IF(ISBLANK(A2),"",LEFT(B3,27)&amp;VALUE(RIGHT(B3,1)+1))</f>
        <v>JKS240702ERIMON_25C_sample_3</v>
      </c>
      <c r="C4" s="6" t="str">
        <f t="shared" ref="C4:D4" si="3">C3</f>
        <v>Erica monsoniana</v>
      </c>
      <c r="D4" s="6" t="str">
        <f t="shared" si="3"/>
        <v>25C</v>
      </c>
      <c r="E4" s="10">
        <f>IF(ISBLANK(A2),"",E3+1)</f>
        <v>3</v>
      </c>
      <c r="F4" s="7">
        <f t="shared" si="4"/>
        <v>45477.525</v>
      </c>
      <c r="G4" s="8">
        <v>1.56</v>
      </c>
    </row>
    <row r="5">
      <c r="A5" s="9" t="str">
        <f t="shared" si="2"/>
        <v>ERIMON</v>
      </c>
      <c r="B5" s="9" t="str">
        <f>IF(ISBLANK(A2),"",LEFT(B4,27)&amp;VALUE(RIGHT(B4,1)+1))</f>
        <v>JKS240702ERIMON_25C_sample_4</v>
      </c>
      <c r="C5" s="6" t="str">
        <f t="shared" ref="C5:D5" si="5">C4</f>
        <v>Erica monsoniana</v>
      </c>
      <c r="D5" s="6" t="str">
        <f t="shared" si="5"/>
        <v>25C</v>
      </c>
      <c r="E5" s="10">
        <f>IF(ISBLANK(A2),"",E4+1)</f>
        <v>4</v>
      </c>
      <c r="F5" s="7">
        <f t="shared" si="4"/>
        <v>45477.525</v>
      </c>
      <c r="G5" s="8">
        <v>3.06</v>
      </c>
    </row>
    <row r="6">
      <c r="A6" s="9" t="str">
        <f t="shared" si="2"/>
        <v>ERIMON</v>
      </c>
      <c r="B6" s="9" t="str">
        <f>IF(ISBLANK(A2),"",LEFT(B5,27)&amp;VALUE(RIGHT(B5,1)+1))</f>
        <v>JKS240702ERIMON_25C_sample_5</v>
      </c>
      <c r="C6" s="6" t="str">
        <f t="shared" ref="C6:D6" si="6">C5</f>
        <v>Erica monsoniana</v>
      </c>
      <c r="D6" s="6" t="str">
        <f t="shared" si="6"/>
        <v>25C</v>
      </c>
      <c r="E6" s="10">
        <f>IF(ISBLANK(A2),"",E5+1)</f>
        <v>5</v>
      </c>
      <c r="F6" s="7">
        <f t="shared" si="4"/>
        <v>45477.525</v>
      </c>
      <c r="G6" s="8">
        <v>2.25</v>
      </c>
    </row>
    <row r="7">
      <c r="A7" s="12" t="str">
        <f t="shared" si="2"/>
        <v>ERIMON</v>
      </c>
      <c r="B7" s="12" t="str">
        <f>IF(ISBLANK(A2),"",LEFT(B6,27)&amp;VALUE(RIGHT(B6,1)+1))</f>
        <v>JKS240702ERIMON_25C_sample_6</v>
      </c>
      <c r="C7" s="13" t="str">
        <f t="shared" ref="C7:D7" si="7">C6</f>
        <v>Erica monsoniana</v>
      </c>
      <c r="D7" s="13" t="str">
        <f t="shared" si="7"/>
        <v>25C</v>
      </c>
      <c r="E7" s="14">
        <f>IF(ISBLANK(A2),"",E6+1)</f>
        <v>6</v>
      </c>
      <c r="F7" s="18">
        <f t="shared" si="4"/>
        <v>45477.525</v>
      </c>
      <c r="G7" s="16"/>
    </row>
    <row r="8">
      <c r="A8" s="5" t="s">
        <v>8</v>
      </c>
      <c r="B8" s="6" t="str">
        <f t="array" ref="B8">IF(ISBLANK(A8),"",IF(A8="PROREP (L)",VLOOKUP(LEFT($A8,6),'Data Feed (25C)'!$A$1:$G$10,2,FALSE),IF(A8="PROREP (S)", INDEX('Data Feed (25C)'!B:B, MATCH(LEFT($A8,6), 'Data Feed (25C)'!$A$1:$A$10, 0) + 1), VLOOKUP($A8,'Data Feed (25C)'!$A$1:$G$10,2,FALSE))))</f>
        <v>JKL240702PROREP_25C_sample_1</v>
      </c>
      <c r="C8" s="6" t="str">
        <f t="array" ref="C8">IF(ISBLANK(A8),"",IF(A8="PROREP (L)",VLOOKUP(LEFT($A8,6),'Data Feed (25C)'!$A$1:$G$10,3,FALSE),IF(A8="PROREP (S)", INDEX('Data Feed (25C)'!C:C, MATCH(LEFT($A8,6), 'Data Feed (25C)'!$A$1:$A$10, 0) + 1, +1), VLOOKUP($A8,'Data Feed (25C)'!$A$1:$G$10,3,FALSE))))</f>
        <v>Protea repens</v>
      </c>
      <c r="D8" s="6" t="str">
        <f t="array" ref="D8">IF(ISBLANK(A8),"",IF(A8="PROREP (L)",VLOOKUP(LEFT($A8,6),'Data Feed (25C)'!$A$1:$G$10,4,FALSE),IF(A8="PROREP (S)", INDEX('Data Feed (25C)'!D:D, MATCH(LEFT($A8,6), 'Data Feed (25C)'!$A$1:$A$10, 0) + 1, +1), VLOOKUP($A8,'Data Feed (25C)'!$A$1:$G$10,4,FALSE))))</f>
        <v>25C</v>
      </c>
      <c r="E8" s="6">
        <f t="array" ref="E8">IF(ISBLANK(A8),"",IF(A8="PROREP (L)",VLOOKUP(LEFT($A8,6),'Data Feed (25C)'!$A$1:$G$10,7,FALSE),IF(A8="PROREP (S)", INDEX('Data Feed (25C)'!G:G, MATCH(LEFT($A8,6), 'Data Feed (25C)'!$A$1:$A$10, 0) + 1, +1), VLOOKUP($A8,'Data Feed (25C)'!$A$1:$G$10,7,FALSE))))</f>
        <v>1</v>
      </c>
      <c r="F8" s="7">
        <v>45477.575</v>
      </c>
      <c r="G8" s="8">
        <v>0.41</v>
      </c>
    </row>
    <row r="9">
      <c r="A9" s="9" t="str">
        <f t="shared" ref="A9:A13" si="9">A8</f>
        <v>PROREP (L)</v>
      </c>
      <c r="B9" s="9" t="str">
        <f>IF(ISBLANK(A8),"",LEFT(B8,27)&amp;VALUE(RIGHT(B8,1)+1))</f>
        <v>JKL240702PROREP_25C_sample_2</v>
      </c>
      <c r="C9" s="6" t="str">
        <f t="shared" ref="C9:D9" si="8">C8</f>
        <v>Protea repens</v>
      </c>
      <c r="D9" s="6" t="str">
        <f t="shared" si="8"/>
        <v>25C</v>
      </c>
      <c r="E9" s="10">
        <f>IF(ISBLANK(A8),"",E8+1)</f>
        <v>2</v>
      </c>
      <c r="F9" s="11">
        <f t="shared" ref="F9:F13" si="11">F8</f>
        <v>45477.575</v>
      </c>
      <c r="G9" s="8">
        <v>0.56</v>
      </c>
    </row>
    <row r="10">
      <c r="A10" s="9" t="str">
        <f t="shared" si="9"/>
        <v>PROREP (L)</v>
      </c>
      <c r="B10" s="9" t="str">
        <f>IF(ISBLANK(A8),"",LEFT(B9,27)&amp;VALUE(RIGHT(B9,1)+1))</f>
        <v>JKL240702PROREP_25C_sample_3</v>
      </c>
      <c r="C10" s="6" t="str">
        <f t="shared" ref="C10:D10" si="10">C9</f>
        <v>Protea repens</v>
      </c>
      <c r="D10" s="6" t="str">
        <f t="shared" si="10"/>
        <v>25C</v>
      </c>
      <c r="E10" s="10">
        <f>IF(ISBLANK(A8),"",E9+1)</f>
        <v>3</v>
      </c>
      <c r="F10" s="11">
        <f t="shared" si="11"/>
        <v>45477.575</v>
      </c>
      <c r="G10" s="8">
        <v>0.7</v>
      </c>
    </row>
    <row r="11">
      <c r="A11" s="9" t="str">
        <f t="shared" si="9"/>
        <v>PROREP (L)</v>
      </c>
      <c r="B11" s="9" t="str">
        <f>IF(ISBLANK(A8),"",LEFT(B10,27)&amp;VALUE(RIGHT(B10,1)+1))</f>
        <v>JKL240702PROREP_25C_sample_4</v>
      </c>
      <c r="C11" s="6" t="str">
        <f t="shared" ref="C11:D11" si="12">C10</f>
        <v>Protea repens</v>
      </c>
      <c r="D11" s="6" t="str">
        <f t="shared" si="12"/>
        <v>25C</v>
      </c>
      <c r="E11" s="10">
        <f>IF(ISBLANK(A8),"",E10+1)</f>
        <v>4</v>
      </c>
      <c r="F11" s="11">
        <f t="shared" si="11"/>
        <v>45477.575</v>
      </c>
      <c r="G11" s="8">
        <v>0.49</v>
      </c>
    </row>
    <row r="12">
      <c r="A12" s="9" t="str">
        <f t="shared" si="9"/>
        <v>PROREP (L)</v>
      </c>
      <c r="B12" s="9" t="str">
        <f>IF(ISBLANK(A8),"",LEFT(B11,27)&amp;VALUE(RIGHT(B11,1)+1))</f>
        <v>JKL240702PROREP_25C_sample_5</v>
      </c>
      <c r="C12" s="6" t="str">
        <f t="shared" ref="C12:D12" si="13">C11</f>
        <v>Protea repens</v>
      </c>
      <c r="D12" s="6" t="str">
        <f t="shared" si="13"/>
        <v>25C</v>
      </c>
      <c r="E12" s="10">
        <f>IF(ISBLANK(A8),"",E11+1)</f>
        <v>5</v>
      </c>
      <c r="F12" s="11">
        <f t="shared" si="11"/>
        <v>45477.575</v>
      </c>
      <c r="G12" s="8">
        <v>0.48</v>
      </c>
    </row>
    <row r="13">
      <c r="A13" s="12" t="str">
        <f t="shared" si="9"/>
        <v>PROREP (L)</v>
      </c>
      <c r="B13" s="12" t="str">
        <f>IF(ISBLANK(A8),"",LEFT(B12,27)&amp;VALUE(RIGHT(B12,1)+1))</f>
        <v>JKL240702PROREP_25C_sample_6</v>
      </c>
      <c r="C13" s="13" t="str">
        <f t="shared" ref="C13:D13" si="14">C12</f>
        <v>Protea repens</v>
      </c>
      <c r="D13" s="13" t="str">
        <f t="shared" si="14"/>
        <v>25C</v>
      </c>
      <c r="E13" s="14">
        <f>IF(ISBLANK(A8),"",E12+1)</f>
        <v>6</v>
      </c>
      <c r="F13" s="15">
        <f t="shared" si="11"/>
        <v>45477.575</v>
      </c>
      <c r="G13" s="16">
        <v>0.57</v>
      </c>
    </row>
    <row r="14">
      <c r="A14" s="5" t="s">
        <v>7</v>
      </c>
      <c r="B14" s="6" t="str">
        <f t="array" ref="B14">IF(ISBLANK(A14),"",IF(A14="PROREP (L)",VLOOKUP(LEFT($A14,6),'Data Feed (25C)'!$A$1:$G$10,2,FALSE),IF(A14="PROREP (S)", INDEX('Data Feed (25C)'!B:B, MATCH(LEFT($A14,6), 'Data Feed (25C)'!$A$1:$A$10, 0) + 1), VLOOKUP($A14,'Data Feed (25C)'!$A$1:$G$10,2,FALSE))))</f>
        <v>JKS240702ERIMON_25C_sample_1</v>
      </c>
      <c r="C14" s="6" t="str">
        <f t="array" ref="C14">IF(ISBLANK(A14),"",IF(A14="PROREP (L)",VLOOKUP(LEFT($A14,6),'Data Feed (25C)'!$A$1:$G$10,3,FALSE),IF(A14="PROREP (S)", INDEX('Data Feed (25C)'!C:C, MATCH(LEFT($A14,6), 'Data Feed (25C)'!$A$1:$A$10, 0) + 1, +1), VLOOKUP($A14,'Data Feed (25C)'!$A$1:$G$10,3,FALSE))))</f>
        <v>Erica monsoniana</v>
      </c>
      <c r="D14" s="6" t="str">
        <f t="array" ref="D14">IF(ISBLANK(A14),"",IF(A14="PROREP (L)",VLOOKUP(LEFT($A14,6),'Data Feed (25C)'!$A$1:$G$10,4,FALSE),IF(A14="PROREP (S)", INDEX('Data Feed (25C)'!D:D, MATCH(LEFT($A14,6), 'Data Feed (25C)'!$A$1:$A$10, 0) + 1, +1), VLOOKUP($A14,'Data Feed (25C)'!$A$1:$G$10,4,FALSE))))</f>
        <v>25C</v>
      </c>
      <c r="E14" s="6">
        <f t="array" ref="E14">IF(ISBLANK(A14),"",IF(A14="PROREP (L)",VLOOKUP(LEFT($A14,6),'Data Feed (25C)'!$A$1:$G$10,7,FALSE),IF(A14="PROREP (S)", INDEX('Data Feed (25C)'!G:G, MATCH(LEFT($A14,6), 'Data Feed (25C)'!$A$1:$A$10, 0) + 1, +1), VLOOKUP($A14,'Data Feed (25C)'!$A$1:$G$10,7,FALSE))))</f>
        <v>1</v>
      </c>
      <c r="F14" s="7">
        <v>45477.57638888889</v>
      </c>
      <c r="G14" s="8">
        <v>1.03</v>
      </c>
    </row>
    <row r="15">
      <c r="A15" s="9" t="str">
        <f t="shared" ref="A15:A19" si="16">A14</f>
        <v>ERIMON</v>
      </c>
      <c r="B15" s="9" t="str">
        <f>IF(ISBLANK(A14),"",LEFT(B14,27)&amp;VALUE(RIGHT(B14,1)+1))</f>
        <v>JKS240702ERIMON_25C_sample_2</v>
      </c>
      <c r="C15" s="6" t="str">
        <f t="shared" ref="C15:D15" si="15">C14</f>
        <v>Erica monsoniana</v>
      </c>
      <c r="D15" s="6" t="str">
        <f t="shared" si="15"/>
        <v>25C</v>
      </c>
      <c r="E15" s="10">
        <f>IF(ISBLANK(A14),"",E14+1)</f>
        <v>2</v>
      </c>
      <c r="F15" s="11">
        <f t="shared" ref="F15:F19" si="18">F14</f>
        <v>45477.57639</v>
      </c>
      <c r="G15" s="8"/>
    </row>
    <row r="16">
      <c r="A16" s="9" t="str">
        <f t="shared" si="16"/>
        <v>ERIMON</v>
      </c>
      <c r="B16" s="9" t="str">
        <f>IF(ISBLANK(A14),"",LEFT(B15,27)&amp;VALUE(RIGHT(B15,1)+1))</f>
        <v>JKS240702ERIMON_25C_sample_3</v>
      </c>
      <c r="C16" s="6" t="str">
        <f t="shared" ref="C16:D16" si="17">C15</f>
        <v>Erica monsoniana</v>
      </c>
      <c r="D16" s="6" t="str">
        <f t="shared" si="17"/>
        <v>25C</v>
      </c>
      <c r="E16" s="10">
        <f>IF(ISBLANK(A14),"",E15+1)</f>
        <v>3</v>
      </c>
      <c r="F16" s="11">
        <f t="shared" si="18"/>
        <v>45477.57639</v>
      </c>
      <c r="G16" s="8">
        <v>1.46</v>
      </c>
    </row>
    <row r="17">
      <c r="A17" s="9" t="str">
        <f t="shared" si="16"/>
        <v>ERIMON</v>
      </c>
      <c r="B17" s="9" t="str">
        <f>IF(ISBLANK(A14),"",LEFT(B16,27)&amp;VALUE(RIGHT(B16,1)+1))</f>
        <v>JKS240702ERIMON_25C_sample_4</v>
      </c>
      <c r="C17" s="6" t="str">
        <f t="shared" ref="C17:D17" si="19">C16</f>
        <v>Erica monsoniana</v>
      </c>
      <c r="D17" s="6" t="str">
        <f t="shared" si="19"/>
        <v>25C</v>
      </c>
      <c r="E17" s="10">
        <f>IF(ISBLANK(A14),"",E16+1)</f>
        <v>4</v>
      </c>
      <c r="F17" s="11">
        <f t="shared" si="18"/>
        <v>45477.57639</v>
      </c>
      <c r="G17" s="8">
        <v>2.91</v>
      </c>
    </row>
    <row r="18">
      <c r="A18" s="9" t="str">
        <f t="shared" si="16"/>
        <v>ERIMON</v>
      </c>
      <c r="B18" s="9" t="str">
        <f>IF(ISBLANK(A14),"",LEFT(B17,27)&amp;VALUE(RIGHT(B17,1)+1))</f>
        <v>JKS240702ERIMON_25C_sample_5</v>
      </c>
      <c r="C18" s="6" t="str">
        <f t="shared" ref="C18:D18" si="20">C17</f>
        <v>Erica monsoniana</v>
      </c>
      <c r="D18" s="6" t="str">
        <f t="shared" si="20"/>
        <v>25C</v>
      </c>
      <c r="E18" s="10">
        <f>IF(ISBLANK(A14),"",E17+1)</f>
        <v>5</v>
      </c>
      <c r="F18" s="11">
        <f t="shared" si="18"/>
        <v>45477.57639</v>
      </c>
      <c r="G18" s="8">
        <v>2.1</v>
      </c>
    </row>
    <row r="19">
      <c r="A19" s="12" t="str">
        <f t="shared" si="16"/>
        <v>ERIMON</v>
      </c>
      <c r="B19" s="12" t="str">
        <f>IF(ISBLANK(A14),"",LEFT(B18,27)&amp;VALUE(RIGHT(B18,1)+1))</f>
        <v>JKS240702ERIMON_25C_sample_6</v>
      </c>
      <c r="C19" s="13" t="str">
        <f t="shared" ref="C19:D19" si="21">C18</f>
        <v>Erica monsoniana</v>
      </c>
      <c r="D19" s="13" t="str">
        <f t="shared" si="21"/>
        <v>25C</v>
      </c>
      <c r="E19" s="14">
        <f>IF(ISBLANK(A14),"",E18+1)</f>
        <v>6</v>
      </c>
      <c r="F19" s="15">
        <f t="shared" si="18"/>
        <v>45477.57639</v>
      </c>
      <c r="G19" s="16"/>
    </row>
    <row r="20">
      <c r="A20" s="5" t="s">
        <v>9</v>
      </c>
      <c r="B20" s="6" t="str">
        <f t="array" ref="B20">IF(ISBLANK(A20),"",IF(A20="PROREP (L)",VLOOKUP(LEFT($A20,6),'Data Feed (25C)'!$A$1:$G$10,2,FALSE),IF(A20="PROREP (S)", INDEX('Data Feed (25C)'!B:B, MATCH(LEFT($A20,6), 'Data Feed (25C)'!$A$1:$A$10, 0) + 1), VLOOKUP($A20,'Data Feed (25C)'!$A$1:$G$10,2,FALSE))))</f>
        <v>JKS240702PROREP_25C_sample_1</v>
      </c>
      <c r="C20" s="6" t="str">
        <f t="array" ref="C20">IF(ISBLANK(A20),"",IF(A20="PROREP (L)",VLOOKUP(LEFT($A20,6),'Data Feed (25C)'!$A$1:$G$10,3,FALSE),IF(A20="PROREP (S)", INDEX('Data Feed (25C)'!C:C, MATCH(LEFT($A20,6), 'Data Feed (25C)'!$A$1:$A$10, 0) + 1, +1), VLOOKUP($A20,'Data Feed (25C)'!$A$1:$G$10,3,FALSE))))</f>
        <v>Protea repens</v>
      </c>
      <c r="D20" s="6" t="str">
        <f t="array" ref="D20">IF(ISBLANK(A20),"",IF(A20="PROREP (L)",VLOOKUP(LEFT($A20,6),'Data Feed (25C)'!$A$1:$G$10,4,FALSE),IF(A20="PROREP (S)", INDEX('Data Feed (25C)'!D:D, MATCH(LEFT($A20,6), 'Data Feed (25C)'!$A$1:$A$10, 0) + 1, +1), VLOOKUP($A20,'Data Feed (25C)'!$A$1:$G$10,4,FALSE))))</f>
        <v>25C</v>
      </c>
      <c r="E20" s="6">
        <f t="array" ref="E20">IF(ISBLANK(A20),"",IF(A20="PROREP (L)",VLOOKUP(LEFT($A20,6),'Data Feed (25C)'!$A$1:$G$10,7,FALSE),IF(A20="PROREP (S)", INDEX('Data Feed (25C)'!G:G, MATCH(LEFT($A20,6), 'Data Feed (25C)'!$A$1:$A$10, 0) + 1, +1), VLOOKUP($A20,'Data Feed (25C)'!$A$1:$G$10,7,FALSE))))</f>
        <v>1</v>
      </c>
      <c r="F20" s="7">
        <v>45477.61597222222</v>
      </c>
      <c r="G20" s="8">
        <v>12.29</v>
      </c>
    </row>
    <row r="21">
      <c r="A21" s="9" t="str">
        <f t="shared" ref="A21:A25" si="23">A20</f>
        <v>PROREP (S)</v>
      </c>
      <c r="B21" s="9" t="str">
        <f>IF(ISBLANK(A20),"",LEFT(B20,27)&amp;VALUE(RIGHT(B20,1)+1))</f>
        <v>JKS240702PROREP_25C_sample_2</v>
      </c>
      <c r="C21" s="6" t="str">
        <f t="shared" ref="C21:D21" si="22">C20</f>
        <v>Protea repens</v>
      </c>
      <c r="D21" s="6" t="str">
        <f t="shared" si="22"/>
        <v>25C</v>
      </c>
      <c r="E21" s="10">
        <f>IF(ISBLANK(A20),"",E20+1)</f>
        <v>2</v>
      </c>
      <c r="F21" s="11">
        <f t="shared" ref="F21:F25" si="25">F20</f>
        <v>45477.61597</v>
      </c>
      <c r="G21" s="8">
        <v>9.9</v>
      </c>
    </row>
    <row r="22">
      <c r="A22" s="9" t="str">
        <f t="shared" si="23"/>
        <v>PROREP (S)</v>
      </c>
      <c r="B22" s="9" t="str">
        <f>IF(ISBLANK(A20),"",LEFT(B21,27)&amp;VALUE(RIGHT(B21,1)+1))</f>
        <v>JKS240702PROREP_25C_sample_3</v>
      </c>
      <c r="C22" s="6" t="str">
        <f t="shared" ref="C22:D22" si="24">C21</f>
        <v>Protea repens</v>
      </c>
      <c r="D22" s="6" t="str">
        <f t="shared" si="24"/>
        <v>25C</v>
      </c>
      <c r="E22" s="10">
        <f>IF(ISBLANK(A20),"",E21+1)</f>
        <v>3</v>
      </c>
      <c r="F22" s="11">
        <f t="shared" si="25"/>
        <v>45477.61597</v>
      </c>
      <c r="G22" s="8"/>
    </row>
    <row r="23">
      <c r="A23" s="9" t="str">
        <f t="shared" si="23"/>
        <v>PROREP (S)</v>
      </c>
      <c r="B23" s="9" t="str">
        <f>IF(ISBLANK(A20),"",LEFT(B22,27)&amp;VALUE(RIGHT(B22,1)+1))</f>
        <v>JKS240702PROREP_25C_sample_4</v>
      </c>
      <c r="C23" s="6" t="str">
        <f t="shared" ref="C23:D23" si="26">C22</f>
        <v>Protea repens</v>
      </c>
      <c r="D23" s="6" t="str">
        <f t="shared" si="26"/>
        <v>25C</v>
      </c>
      <c r="E23" s="10">
        <f>IF(ISBLANK(A20),"",E22+1)</f>
        <v>4</v>
      </c>
      <c r="F23" s="11">
        <f t="shared" si="25"/>
        <v>45477.61597</v>
      </c>
      <c r="G23" s="8">
        <v>2.74</v>
      </c>
    </row>
    <row r="24">
      <c r="A24" s="9" t="str">
        <f t="shared" si="23"/>
        <v>PROREP (S)</v>
      </c>
      <c r="B24" s="9" t="str">
        <f>IF(ISBLANK(A20),"",LEFT(B23,27)&amp;VALUE(RIGHT(B23,1)+1))</f>
        <v>JKS240702PROREP_25C_sample_5</v>
      </c>
      <c r="C24" s="6" t="str">
        <f t="shared" ref="C24:D24" si="27">C23</f>
        <v>Protea repens</v>
      </c>
      <c r="D24" s="6" t="str">
        <f t="shared" si="27"/>
        <v>25C</v>
      </c>
      <c r="E24" s="10">
        <f>IF(ISBLANK(A20),"",E23+1)</f>
        <v>5</v>
      </c>
      <c r="F24" s="11">
        <f t="shared" si="25"/>
        <v>45477.61597</v>
      </c>
      <c r="G24" s="8"/>
    </row>
    <row r="25">
      <c r="A25" s="12" t="str">
        <f t="shared" si="23"/>
        <v>PROREP (S)</v>
      </c>
      <c r="B25" s="12" t="str">
        <f>IF(ISBLANK(A20),"",LEFT(B24,27)&amp;VALUE(RIGHT(B24,1)+1))</f>
        <v>JKS240702PROREP_25C_sample_6</v>
      </c>
      <c r="C25" s="13" t="str">
        <f t="shared" ref="C25:D25" si="28">C24</f>
        <v>Protea repens</v>
      </c>
      <c r="D25" s="13" t="str">
        <f t="shared" si="28"/>
        <v>25C</v>
      </c>
      <c r="E25" s="14">
        <f>IF(ISBLANK(A20),"",E24+1)</f>
        <v>6</v>
      </c>
      <c r="F25" s="15">
        <f t="shared" si="25"/>
        <v>45477.61597</v>
      </c>
      <c r="G25" s="16">
        <v>5.01</v>
      </c>
    </row>
    <row r="26">
      <c r="A26" s="5" t="s">
        <v>7</v>
      </c>
      <c r="B26" s="6" t="str">
        <f t="array" ref="B26">IF(ISBLANK(A26),"",IF(A26="PROREP (L)",VLOOKUP(LEFT($A26,6),'Data Feed (25C)'!$A$1:$G$10,2,FALSE),IF(A26="PROREP (S)", INDEX('Data Feed (25C)'!B:B, MATCH(LEFT($A26,6), 'Data Feed (25C)'!$A$1:$A$10, 0) + 1), VLOOKUP($A26,'Data Feed (25C)'!$A$1:$G$10,2,FALSE))))</f>
        <v>JKS240702ERIMON_25C_sample_1</v>
      </c>
      <c r="C26" s="6" t="str">
        <f t="array" ref="C26">IF(ISBLANK(A26),"",IF(A26="PROREP (L)",VLOOKUP(LEFT($A26,6),'Data Feed (25C)'!$A$1:$G$10,3,FALSE),IF(A26="PROREP (S)", INDEX('Data Feed (25C)'!C:C, MATCH(LEFT($A26,6), 'Data Feed (25C)'!$A$1:$A$10, 0) + 1, +1), VLOOKUP($A26,'Data Feed (25C)'!$A$1:$G$10,3,FALSE))))</f>
        <v>Erica monsoniana</v>
      </c>
      <c r="D26" s="6" t="str">
        <f t="array" ref="D26">IF(ISBLANK(A26),"",IF(A26="PROREP (L)",VLOOKUP(LEFT($A26,6),'Data Feed (25C)'!$A$1:$G$10,4,FALSE),IF(A26="PROREP (S)", INDEX('Data Feed (25C)'!D:D, MATCH(LEFT($A26,6), 'Data Feed (25C)'!$A$1:$A$10, 0) + 1, +1), VLOOKUP($A26,'Data Feed (25C)'!$A$1:$G$10,4,FALSE))))</f>
        <v>25C</v>
      </c>
      <c r="E26" s="6">
        <f t="array" ref="E26">IF(ISBLANK(A26),"",IF(A26="PROREP (L)",VLOOKUP(LEFT($A26,6),'Data Feed (25C)'!$A$1:$G$10,7,FALSE),IF(A26="PROREP (S)", INDEX('Data Feed (25C)'!G:G, MATCH(LEFT($A26,6), 'Data Feed (25C)'!$A$1:$A$10, 0) + 1, +1), VLOOKUP($A26,'Data Feed (25C)'!$A$1:$G$10,7,FALSE))))</f>
        <v>1</v>
      </c>
      <c r="F26" s="7">
        <v>45477.618055555555</v>
      </c>
      <c r="G26" s="8">
        <v>1.01</v>
      </c>
    </row>
    <row r="27">
      <c r="A27" s="9" t="str">
        <f t="shared" ref="A27:A31" si="30">A26</f>
        <v>ERIMON</v>
      </c>
      <c r="B27" s="9" t="str">
        <f>IF(ISBLANK(A26),"",LEFT(B26,27)&amp;VALUE(RIGHT(B26,1)+1))</f>
        <v>JKS240702ERIMON_25C_sample_2</v>
      </c>
      <c r="C27" s="6" t="str">
        <f t="shared" ref="C27:D27" si="29">C26</f>
        <v>Erica monsoniana</v>
      </c>
      <c r="D27" s="6" t="str">
        <f t="shared" si="29"/>
        <v>25C</v>
      </c>
      <c r="E27" s="10">
        <f>IF(ISBLANK(A26),"",E26+1)</f>
        <v>2</v>
      </c>
      <c r="F27" s="11">
        <f t="shared" ref="F27:F31" si="32">F26</f>
        <v>45477.61806</v>
      </c>
      <c r="G27" s="8"/>
    </row>
    <row r="28">
      <c r="A28" s="9" t="str">
        <f t="shared" si="30"/>
        <v>ERIMON</v>
      </c>
      <c r="B28" s="9" t="str">
        <f>IF(ISBLANK(A26),"",LEFT(B27,27)&amp;VALUE(RIGHT(B27,1)+1))</f>
        <v>JKS240702ERIMON_25C_sample_3</v>
      </c>
      <c r="C28" s="6" t="str">
        <f t="shared" ref="C28:D28" si="31">C27</f>
        <v>Erica monsoniana</v>
      </c>
      <c r="D28" s="6" t="str">
        <f t="shared" si="31"/>
        <v>25C</v>
      </c>
      <c r="E28" s="10">
        <f>IF(ISBLANK(A26),"",E27+1)</f>
        <v>3</v>
      </c>
      <c r="F28" s="11">
        <f t="shared" si="32"/>
        <v>45477.61806</v>
      </c>
      <c r="G28" s="8">
        <v>1.42</v>
      </c>
    </row>
    <row r="29">
      <c r="A29" s="9" t="str">
        <f t="shared" si="30"/>
        <v>ERIMON</v>
      </c>
      <c r="B29" s="9" t="str">
        <f>IF(ISBLANK(A26),"",LEFT(B28,27)&amp;VALUE(RIGHT(B28,1)+1))</f>
        <v>JKS240702ERIMON_25C_sample_4</v>
      </c>
      <c r="C29" s="6" t="str">
        <f t="shared" ref="C29:D29" si="33">C28</f>
        <v>Erica monsoniana</v>
      </c>
      <c r="D29" s="6" t="str">
        <f t="shared" si="33"/>
        <v>25C</v>
      </c>
      <c r="E29" s="10">
        <f>IF(ISBLANK(A26),"",E28+1)</f>
        <v>4</v>
      </c>
      <c r="F29" s="11">
        <f t="shared" si="32"/>
        <v>45477.61806</v>
      </c>
      <c r="G29" s="8">
        <v>2.82</v>
      </c>
    </row>
    <row r="30">
      <c r="A30" s="9" t="str">
        <f t="shared" si="30"/>
        <v>ERIMON</v>
      </c>
      <c r="B30" s="9" t="str">
        <f>IF(ISBLANK(A26),"",LEFT(B29,27)&amp;VALUE(RIGHT(B29,1)+1))</f>
        <v>JKS240702ERIMON_25C_sample_5</v>
      </c>
      <c r="C30" s="6" t="str">
        <f t="shared" ref="C30:D30" si="34">C29</f>
        <v>Erica monsoniana</v>
      </c>
      <c r="D30" s="6" t="str">
        <f t="shared" si="34"/>
        <v>25C</v>
      </c>
      <c r="E30" s="10">
        <f>IF(ISBLANK(A26),"",E29+1)</f>
        <v>5</v>
      </c>
      <c r="F30" s="11">
        <f t="shared" si="32"/>
        <v>45477.61806</v>
      </c>
      <c r="G30" s="8">
        <v>2.04</v>
      </c>
    </row>
    <row r="31">
      <c r="A31" s="12" t="str">
        <f t="shared" si="30"/>
        <v>ERIMON</v>
      </c>
      <c r="B31" s="12" t="str">
        <f>IF(ISBLANK(A26),"",LEFT(B30,27)&amp;VALUE(RIGHT(B30,1)+1))</f>
        <v>JKS240702ERIMON_25C_sample_6</v>
      </c>
      <c r="C31" s="13" t="str">
        <f t="shared" ref="C31:D31" si="35">C30</f>
        <v>Erica monsoniana</v>
      </c>
      <c r="D31" s="13" t="str">
        <f t="shared" si="35"/>
        <v>25C</v>
      </c>
      <c r="E31" s="14">
        <f>IF(ISBLANK(A26),"",E30+1)</f>
        <v>6</v>
      </c>
      <c r="F31" s="15">
        <f t="shared" si="32"/>
        <v>45477.61806</v>
      </c>
      <c r="G31" s="16">
        <v>5.42</v>
      </c>
    </row>
    <row r="32">
      <c r="A32" s="5" t="s">
        <v>8</v>
      </c>
      <c r="B32" s="6" t="str">
        <f t="array" ref="B32">IF(ISBLANK(A32),"",IF(A32="PROREP (L)",VLOOKUP(LEFT($A32,6),'Data Feed (25C)'!$A$1:$G$10,2,FALSE),IF(A32="PROREP (S)", INDEX('Data Feed (25C)'!B:B, MATCH(LEFT($A32,6), 'Data Feed (25C)'!$A$1:$A$10, 0) + 1), VLOOKUP($A32,'Data Feed (25C)'!$A$1:$G$10,2,FALSE))))</f>
        <v>JKL240702PROREP_25C_sample_1</v>
      </c>
      <c r="C32" s="6" t="str">
        <f t="array" ref="C32">IF(ISBLANK(A32),"",IF(A32="PROREP (L)",VLOOKUP(LEFT($A32,6),'Data Feed (25C)'!$A$1:$G$10,3,FALSE),IF(A32="PROREP (S)", INDEX('Data Feed (25C)'!C:C, MATCH(LEFT($A32,6), 'Data Feed (25C)'!$A$1:$A$10, 0) + 1, +1), VLOOKUP($A32,'Data Feed (25C)'!$A$1:$G$10,3,FALSE))))</f>
        <v>Protea repens</v>
      </c>
      <c r="D32" s="6" t="str">
        <f t="array" ref="D32">IF(ISBLANK(A32),"",IF(A32="PROREP (L)",VLOOKUP(LEFT($A32,6),'Data Feed (25C)'!$A$1:$G$10,4,FALSE),IF(A32="PROREP (S)", INDEX('Data Feed (25C)'!D:D, MATCH(LEFT($A32,6), 'Data Feed (25C)'!$A$1:$A$10, 0) + 1, +1), VLOOKUP($A32,'Data Feed (25C)'!$A$1:$G$10,4,FALSE))))</f>
        <v>25C</v>
      </c>
      <c r="E32" s="6">
        <f t="array" ref="E32">IF(ISBLANK(A32),"",IF(A32="PROREP (L)",VLOOKUP(LEFT($A32,6),'Data Feed (25C)'!$A$1:$G$10,7,FALSE),IF(A32="PROREP (S)", INDEX('Data Feed (25C)'!G:G, MATCH(LEFT($A32,6), 'Data Feed (25C)'!$A$1:$A$10, 0) + 1, +1), VLOOKUP($A32,'Data Feed (25C)'!$A$1:$G$10,7,FALSE))))</f>
        <v>1</v>
      </c>
      <c r="F32" s="7">
        <v>45477.61944444444</v>
      </c>
      <c r="G32" s="8">
        <v>0.41</v>
      </c>
    </row>
    <row r="33">
      <c r="A33" s="9" t="str">
        <f t="shared" ref="A33:A37" si="37">A32</f>
        <v>PROREP (L)</v>
      </c>
      <c r="B33" s="9" t="str">
        <f>IF(ISBLANK(A32),"",LEFT(B32,27)&amp;VALUE(RIGHT(B32,1)+1))</f>
        <v>JKL240702PROREP_25C_sample_2</v>
      </c>
      <c r="C33" s="6" t="str">
        <f t="shared" ref="C33:D33" si="36">C32</f>
        <v>Protea repens</v>
      </c>
      <c r="D33" s="6" t="str">
        <f t="shared" si="36"/>
        <v>25C</v>
      </c>
      <c r="E33" s="10">
        <f>IF(ISBLANK(A32),"",E32+1)</f>
        <v>2</v>
      </c>
      <c r="F33" s="11">
        <f t="shared" ref="F33:F37" si="39">F32</f>
        <v>45477.61944</v>
      </c>
      <c r="G33" s="8">
        <v>0.56</v>
      </c>
    </row>
    <row r="34">
      <c r="A34" s="9" t="str">
        <f t="shared" si="37"/>
        <v>PROREP (L)</v>
      </c>
      <c r="B34" s="9" t="str">
        <f>IF(ISBLANK(A32),"",LEFT(B33,27)&amp;VALUE(RIGHT(B33,1)+1))</f>
        <v>JKL240702PROREP_25C_sample_3</v>
      </c>
      <c r="C34" s="6" t="str">
        <f t="shared" ref="C34:D34" si="38">C33</f>
        <v>Protea repens</v>
      </c>
      <c r="D34" s="6" t="str">
        <f t="shared" si="38"/>
        <v>25C</v>
      </c>
      <c r="E34" s="10">
        <f>IF(ISBLANK(A32),"",E33+1)</f>
        <v>3</v>
      </c>
      <c r="F34" s="11">
        <f t="shared" si="39"/>
        <v>45477.61944</v>
      </c>
      <c r="G34" s="8">
        <v>0.7</v>
      </c>
    </row>
    <row r="35">
      <c r="A35" s="9" t="str">
        <f t="shared" si="37"/>
        <v>PROREP (L)</v>
      </c>
      <c r="B35" s="9" t="str">
        <f>IF(ISBLANK(A32),"",LEFT(B34,27)&amp;VALUE(RIGHT(B34,1)+1))</f>
        <v>JKL240702PROREP_25C_sample_4</v>
      </c>
      <c r="C35" s="6" t="str">
        <f t="shared" ref="C35:D35" si="40">C34</f>
        <v>Protea repens</v>
      </c>
      <c r="D35" s="6" t="str">
        <f t="shared" si="40"/>
        <v>25C</v>
      </c>
      <c r="E35" s="10">
        <f>IF(ISBLANK(A32),"",E34+1)</f>
        <v>4</v>
      </c>
      <c r="F35" s="11">
        <f t="shared" si="39"/>
        <v>45477.61944</v>
      </c>
      <c r="G35" s="8">
        <v>0.48</v>
      </c>
    </row>
    <row r="36">
      <c r="A36" s="9" t="str">
        <f t="shared" si="37"/>
        <v>PROREP (L)</v>
      </c>
      <c r="B36" s="9" t="str">
        <f>IF(ISBLANK(A32),"",LEFT(B35,27)&amp;VALUE(RIGHT(B35,1)+1))</f>
        <v>JKL240702PROREP_25C_sample_5</v>
      </c>
      <c r="C36" s="6" t="str">
        <f t="shared" ref="C36:D36" si="41">C35</f>
        <v>Protea repens</v>
      </c>
      <c r="D36" s="6" t="str">
        <f t="shared" si="41"/>
        <v>25C</v>
      </c>
      <c r="E36" s="10">
        <f>IF(ISBLANK(A32),"",E35+1)</f>
        <v>5</v>
      </c>
      <c r="F36" s="11">
        <f t="shared" si="39"/>
        <v>45477.61944</v>
      </c>
      <c r="G36" s="8">
        <v>0.48</v>
      </c>
    </row>
    <row r="37">
      <c r="A37" s="12" t="str">
        <f t="shared" si="37"/>
        <v>PROREP (L)</v>
      </c>
      <c r="B37" s="12" t="str">
        <f>IF(ISBLANK(A32),"",LEFT(B36,27)&amp;VALUE(RIGHT(B36,1)+1))</f>
        <v>JKL240702PROREP_25C_sample_6</v>
      </c>
      <c r="C37" s="13" t="str">
        <f t="shared" ref="C37:D37" si="42">C36</f>
        <v>Protea repens</v>
      </c>
      <c r="D37" s="13" t="str">
        <f t="shared" si="42"/>
        <v>25C</v>
      </c>
      <c r="E37" s="14">
        <f>IF(ISBLANK(A32),"",E36+1)</f>
        <v>6</v>
      </c>
      <c r="F37" s="15">
        <f t="shared" si="39"/>
        <v>45477.61944</v>
      </c>
      <c r="G37" s="16">
        <v>0.55</v>
      </c>
    </row>
    <row r="38">
      <c r="A38" s="5" t="s">
        <v>7</v>
      </c>
      <c r="B38" s="6" t="str">
        <f t="array" ref="B38">IF(ISBLANK(A38),"",IF(A38="PROREP (L)",VLOOKUP(LEFT($A38,6),'Data Feed (25C)'!$A$1:$G$10,2,FALSE),IF(A38="PROREP (S)", INDEX('Data Feed (25C)'!B:B, MATCH(LEFT($A38,6), 'Data Feed (25C)'!$A$1:$A$10, 0) + 1), VLOOKUP($A38,'Data Feed (25C)'!$A$1:$G$10,2,FALSE))))</f>
        <v>JKS240702ERIMON_25C_sample_1</v>
      </c>
      <c r="C38" s="6" t="str">
        <f t="array" ref="C38">IF(ISBLANK(A38),"",IF(A38="PROREP (L)",VLOOKUP(LEFT($A38,6),'Data Feed (25C)'!$A$1:$G$10,3,FALSE),IF(A38="PROREP (S)", INDEX('Data Feed (25C)'!C:C, MATCH(LEFT($A38,6), 'Data Feed (25C)'!$A$1:$A$10, 0) + 1, +1), VLOOKUP($A38,'Data Feed (25C)'!$A$1:$G$10,3,FALSE))))</f>
        <v>Erica monsoniana</v>
      </c>
      <c r="D38" s="6" t="str">
        <f t="array" ref="D38">IF(ISBLANK(A38),"",IF(A38="PROREP (L)",VLOOKUP(LEFT($A38,6),'Data Feed (25C)'!$A$1:$G$10,4,FALSE),IF(A38="PROREP (S)", INDEX('Data Feed (25C)'!D:D, MATCH(LEFT($A38,6), 'Data Feed (25C)'!$A$1:$A$10, 0) + 1, +1), VLOOKUP($A38,'Data Feed (25C)'!$A$1:$G$10,4,FALSE))))</f>
        <v>25C</v>
      </c>
      <c r="E38" s="6">
        <f t="array" ref="E38">IF(ISBLANK(A38),"",IF(A38="PROREP (L)",VLOOKUP(LEFT($A38,6),'Data Feed (25C)'!$A$1:$G$10,7,FALSE),IF(A38="PROREP (S)", INDEX('Data Feed (25C)'!G:G, MATCH(LEFT($A38,6), 'Data Feed (25C)'!$A$1:$A$10, 0) + 1, +1), VLOOKUP($A38,'Data Feed (25C)'!$A$1:$G$10,7,FALSE))))</f>
        <v>1</v>
      </c>
      <c r="F38" s="7">
        <v>45477.6625</v>
      </c>
      <c r="G38" s="8">
        <v>0.96</v>
      </c>
    </row>
    <row r="39">
      <c r="A39" s="9" t="str">
        <f t="shared" ref="A39:A43" si="44">A38</f>
        <v>ERIMON</v>
      </c>
      <c r="B39" s="9" t="str">
        <f>IF(ISBLANK(A38),"",LEFT(B38,27)&amp;VALUE(RIGHT(B38,1)+1))</f>
        <v>JKS240702ERIMON_25C_sample_2</v>
      </c>
      <c r="C39" s="6" t="str">
        <f t="shared" ref="C39:D39" si="43">C38</f>
        <v>Erica monsoniana</v>
      </c>
      <c r="D39" s="6" t="str">
        <f t="shared" si="43"/>
        <v>25C</v>
      </c>
      <c r="E39" s="10">
        <f>IF(ISBLANK(A38),"",E38+1)</f>
        <v>2</v>
      </c>
      <c r="F39" s="11">
        <f t="shared" ref="F39:F43" si="46">F38</f>
        <v>45477.6625</v>
      </c>
      <c r="G39" s="8">
        <v>4.05</v>
      </c>
    </row>
    <row r="40">
      <c r="A40" s="9" t="str">
        <f t="shared" si="44"/>
        <v>ERIMON</v>
      </c>
      <c r="B40" s="9" t="str">
        <f>IF(ISBLANK(A38),"",LEFT(B39,27)&amp;VALUE(RIGHT(B39,1)+1))</f>
        <v>JKS240702ERIMON_25C_sample_3</v>
      </c>
      <c r="C40" s="6" t="str">
        <f t="shared" ref="C40:D40" si="45">C39</f>
        <v>Erica monsoniana</v>
      </c>
      <c r="D40" s="6" t="str">
        <f t="shared" si="45"/>
        <v>25C</v>
      </c>
      <c r="E40" s="10">
        <f>IF(ISBLANK(A38),"",E39+1)</f>
        <v>3</v>
      </c>
      <c r="F40" s="11">
        <f t="shared" si="46"/>
        <v>45477.6625</v>
      </c>
      <c r="G40" s="8">
        <v>1.37</v>
      </c>
    </row>
    <row r="41">
      <c r="A41" s="9" t="str">
        <f t="shared" si="44"/>
        <v>ERIMON</v>
      </c>
      <c r="B41" s="9" t="str">
        <f>IF(ISBLANK(A38),"",LEFT(B40,27)&amp;VALUE(RIGHT(B40,1)+1))</f>
        <v>JKS240702ERIMON_25C_sample_4</v>
      </c>
      <c r="C41" s="6" t="str">
        <f t="shared" ref="C41:D41" si="47">C40</f>
        <v>Erica monsoniana</v>
      </c>
      <c r="D41" s="6" t="str">
        <f t="shared" si="47"/>
        <v>25C</v>
      </c>
      <c r="E41" s="10">
        <f>IF(ISBLANK(A38),"",E40+1)</f>
        <v>4</v>
      </c>
      <c r="F41" s="11">
        <f t="shared" si="46"/>
        <v>45477.6625</v>
      </c>
      <c r="G41" s="8">
        <v>2.69</v>
      </c>
    </row>
    <row r="42">
      <c r="A42" s="9" t="str">
        <f t="shared" si="44"/>
        <v>ERIMON</v>
      </c>
      <c r="B42" s="9" t="str">
        <f>IF(ISBLANK(A38),"",LEFT(B41,27)&amp;VALUE(RIGHT(B41,1)+1))</f>
        <v>JKS240702ERIMON_25C_sample_5</v>
      </c>
      <c r="C42" s="6" t="str">
        <f t="shared" ref="C42:D42" si="48">C41</f>
        <v>Erica monsoniana</v>
      </c>
      <c r="D42" s="6" t="str">
        <f t="shared" si="48"/>
        <v>25C</v>
      </c>
      <c r="E42" s="10">
        <f>IF(ISBLANK(A38),"",E41+1)</f>
        <v>5</v>
      </c>
      <c r="F42" s="11">
        <f t="shared" si="46"/>
        <v>45477.6625</v>
      </c>
      <c r="G42" s="8">
        <v>1.95</v>
      </c>
    </row>
    <row r="43">
      <c r="A43" s="12" t="str">
        <f t="shared" si="44"/>
        <v>ERIMON</v>
      </c>
      <c r="B43" s="12" t="str">
        <f>IF(ISBLANK(A38),"",LEFT(B42,27)&amp;VALUE(RIGHT(B42,1)+1))</f>
        <v>JKS240702ERIMON_25C_sample_6</v>
      </c>
      <c r="C43" s="13" t="str">
        <f t="shared" ref="C43:D43" si="49">C42</f>
        <v>Erica monsoniana</v>
      </c>
      <c r="D43" s="13" t="str">
        <f t="shared" si="49"/>
        <v>25C</v>
      </c>
      <c r="E43" s="14">
        <f>IF(ISBLANK(A38),"",E42+1)</f>
        <v>6</v>
      </c>
      <c r="F43" s="15">
        <f t="shared" si="46"/>
        <v>45477.6625</v>
      </c>
      <c r="G43" s="16">
        <v>5.24</v>
      </c>
    </row>
    <row r="44">
      <c r="A44" s="5" t="s">
        <v>8</v>
      </c>
      <c r="B44" s="6" t="str">
        <f t="array" ref="B44">IF(ISBLANK(A44),"",IF(A44="PROREP (L)",VLOOKUP(LEFT($A44,6),'Data Feed (25C)'!$A$1:$G$10,2,FALSE),IF(A44="PROREP (S)", INDEX('Data Feed (25C)'!B:B, MATCH(LEFT($A44,6), 'Data Feed (25C)'!$A$1:$A$10, 0) + 1), VLOOKUP($A44,'Data Feed (25C)'!$A$1:$G$10,2,FALSE))))</f>
        <v>JKL240702PROREP_25C_sample_1</v>
      </c>
      <c r="C44" s="6" t="str">
        <f t="array" ref="C44">IF(ISBLANK(A44),"",IF(A44="PROREP (L)",VLOOKUP(LEFT($A44,6),'Data Feed (25C)'!$A$1:$G$10,3,FALSE),IF(A44="PROREP (S)", INDEX('Data Feed (25C)'!C:C, MATCH(LEFT($A44,6), 'Data Feed (25C)'!$A$1:$A$10, 0) + 1, +1), VLOOKUP($A44,'Data Feed (25C)'!$A$1:$G$10,3,FALSE))))</f>
        <v>Protea repens</v>
      </c>
      <c r="D44" s="6" t="str">
        <f t="array" ref="D44">IF(ISBLANK(A44),"",IF(A44="PROREP (L)",VLOOKUP(LEFT($A44,6),'Data Feed (25C)'!$A$1:$G$10,4,FALSE),IF(A44="PROREP (S)", INDEX('Data Feed (25C)'!D:D, MATCH(LEFT($A44,6), 'Data Feed (25C)'!$A$1:$A$10, 0) + 1, +1), VLOOKUP($A44,'Data Feed (25C)'!$A$1:$G$10,4,FALSE))))</f>
        <v>25C</v>
      </c>
      <c r="E44" s="6">
        <f t="array" ref="E44">IF(ISBLANK(A44),"",IF(A44="PROREP (L)",VLOOKUP(LEFT($A44,6),'Data Feed (25C)'!$A$1:$G$10,7,FALSE),IF(A44="PROREP (S)", INDEX('Data Feed (25C)'!G:G, MATCH(LEFT($A44,6), 'Data Feed (25C)'!$A$1:$A$10, 0) + 1, +1), VLOOKUP($A44,'Data Feed (25C)'!$A$1:$G$10,7,FALSE))))</f>
        <v>1</v>
      </c>
      <c r="F44" s="7">
        <v>45477.66388888889</v>
      </c>
      <c r="G44" s="8">
        <v>0.39</v>
      </c>
    </row>
    <row r="45">
      <c r="A45" s="9" t="str">
        <f t="shared" ref="A45:A49" si="51">A44</f>
        <v>PROREP (L)</v>
      </c>
      <c r="B45" s="9" t="str">
        <f>IF(ISBLANK(A44),"",LEFT(B44,27)&amp;VALUE(RIGHT(B44,1)+1))</f>
        <v>JKL240702PROREP_25C_sample_2</v>
      </c>
      <c r="C45" s="6" t="str">
        <f t="shared" ref="C45:D45" si="50">C44</f>
        <v>Protea repens</v>
      </c>
      <c r="D45" s="6" t="str">
        <f t="shared" si="50"/>
        <v>25C</v>
      </c>
      <c r="E45" s="10">
        <f>IF(ISBLANK(A44),"",E44+1)</f>
        <v>2</v>
      </c>
      <c r="F45" s="11">
        <f t="shared" ref="F45:F49" si="53">F44</f>
        <v>45477.66389</v>
      </c>
      <c r="G45" s="8">
        <v>0.56</v>
      </c>
    </row>
    <row r="46">
      <c r="A46" s="9" t="str">
        <f t="shared" si="51"/>
        <v>PROREP (L)</v>
      </c>
      <c r="B46" s="9" t="str">
        <f>IF(ISBLANK(A44),"",LEFT(B45,27)&amp;VALUE(RIGHT(B45,1)+1))</f>
        <v>JKL240702PROREP_25C_sample_3</v>
      </c>
      <c r="C46" s="6" t="str">
        <f t="shared" ref="C46:D46" si="52">C45</f>
        <v>Protea repens</v>
      </c>
      <c r="D46" s="6" t="str">
        <f t="shared" si="52"/>
        <v>25C</v>
      </c>
      <c r="E46" s="10">
        <f>IF(ISBLANK(A44),"",E45+1)</f>
        <v>3</v>
      </c>
      <c r="F46" s="11">
        <f t="shared" si="53"/>
        <v>45477.66389</v>
      </c>
      <c r="G46" s="8">
        <v>0.72</v>
      </c>
    </row>
    <row r="47">
      <c r="A47" s="9" t="str">
        <f t="shared" si="51"/>
        <v>PROREP (L)</v>
      </c>
      <c r="B47" s="9" t="str">
        <f>IF(ISBLANK(A44),"",LEFT(B46,27)&amp;VALUE(RIGHT(B46,1)+1))</f>
        <v>JKL240702PROREP_25C_sample_4</v>
      </c>
      <c r="C47" s="6" t="str">
        <f t="shared" ref="C47:D47" si="54">C46</f>
        <v>Protea repens</v>
      </c>
      <c r="D47" s="6" t="str">
        <f t="shared" si="54"/>
        <v>25C</v>
      </c>
      <c r="E47" s="10">
        <f>IF(ISBLANK(A44),"",E46+1)</f>
        <v>4</v>
      </c>
      <c r="F47" s="11">
        <f t="shared" si="53"/>
        <v>45477.66389</v>
      </c>
      <c r="G47" s="8">
        <v>0.49</v>
      </c>
    </row>
    <row r="48">
      <c r="A48" s="9" t="str">
        <f t="shared" si="51"/>
        <v>PROREP (L)</v>
      </c>
      <c r="B48" s="9" t="str">
        <f>IF(ISBLANK(A44),"",LEFT(B47,27)&amp;VALUE(RIGHT(B47,1)+1))</f>
        <v>JKL240702PROREP_25C_sample_5</v>
      </c>
      <c r="C48" s="6" t="str">
        <f t="shared" ref="C48:D48" si="55">C47</f>
        <v>Protea repens</v>
      </c>
      <c r="D48" s="6" t="str">
        <f t="shared" si="55"/>
        <v>25C</v>
      </c>
      <c r="E48" s="10">
        <f>IF(ISBLANK(A44),"",E47+1)</f>
        <v>5</v>
      </c>
      <c r="F48" s="11">
        <f t="shared" si="53"/>
        <v>45477.66389</v>
      </c>
      <c r="G48" s="8">
        <v>0.48</v>
      </c>
    </row>
    <row r="49">
      <c r="A49" s="12" t="str">
        <f t="shared" si="51"/>
        <v>PROREP (L)</v>
      </c>
      <c r="B49" s="12" t="str">
        <f>IF(ISBLANK(A44),"",LEFT(B48,27)&amp;VALUE(RIGHT(B48,1)+1))</f>
        <v>JKL240702PROREP_25C_sample_6</v>
      </c>
      <c r="C49" s="13" t="str">
        <f t="shared" ref="C49:D49" si="56">C48</f>
        <v>Protea repens</v>
      </c>
      <c r="D49" s="13" t="str">
        <f t="shared" si="56"/>
        <v>25C</v>
      </c>
      <c r="E49" s="14">
        <f>IF(ISBLANK(A44),"",E48+1)</f>
        <v>6</v>
      </c>
      <c r="F49" s="15">
        <f t="shared" si="53"/>
        <v>45477.66389</v>
      </c>
      <c r="G49" s="16">
        <v>0.51</v>
      </c>
    </row>
    <row r="50">
      <c r="A50" s="5" t="s">
        <v>9</v>
      </c>
      <c r="B50" s="6" t="str">
        <f t="array" ref="B50">IF(ISBLANK(A50),"",IF(A50="PROREP (L)",VLOOKUP(LEFT($A50,6),'Data Feed (25C)'!$A$1:$G$10,2,FALSE),IF(A50="PROREP (S)", INDEX('Data Feed (25C)'!B:B, MATCH(LEFT($A50,6), 'Data Feed (25C)'!$A$1:$A$10, 0) + 1), VLOOKUP($A50,'Data Feed (25C)'!$A$1:$G$10,2,FALSE))))</f>
        <v>JKS240702PROREP_25C_sample_1</v>
      </c>
      <c r="C50" s="6" t="str">
        <f t="array" ref="C50">IF(ISBLANK(A50),"",IF(A50="PROREP (L)",VLOOKUP(LEFT($A50,6),'Data Feed (25C)'!$A$1:$G$10,3,FALSE),IF(A50="PROREP (S)", INDEX('Data Feed (25C)'!C:C, MATCH(LEFT($A50,6), 'Data Feed (25C)'!$A$1:$A$10, 0) + 1, +1), VLOOKUP($A50,'Data Feed (25C)'!$A$1:$G$10,3,FALSE))))</f>
        <v>Protea repens</v>
      </c>
      <c r="D50" s="6" t="str">
        <f t="array" ref="D50">IF(ISBLANK(A50),"",IF(A50="PROREP (L)",VLOOKUP(LEFT($A50,6),'Data Feed (25C)'!$A$1:$G$10,4,FALSE),IF(A50="PROREP (S)", INDEX('Data Feed (25C)'!D:D, MATCH(LEFT($A50,6), 'Data Feed (25C)'!$A$1:$A$10, 0) + 1, +1), VLOOKUP($A50,'Data Feed (25C)'!$A$1:$G$10,4,FALSE))))</f>
        <v>25C</v>
      </c>
      <c r="E50" s="6">
        <f t="array" ref="E50">IF(ISBLANK(A50),"",IF(A50="PROREP (L)",VLOOKUP(LEFT($A50,6),'Data Feed (25C)'!$A$1:$G$10,7,FALSE),IF(A50="PROREP (S)", INDEX('Data Feed (25C)'!G:G, MATCH(LEFT($A50,6), 'Data Feed (25C)'!$A$1:$A$10, 0) + 1, +1), VLOOKUP($A50,'Data Feed (25C)'!$A$1:$G$10,7,FALSE))))</f>
        <v>1</v>
      </c>
      <c r="F50" s="7">
        <v>45477.66527777778</v>
      </c>
      <c r="G50" s="8">
        <v>12.46</v>
      </c>
    </row>
    <row r="51">
      <c r="A51" s="9" t="str">
        <f t="shared" ref="A51:A55" si="58">A50</f>
        <v>PROREP (S)</v>
      </c>
      <c r="B51" s="9" t="str">
        <f>IF(ISBLANK(A50),"",LEFT(B50,27)&amp;VALUE(RIGHT(B50,1)+1))</f>
        <v>JKS240702PROREP_25C_sample_2</v>
      </c>
      <c r="C51" s="6" t="str">
        <f t="shared" ref="C51:D51" si="57">C50</f>
        <v>Protea repens</v>
      </c>
      <c r="D51" s="6" t="str">
        <f t="shared" si="57"/>
        <v>25C</v>
      </c>
      <c r="E51" s="10">
        <f>IF(ISBLANK(A50),"",E50+1)</f>
        <v>2</v>
      </c>
      <c r="F51" s="11">
        <f t="shared" ref="F51:F55" si="60">F50</f>
        <v>45477.66528</v>
      </c>
      <c r="G51" s="8">
        <v>10.21</v>
      </c>
    </row>
    <row r="52">
      <c r="A52" s="9" t="str">
        <f t="shared" si="58"/>
        <v>PROREP (S)</v>
      </c>
      <c r="B52" s="9" t="str">
        <f>IF(ISBLANK(A50),"",LEFT(B51,27)&amp;VALUE(RIGHT(B51,1)+1))</f>
        <v>JKS240702PROREP_25C_sample_3</v>
      </c>
      <c r="C52" s="6" t="str">
        <f t="shared" ref="C52:D52" si="59">C51</f>
        <v>Protea repens</v>
      </c>
      <c r="D52" s="6" t="str">
        <f t="shared" si="59"/>
        <v>25C</v>
      </c>
      <c r="E52" s="10">
        <f>IF(ISBLANK(A50),"",E51+1)</f>
        <v>3</v>
      </c>
      <c r="F52" s="11">
        <f t="shared" si="60"/>
        <v>45477.66528</v>
      </c>
      <c r="G52" s="8">
        <v>10.21</v>
      </c>
    </row>
    <row r="53">
      <c r="A53" s="9" t="str">
        <f t="shared" si="58"/>
        <v>PROREP (S)</v>
      </c>
      <c r="B53" s="9" t="str">
        <f>IF(ISBLANK(A50),"",LEFT(B52,27)&amp;VALUE(RIGHT(B52,1)+1))</f>
        <v>JKS240702PROREP_25C_sample_4</v>
      </c>
      <c r="C53" s="6" t="str">
        <f t="shared" ref="C53:D53" si="61">C52</f>
        <v>Protea repens</v>
      </c>
      <c r="D53" s="6" t="str">
        <f t="shared" si="61"/>
        <v>25C</v>
      </c>
      <c r="E53" s="10">
        <f>IF(ISBLANK(A50),"",E52+1)</f>
        <v>4</v>
      </c>
      <c r="F53" s="11">
        <f t="shared" si="60"/>
        <v>45477.66528</v>
      </c>
      <c r="G53" s="8">
        <v>2.75</v>
      </c>
    </row>
    <row r="54">
      <c r="A54" s="9" t="str">
        <f t="shared" si="58"/>
        <v>PROREP (S)</v>
      </c>
      <c r="B54" s="9" t="str">
        <f>IF(ISBLANK(A50),"",LEFT(B53,27)&amp;VALUE(RIGHT(B53,1)+1))</f>
        <v>JKS240702PROREP_25C_sample_5</v>
      </c>
      <c r="C54" s="6" t="str">
        <f t="shared" ref="C54:D54" si="62">C53</f>
        <v>Protea repens</v>
      </c>
      <c r="D54" s="6" t="str">
        <f t="shared" si="62"/>
        <v>25C</v>
      </c>
      <c r="E54" s="10">
        <f>IF(ISBLANK(A50),"",E53+1)</f>
        <v>5</v>
      </c>
      <c r="F54" s="11">
        <f t="shared" si="60"/>
        <v>45477.66528</v>
      </c>
      <c r="G54" s="8">
        <v>10.66</v>
      </c>
    </row>
    <row r="55">
      <c r="A55" s="12" t="str">
        <f t="shared" si="58"/>
        <v>PROREP (S)</v>
      </c>
      <c r="B55" s="12" t="str">
        <f>IF(ISBLANK(A50),"",LEFT(B54,27)&amp;VALUE(RIGHT(B54,1)+1))</f>
        <v>JKS240702PROREP_25C_sample_6</v>
      </c>
      <c r="C55" s="13" t="str">
        <f t="shared" ref="C55:D55" si="63">C54</f>
        <v>Protea repens</v>
      </c>
      <c r="D55" s="13" t="str">
        <f t="shared" si="63"/>
        <v>25C</v>
      </c>
      <c r="E55" s="14">
        <f>IF(ISBLANK(A50),"",E54+1)</f>
        <v>6</v>
      </c>
      <c r="F55" s="15">
        <f t="shared" si="60"/>
        <v>45477.66528</v>
      </c>
      <c r="G55" s="16">
        <v>4.95</v>
      </c>
    </row>
    <row r="56">
      <c r="A56" s="5" t="s">
        <v>10</v>
      </c>
      <c r="B56" s="6" t="str">
        <f t="array" ref="B56">IF(ISBLANK(A56),"",IF(A56="PROREP (L)",VLOOKUP(LEFT($A56,6),'Data Feed (25C)'!$A$1:$G$10,2,FALSE),IF(A56="PROREP (S)", INDEX('Data Feed (25C)'!B:B, MATCH(LEFT($A56,6), 'Data Feed (25C)'!$A$1:$A$10, 0) + 1), VLOOKUP($A56,'Data Feed (25C)'!$A$1:$G$10,2,FALSE))))</f>
        <v>JKS240702CANCON_25C_sample_1</v>
      </c>
      <c r="C56" s="6" t="str">
        <f t="array" ref="C56">IF(ISBLANK(A56),"",IF(A56="PROREP (L)",VLOOKUP(LEFT($A56,6),'Data Feed (25C)'!$A$1:$G$10,3,FALSE),IF(A56="PROREP (S)", INDEX('Data Feed (25C)'!C:C, MATCH(LEFT($A56,6), 'Data Feed (25C)'!$A$1:$A$10, 0) + 1, +1), VLOOKUP($A56,'Data Feed (25C)'!$A$1:$G$10,3,FALSE))))</f>
        <v>Cannomois congesta</v>
      </c>
      <c r="D56" s="6" t="str">
        <f t="array" ref="D56">IF(ISBLANK(A56),"",IF(A56="PROREP (L)",VLOOKUP(LEFT($A56,6),'Data Feed (25C)'!$A$1:$G$10,4,FALSE),IF(A56="PROREP (S)", INDEX('Data Feed (25C)'!D:D, MATCH(LEFT($A56,6), 'Data Feed (25C)'!$A$1:$A$10, 0) + 1, +1), VLOOKUP($A56,'Data Feed (25C)'!$A$1:$G$10,4,FALSE))))</f>
        <v>25C</v>
      </c>
      <c r="E56" s="6">
        <f t="array" ref="E56">IF(ISBLANK(A56),"",IF(A56="PROREP (L)",VLOOKUP(LEFT($A56,6),'Data Feed (25C)'!$A$1:$G$10,7,FALSE),IF(A56="PROREP (S)", INDEX('Data Feed (25C)'!G:G, MATCH(LEFT($A56,6), 'Data Feed (25C)'!$A$1:$A$10, 0) + 1, +1), VLOOKUP($A56,'Data Feed (25C)'!$A$1:$G$10,7,FALSE))))</f>
        <v>1</v>
      </c>
      <c r="F56" s="7">
        <v>45477.72430555556</v>
      </c>
      <c r="G56" s="8">
        <v>0.94</v>
      </c>
    </row>
    <row r="57">
      <c r="A57" s="9" t="str">
        <f t="shared" ref="A57:A61" si="65">A56</f>
        <v>CANCON</v>
      </c>
      <c r="B57" s="9" t="str">
        <f>IF(ISBLANK(A56),"",LEFT(B56,27)&amp;VALUE(RIGHT(B56,1)+1))</f>
        <v>JKS240702CANCON_25C_sample_2</v>
      </c>
      <c r="C57" s="6" t="str">
        <f t="shared" ref="C57:D57" si="64">C56</f>
        <v>Cannomois congesta</v>
      </c>
      <c r="D57" s="6" t="str">
        <f t="shared" si="64"/>
        <v>25C</v>
      </c>
      <c r="E57" s="10">
        <f>IF(ISBLANK(A56),"",E56+1)</f>
        <v>2</v>
      </c>
      <c r="F57" s="11">
        <f t="shared" ref="F57:F61" si="67">F56</f>
        <v>45477.72431</v>
      </c>
      <c r="G57" s="8">
        <v>1.34</v>
      </c>
    </row>
    <row r="58">
      <c r="A58" s="9" t="str">
        <f t="shared" si="65"/>
        <v>CANCON</v>
      </c>
      <c r="B58" s="9" t="str">
        <f>IF(ISBLANK(A56),"",LEFT(B57,27)&amp;VALUE(RIGHT(B57,1)+1))</f>
        <v>JKS240702CANCON_25C_sample_3</v>
      </c>
      <c r="C58" s="6" t="str">
        <f t="shared" ref="C58:D58" si="66">C57</f>
        <v>Cannomois congesta</v>
      </c>
      <c r="D58" s="6" t="str">
        <f t="shared" si="66"/>
        <v>25C</v>
      </c>
      <c r="E58" s="10">
        <f>IF(ISBLANK(A56),"",E57+1)</f>
        <v>3</v>
      </c>
      <c r="F58" s="11">
        <f t="shared" si="67"/>
        <v>45477.72431</v>
      </c>
      <c r="G58" s="8">
        <v>2.37</v>
      </c>
    </row>
    <row r="59">
      <c r="A59" s="9" t="str">
        <f t="shared" si="65"/>
        <v>CANCON</v>
      </c>
      <c r="B59" s="9" t="str">
        <f>IF(ISBLANK(A56),"",LEFT(B58,27)&amp;VALUE(RIGHT(B58,1)+1))</f>
        <v>JKS240702CANCON_25C_sample_4</v>
      </c>
      <c r="C59" s="6" t="str">
        <f t="shared" ref="C59:D59" si="68">C58</f>
        <v>Cannomois congesta</v>
      </c>
      <c r="D59" s="6" t="str">
        <f t="shared" si="68"/>
        <v>25C</v>
      </c>
      <c r="E59" s="10">
        <f>IF(ISBLANK(A56),"",E58+1)</f>
        <v>4</v>
      </c>
      <c r="F59" s="11">
        <f t="shared" si="67"/>
        <v>45477.72431</v>
      </c>
      <c r="G59" s="8">
        <v>1.18</v>
      </c>
    </row>
    <row r="60">
      <c r="A60" s="9" t="str">
        <f t="shared" si="65"/>
        <v>CANCON</v>
      </c>
      <c r="B60" s="9" t="str">
        <f>IF(ISBLANK(A56),"",LEFT(B59,27)&amp;VALUE(RIGHT(B59,1)+1))</f>
        <v>JKS240702CANCON_25C_sample_5</v>
      </c>
      <c r="C60" s="6" t="str">
        <f t="shared" ref="C60:D60" si="69">C59</f>
        <v>Cannomois congesta</v>
      </c>
      <c r="D60" s="6" t="str">
        <f t="shared" si="69"/>
        <v>25C</v>
      </c>
      <c r="E60" s="10">
        <f>IF(ISBLANK(A56),"",E59+1)</f>
        <v>5</v>
      </c>
      <c r="F60" s="11">
        <f t="shared" si="67"/>
        <v>45477.72431</v>
      </c>
      <c r="G60" s="8">
        <v>3.45</v>
      </c>
    </row>
    <row r="61">
      <c r="A61" s="12" t="str">
        <f t="shared" si="65"/>
        <v>CANCON</v>
      </c>
      <c r="B61" s="12" t="str">
        <f>IF(ISBLANK(A56),"",LEFT(B60,27)&amp;VALUE(RIGHT(B60,1)+1))</f>
        <v>JKS240702CANCON_25C_sample_6</v>
      </c>
      <c r="C61" s="13" t="str">
        <f t="shared" ref="C61:D61" si="70">C60</f>
        <v>Cannomois congesta</v>
      </c>
      <c r="D61" s="13" t="str">
        <f t="shared" si="70"/>
        <v>25C</v>
      </c>
      <c r="E61" s="14">
        <f>IF(ISBLANK(A56),"",E60+1)</f>
        <v>6</v>
      </c>
      <c r="F61" s="15">
        <f t="shared" si="67"/>
        <v>45477.72431</v>
      </c>
      <c r="G61" s="16">
        <v>3.0</v>
      </c>
    </row>
    <row r="62">
      <c r="A62" s="5" t="s">
        <v>7</v>
      </c>
      <c r="B62" s="6" t="str">
        <f t="array" ref="B62">IF(ISBLANK(A62),"",IF(A62="PROREP (L)",VLOOKUP(LEFT($A62,6),'Data Feed (25C)'!$A$1:$G$10,2,FALSE),IF(A62="PROREP (S)", INDEX('Data Feed (25C)'!B:B, MATCH(LEFT($A62,6), 'Data Feed (25C)'!$A$1:$A$10, 0) + 1), VLOOKUP($A62,'Data Feed (25C)'!$A$1:$G$10,2,FALSE))))</f>
        <v>JKS240702ERIMON_25C_sample_1</v>
      </c>
      <c r="C62" s="6" t="str">
        <f t="array" ref="C62">IF(ISBLANK(A62),"",IF(A62="PROREP (L)",VLOOKUP(LEFT($A62,6),'Data Feed (25C)'!$A$1:$G$10,3,FALSE),IF(A62="PROREP (S)", INDEX('Data Feed (25C)'!C:C, MATCH(LEFT($A62,6), 'Data Feed (25C)'!$A$1:$A$10, 0) + 1, +1), VLOOKUP($A62,'Data Feed (25C)'!$A$1:$G$10,3,FALSE))))</f>
        <v>Erica monsoniana</v>
      </c>
      <c r="D62" s="6" t="str">
        <f t="array" ref="D62">IF(ISBLANK(A62),"",IF(A62="PROREP (L)",VLOOKUP(LEFT($A62,6),'Data Feed (25C)'!$A$1:$G$10,4,FALSE),IF(A62="PROREP (S)", INDEX('Data Feed (25C)'!D:D, MATCH(LEFT($A62,6), 'Data Feed (25C)'!$A$1:$A$10, 0) + 1, +1), VLOOKUP($A62,'Data Feed (25C)'!$A$1:$G$10,4,FALSE))))</f>
        <v>25C</v>
      </c>
      <c r="E62" s="6">
        <f t="array" ref="E62">IF(ISBLANK(A62),"",IF(A62="PROREP (L)",VLOOKUP(LEFT($A62,6),'Data Feed (25C)'!$A$1:$G$10,7,FALSE),IF(A62="PROREP (S)", INDEX('Data Feed (25C)'!G:G, MATCH(LEFT($A62,6), 'Data Feed (25C)'!$A$1:$A$10, 0) + 1, +1), VLOOKUP($A62,'Data Feed (25C)'!$A$1:$G$10,7,FALSE))))</f>
        <v>1</v>
      </c>
      <c r="F62" s="7">
        <v>45477.725694444445</v>
      </c>
      <c r="G62" s="8">
        <v>0.93</v>
      </c>
    </row>
    <row r="63">
      <c r="A63" s="9" t="str">
        <f t="shared" ref="A63:A67" si="72">A62</f>
        <v>ERIMON</v>
      </c>
      <c r="B63" s="9" t="str">
        <f>IF(ISBLANK(A62),"",LEFT(B62,27)&amp;VALUE(RIGHT(B62,1)+1))</f>
        <v>JKS240702ERIMON_25C_sample_2</v>
      </c>
      <c r="C63" s="6" t="str">
        <f t="shared" ref="C63:D63" si="71">C62</f>
        <v>Erica monsoniana</v>
      </c>
      <c r="D63" s="6" t="str">
        <f t="shared" si="71"/>
        <v>25C</v>
      </c>
      <c r="E63" s="10">
        <f>IF(ISBLANK(A62),"",E62+1)</f>
        <v>2</v>
      </c>
      <c r="F63" s="11">
        <f t="shared" ref="F63:F67" si="74">F62</f>
        <v>45477.72569</v>
      </c>
      <c r="G63" s="8">
        <v>3.84</v>
      </c>
    </row>
    <row r="64">
      <c r="A64" s="9" t="str">
        <f t="shared" si="72"/>
        <v>ERIMON</v>
      </c>
      <c r="B64" s="9" t="str">
        <f>IF(ISBLANK(A62),"",LEFT(B63,27)&amp;VALUE(RIGHT(B63,1)+1))</f>
        <v>JKS240702ERIMON_25C_sample_3</v>
      </c>
      <c r="C64" s="6" t="str">
        <f t="shared" ref="C64:D64" si="73">C63</f>
        <v>Erica monsoniana</v>
      </c>
      <c r="D64" s="6" t="str">
        <f t="shared" si="73"/>
        <v>25C</v>
      </c>
      <c r="E64" s="10">
        <f>IF(ISBLANK(A62),"",E63+1)</f>
        <v>3</v>
      </c>
      <c r="F64" s="11">
        <f t="shared" si="74"/>
        <v>45477.72569</v>
      </c>
      <c r="G64" s="8">
        <v>1.31</v>
      </c>
    </row>
    <row r="65">
      <c r="A65" s="9" t="str">
        <f t="shared" si="72"/>
        <v>ERIMON</v>
      </c>
      <c r="B65" s="9" t="str">
        <f>IF(ISBLANK(A62),"",LEFT(B64,27)&amp;VALUE(RIGHT(B64,1)+1))</f>
        <v>JKS240702ERIMON_25C_sample_4</v>
      </c>
      <c r="C65" s="6" t="str">
        <f t="shared" ref="C65:D65" si="75">C64</f>
        <v>Erica monsoniana</v>
      </c>
      <c r="D65" s="6" t="str">
        <f t="shared" si="75"/>
        <v>25C</v>
      </c>
      <c r="E65" s="10">
        <f>IF(ISBLANK(A62),"",E64+1)</f>
        <v>4</v>
      </c>
      <c r="F65" s="11">
        <f t="shared" si="74"/>
        <v>45477.72569</v>
      </c>
      <c r="G65" s="8">
        <v>2.6</v>
      </c>
    </row>
    <row r="66">
      <c r="A66" s="9" t="str">
        <f t="shared" si="72"/>
        <v>ERIMON</v>
      </c>
      <c r="B66" s="9" t="str">
        <f>IF(ISBLANK(A62),"",LEFT(B65,27)&amp;VALUE(RIGHT(B65,1)+1))</f>
        <v>JKS240702ERIMON_25C_sample_5</v>
      </c>
      <c r="C66" s="6" t="str">
        <f t="shared" ref="C66:D66" si="76">C65</f>
        <v>Erica monsoniana</v>
      </c>
      <c r="D66" s="6" t="str">
        <f t="shared" si="76"/>
        <v>25C</v>
      </c>
      <c r="E66" s="10">
        <f>IF(ISBLANK(A62),"",E65+1)</f>
        <v>5</v>
      </c>
      <c r="F66" s="11">
        <f t="shared" si="74"/>
        <v>45477.72569</v>
      </c>
      <c r="G66" s="8">
        <v>1.88</v>
      </c>
    </row>
    <row r="67">
      <c r="A67" s="12" t="str">
        <f t="shared" si="72"/>
        <v>ERIMON</v>
      </c>
      <c r="B67" s="12" t="str">
        <f>IF(ISBLANK(A62),"",LEFT(B66,27)&amp;VALUE(RIGHT(B66,1)+1))</f>
        <v>JKS240702ERIMON_25C_sample_6</v>
      </c>
      <c r="C67" s="13" t="str">
        <f t="shared" ref="C67:D67" si="77">C66</f>
        <v>Erica monsoniana</v>
      </c>
      <c r="D67" s="13" t="str">
        <f t="shared" si="77"/>
        <v>25C</v>
      </c>
      <c r="E67" s="14">
        <f>IF(ISBLANK(A62),"",E66+1)</f>
        <v>6</v>
      </c>
      <c r="F67" s="15">
        <f t="shared" si="74"/>
        <v>45477.72569</v>
      </c>
      <c r="G67" s="16">
        <v>5.08</v>
      </c>
    </row>
    <row r="68">
      <c r="A68" s="5" t="s">
        <v>8</v>
      </c>
      <c r="B68" s="6" t="str">
        <f t="array" ref="B68">IF(ISBLANK(A68),"",IF(A68="PROREP (L)",VLOOKUP(LEFT($A68,6),'Data Feed (25C)'!$A$1:$G$10,2,FALSE),IF(A68="PROREP (S)", INDEX('Data Feed (25C)'!B:B, MATCH(LEFT($A68,6), 'Data Feed (25C)'!$A$1:$A$10, 0) + 1), VLOOKUP($A68,'Data Feed (25C)'!$A$1:$G$10,2,FALSE))))</f>
        <v>JKL240702PROREP_25C_sample_1</v>
      </c>
      <c r="C68" s="6" t="str">
        <f t="array" ref="C68">IF(ISBLANK(A68),"",IF(A68="PROREP (L)",VLOOKUP(LEFT($A68,6),'Data Feed (25C)'!$A$1:$G$10,3,FALSE),IF(A68="PROREP (S)", INDEX('Data Feed (25C)'!C:C, MATCH(LEFT($A68,6), 'Data Feed (25C)'!$A$1:$A$10, 0) + 1, +1), VLOOKUP($A68,'Data Feed (25C)'!$A$1:$G$10,3,FALSE))))</f>
        <v>Protea repens</v>
      </c>
      <c r="D68" s="6" t="str">
        <f t="array" ref="D68">IF(ISBLANK(A68),"",IF(A68="PROREP (L)",VLOOKUP(LEFT($A68,6),'Data Feed (25C)'!$A$1:$G$10,4,FALSE),IF(A68="PROREP (S)", INDEX('Data Feed (25C)'!D:D, MATCH(LEFT($A68,6), 'Data Feed (25C)'!$A$1:$A$10, 0) + 1, +1), VLOOKUP($A68,'Data Feed (25C)'!$A$1:$G$10,4,FALSE))))</f>
        <v>25C</v>
      </c>
      <c r="E68" s="6">
        <f t="array" ref="E68">IF(ISBLANK(A68),"",IF(A68="PROREP (L)",VLOOKUP(LEFT($A68,6),'Data Feed (25C)'!$A$1:$G$10,7,FALSE),IF(A68="PROREP (S)", INDEX('Data Feed (25C)'!G:G, MATCH(LEFT($A68,6), 'Data Feed (25C)'!$A$1:$A$10, 0) + 1, +1), VLOOKUP($A68,'Data Feed (25C)'!$A$1:$G$10,7,FALSE))))</f>
        <v>1</v>
      </c>
      <c r="F68" s="7">
        <v>45477.72638888889</v>
      </c>
      <c r="G68" s="8">
        <v>0.42</v>
      </c>
    </row>
    <row r="69">
      <c r="A69" s="9" t="str">
        <f t="shared" ref="A69:A73" si="79">A68</f>
        <v>PROREP (L)</v>
      </c>
      <c r="B69" s="9" t="str">
        <f>IF(ISBLANK(A68),"",LEFT(B68,27)&amp;VALUE(RIGHT(B68,1)+1))</f>
        <v>JKL240702PROREP_25C_sample_2</v>
      </c>
      <c r="C69" s="6" t="str">
        <f t="shared" ref="C69:D69" si="78">C68</f>
        <v>Protea repens</v>
      </c>
      <c r="D69" s="6" t="str">
        <f t="shared" si="78"/>
        <v>25C</v>
      </c>
      <c r="E69" s="10">
        <f>IF(ISBLANK(A68),"",E68+1)</f>
        <v>2</v>
      </c>
      <c r="F69" s="11">
        <f t="shared" ref="F69:F73" si="81">F68</f>
        <v>45477.72639</v>
      </c>
      <c r="G69" s="8">
        <v>0.58</v>
      </c>
    </row>
    <row r="70">
      <c r="A70" s="9" t="str">
        <f t="shared" si="79"/>
        <v>PROREP (L)</v>
      </c>
      <c r="B70" s="9" t="str">
        <f>IF(ISBLANK(A68),"",LEFT(B69,27)&amp;VALUE(RIGHT(B69,1)+1))</f>
        <v>JKL240702PROREP_25C_sample_3</v>
      </c>
      <c r="C70" s="6" t="str">
        <f t="shared" ref="C70:D70" si="80">C69</f>
        <v>Protea repens</v>
      </c>
      <c r="D70" s="6" t="str">
        <f t="shared" si="80"/>
        <v>25C</v>
      </c>
      <c r="E70" s="10">
        <f>IF(ISBLANK(A68),"",E69+1)</f>
        <v>3</v>
      </c>
      <c r="F70" s="11">
        <f t="shared" si="81"/>
        <v>45477.72639</v>
      </c>
      <c r="G70" s="8">
        <v>0.71</v>
      </c>
    </row>
    <row r="71">
      <c r="A71" s="9" t="str">
        <f t="shared" si="79"/>
        <v>PROREP (L)</v>
      </c>
      <c r="B71" s="9" t="str">
        <f>IF(ISBLANK(A68),"",LEFT(B70,27)&amp;VALUE(RIGHT(B70,1)+1))</f>
        <v>JKL240702PROREP_25C_sample_4</v>
      </c>
      <c r="C71" s="6" t="str">
        <f t="shared" ref="C71:D71" si="82">C70</f>
        <v>Protea repens</v>
      </c>
      <c r="D71" s="6" t="str">
        <f t="shared" si="82"/>
        <v>25C</v>
      </c>
      <c r="E71" s="10">
        <f>IF(ISBLANK(A68),"",E70+1)</f>
        <v>4</v>
      </c>
      <c r="F71" s="11">
        <f t="shared" si="81"/>
        <v>45477.72639</v>
      </c>
      <c r="G71" s="8">
        <v>0.49</v>
      </c>
    </row>
    <row r="72">
      <c r="A72" s="9" t="str">
        <f t="shared" si="79"/>
        <v>PROREP (L)</v>
      </c>
      <c r="B72" s="9" t="str">
        <f>IF(ISBLANK(A68),"",LEFT(B71,27)&amp;VALUE(RIGHT(B71,1)+1))</f>
        <v>JKL240702PROREP_25C_sample_5</v>
      </c>
      <c r="C72" s="6" t="str">
        <f t="shared" ref="C72:D72" si="83">C71</f>
        <v>Protea repens</v>
      </c>
      <c r="D72" s="6" t="str">
        <f t="shared" si="83"/>
        <v>25C</v>
      </c>
      <c r="E72" s="10">
        <f>IF(ISBLANK(A68),"",E71+1)</f>
        <v>5</v>
      </c>
      <c r="F72" s="11">
        <f t="shared" si="81"/>
        <v>45477.72639</v>
      </c>
      <c r="G72" s="8">
        <v>0.47</v>
      </c>
    </row>
    <row r="73">
      <c r="A73" s="12" t="str">
        <f t="shared" si="79"/>
        <v>PROREP (L)</v>
      </c>
      <c r="B73" s="12" t="str">
        <f>IF(ISBLANK(A68),"",LEFT(B72,27)&amp;VALUE(RIGHT(B72,1)+1))</f>
        <v>JKL240702PROREP_25C_sample_6</v>
      </c>
      <c r="C73" s="13" t="str">
        <f t="shared" ref="C73:D73" si="84">C72</f>
        <v>Protea repens</v>
      </c>
      <c r="D73" s="13" t="str">
        <f t="shared" si="84"/>
        <v>25C</v>
      </c>
      <c r="E73" s="14">
        <f>IF(ISBLANK(A68),"",E72+1)</f>
        <v>6</v>
      </c>
      <c r="F73" s="15">
        <f t="shared" si="81"/>
        <v>45477.72639</v>
      </c>
      <c r="G73" s="16">
        <v>0.54</v>
      </c>
    </row>
    <row r="74">
      <c r="A74" s="5" t="s">
        <v>9</v>
      </c>
      <c r="B74" s="6" t="str">
        <f t="array" ref="B74">IF(ISBLANK(A74),"",IF(A74="PROREP (L)",VLOOKUP(LEFT($A74,6),'Data Feed (25C)'!$A$1:$G$10,2,FALSE),IF(A74="PROREP (S)", INDEX('Data Feed (25C)'!B:B, MATCH(LEFT($A74,6), 'Data Feed (25C)'!$A$1:$A$10, 0) + 1), VLOOKUP($A74,'Data Feed (25C)'!$A$1:$G$10,2,FALSE))))</f>
        <v>JKS240702PROREP_25C_sample_1</v>
      </c>
      <c r="C74" s="6" t="str">
        <f t="array" ref="C74">IF(ISBLANK(A74),"",IF(A74="PROREP (L)",VLOOKUP(LEFT($A74,6),'Data Feed (25C)'!$A$1:$G$10,3,FALSE),IF(A74="PROREP (S)", INDEX('Data Feed (25C)'!C:C, MATCH(LEFT($A74,6), 'Data Feed (25C)'!$A$1:$A$10, 0) + 1, +1), VLOOKUP($A74,'Data Feed (25C)'!$A$1:$G$10,3,FALSE))))</f>
        <v>Protea repens</v>
      </c>
      <c r="D74" s="6" t="str">
        <f t="array" ref="D74">IF(ISBLANK(A74),"",IF(A74="PROREP (L)",VLOOKUP(LEFT($A74,6),'Data Feed (25C)'!$A$1:$G$10,4,FALSE),IF(A74="PROREP (S)", INDEX('Data Feed (25C)'!D:D, MATCH(LEFT($A74,6), 'Data Feed (25C)'!$A$1:$A$10, 0) + 1, +1), VLOOKUP($A74,'Data Feed (25C)'!$A$1:$G$10,4,FALSE))))</f>
        <v>25C</v>
      </c>
      <c r="E74" s="6">
        <f t="array" ref="E74">IF(ISBLANK(A74),"",IF(A74="PROREP (L)",VLOOKUP(LEFT($A74,6),'Data Feed (25C)'!$A$1:$G$10,7,FALSE),IF(A74="PROREP (S)", INDEX('Data Feed (25C)'!G:G, MATCH(LEFT($A74,6), 'Data Feed (25C)'!$A$1:$A$10, 0) + 1, +1), VLOOKUP($A74,'Data Feed (25C)'!$A$1:$G$10,7,FALSE))))</f>
        <v>1</v>
      </c>
      <c r="F74" s="7">
        <v>45477.72777777778</v>
      </c>
      <c r="G74" s="8">
        <v>12.4</v>
      </c>
    </row>
    <row r="75">
      <c r="A75" s="9" t="str">
        <f t="shared" ref="A75:A79" si="86">A74</f>
        <v>PROREP (S)</v>
      </c>
      <c r="B75" s="9" t="str">
        <f>IF(ISBLANK(A74),"",LEFT(B74,27)&amp;VALUE(RIGHT(B74,1)+1))</f>
        <v>JKS240702PROREP_25C_sample_2</v>
      </c>
      <c r="C75" s="6" t="str">
        <f t="shared" ref="C75:D75" si="85">C74</f>
        <v>Protea repens</v>
      </c>
      <c r="D75" s="6" t="str">
        <f t="shared" si="85"/>
        <v>25C</v>
      </c>
      <c r="E75" s="10">
        <f>IF(ISBLANK(A74),"",E74+1)</f>
        <v>2</v>
      </c>
      <c r="F75" s="11">
        <f t="shared" ref="F75:F79" si="88">F74</f>
        <v>45477.72778</v>
      </c>
      <c r="G75" s="8">
        <v>10.16</v>
      </c>
    </row>
    <row r="76">
      <c r="A76" s="9" t="str">
        <f t="shared" si="86"/>
        <v>PROREP (S)</v>
      </c>
      <c r="B76" s="9" t="str">
        <f>IF(ISBLANK(A74),"",LEFT(B75,27)&amp;VALUE(RIGHT(B75,1)+1))</f>
        <v>JKS240702PROREP_25C_sample_3</v>
      </c>
      <c r="C76" s="6" t="str">
        <f t="shared" ref="C76:D76" si="87">C75</f>
        <v>Protea repens</v>
      </c>
      <c r="D76" s="6" t="str">
        <f t="shared" si="87"/>
        <v>25C</v>
      </c>
      <c r="E76" s="10">
        <f>IF(ISBLANK(A74),"",E75+1)</f>
        <v>3</v>
      </c>
      <c r="F76" s="11">
        <f t="shared" si="88"/>
        <v>45477.72778</v>
      </c>
      <c r="G76" s="8">
        <v>10.12</v>
      </c>
    </row>
    <row r="77">
      <c r="A77" s="9" t="str">
        <f t="shared" si="86"/>
        <v>PROREP (S)</v>
      </c>
      <c r="B77" s="9" t="str">
        <f>IF(ISBLANK(A74),"",LEFT(B76,27)&amp;VALUE(RIGHT(B76,1)+1))</f>
        <v>JKS240702PROREP_25C_sample_4</v>
      </c>
      <c r="C77" s="6" t="str">
        <f t="shared" ref="C77:D77" si="89">C76</f>
        <v>Protea repens</v>
      </c>
      <c r="D77" s="6" t="str">
        <f t="shared" si="89"/>
        <v>25C</v>
      </c>
      <c r="E77" s="10">
        <f>IF(ISBLANK(A74),"",E76+1)</f>
        <v>4</v>
      </c>
      <c r="F77" s="11">
        <f t="shared" si="88"/>
        <v>45477.72778</v>
      </c>
      <c r="G77" s="8">
        <v>2.71</v>
      </c>
    </row>
    <row r="78">
      <c r="A78" s="9" t="str">
        <f t="shared" si="86"/>
        <v>PROREP (S)</v>
      </c>
      <c r="B78" s="9" t="str">
        <f>IF(ISBLANK(A74),"",LEFT(B77,27)&amp;VALUE(RIGHT(B77,1)+1))</f>
        <v>JKS240702PROREP_25C_sample_5</v>
      </c>
      <c r="C78" s="6" t="str">
        <f t="shared" ref="C78:D78" si="90">C77</f>
        <v>Protea repens</v>
      </c>
      <c r="D78" s="6" t="str">
        <f t="shared" si="90"/>
        <v>25C</v>
      </c>
      <c r="E78" s="10">
        <f>IF(ISBLANK(A74),"",E77+1)</f>
        <v>5</v>
      </c>
      <c r="F78" s="11">
        <f t="shared" si="88"/>
        <v>45477.72778</v>
      </c>
      <c r="G78" s="8">
        <v>10.56</v>
      </c>
    </row>
    <row r="79">
      <c r="A79" s="12" t="str">
        <f t="shared" si="86"/>
        <v>PROREP (S)</v>
      </c>
      <c r="B79" s="12" t="str">
        <f>IF(ISBLANK(A74),"",LEFT(B78,27)&amp;VALUE(RIGHT(B78,1)+1))</f>
        <v>JKS240702PROREP_25C_sample_6</v>
      </c>
      <c r="C79" s="13" t="str">
        <f t="shared" ref="C79:D79" si="91">C78</f>
        <v>Protea repens</v>
      </c>
      <c r="D79" s="13" t="str">
        <f t="shared" si="91"/>
        <v>25C</v>
      </c>
      <c r="E79" s="14">
        <f>IF(ISBLANK(A74),"",E78+1)</f>
        <v>6</v>
      </c>
      <c r="F79" s="15">
        <f t="shared" si="88"/>
        <v>45477.72778</v>
      </c>
      <c r="G79" s="16">
        <v>4.93</v>
      </c>
    </row>
    <row r="80">
      <c r="A80" s="5" t="s">
        <v>7</v>
      </c>
      <c r="B80" s="6" t="str">
        <f t="array" ref="B80">IF(ISBLANK(A80),"",IF(A80="PROREP (L)",VLOOKUP(LEFT($A80,6),'Data Feed (25C)'!$A$1:$G$10,2,FALSE),IF(A80="PROREP (S)", INDEX('Data Feed (25C)'!B:B, MATCH(LEFT($A80,6), 'Data Feed (25C)'!$A$1:$A$10, 0) + 1), VLOOKUP($A80,'Data Feed (25C)'!$A$1:$G$10,2,FALSE))))</f>
        <v>JKS240702ERIMON_25C_sample_1</v>
      </c>
      <c r="C80" s="6" t="str">
        <f t="array" ref="C80">IF(ISBLANK(A80),"",IF(A80="PROREP (L)",VLOOKUP(LEFT($A80,6),'Data Feed (25C)'!$A$1:$G$10,3,FALSE),IF(A80="PROREP (S)", INDEX('Data Feed (25C)'!C:C, MATCH(LEFT($A80,6), 'Data Feed (25C)'!$A$1:$A$10, 0) + 1, +1), VLOOKUP($A80,'Data Feed (25C)'!$A$1:$G$10,3,FALSE))))</f>
        <v>Erica monsoniana</v>
      </c>
      <c r="D80" s="6" t="str">
        <f t="array" ref="D80">IF(ISBLANK(A80),"",IF(A80="PROREP (L)",VLOOKUP(LEFT($A80,6),'Data Feed (25C)'!$A$1:$G$10,4,FALSE),IF(A80="PROREP (S)", INDEX('Data Feed (25C)'!D:D, MATCH(LEFT($A80,6), 'Data Feed (25C)'!$A$1:$A$10, 0) + 1, +1), VLOOKUP($A80,'Data Feed (25C)'!$A$1:$G$10,4,FALSE))))</f>
        <v>25C</v>
      </c>
      <c r="E80" s="6">
        <f t="array" ref="E80">IF(ISBLANK(A80),"",IF(A80="PROREP (L)",VLOOKUP(LEFT($A80,6),'Data Feed (25C)'!$A$1:$G$10,7,FALSE),IF(A80="PROREP (S)", INDEX('Data Feed (25C)'!G:G, MATCH(LEFT($A80,6), 'Data Feed (25C)'!$A$1:$A$10, 0) + 1, +1), VLOOKUP($A80,'Data Feed (25C)'!$A$1:$G$10,7,FALSE))))</f>
        <v>1</v>
      </c>
      <c r="F80" s="7">
        <v>45477.756944444445</v>
      </c>
      <c r="G80" s="8">
        <v>0.88</v>
      </c>
    </row>
    <row r="81">
      <c r="A81" s="9" t="str">
        <f t="shared" ref="A81:A85" si="93">A80</f>
        <v>ERIMON</v>
      </c>
      <c r="B81" s="9" t="str">
        <f>IF(ISBLANK(A80),"",LEFT(B80,27)&amp;VALUE(RIGHT(B80,1)+1))</f>
        <v>JKS240702ERIMON_25C_sample_2</v>
      </c>
      <c r="C81" s="6" t="str">
        <f t="shared" ref="C81:D81" si="92">C80</f>
        <v>Erica monsoniana</v>
      </c>
      <c r="D81" s="6" t="str">
        <f t="shared" si="92"/>
        <v>25C</v>
      </c>
      <c r="E81" s="10">
        <f>IF(ISBLANK(A80),"",E80+1)</f>
        <v>2</v>
      </c>
      <c r="F81" s="11">
        <f t="shared" ref="F81:F85" si="95">F80</f>
        <v>45477.75694</v>
      </c>
      <c r="G81" s="8">
        <v>3.75</v>
      </c>
    </row>
    <row r="82">
      <c r="A82" s="9" t="str">
        <f t="shared" si="93"/>
        <v>ERIMON</v>
      </c>
      <c r="B82" s="9" t="str">
        <f>IF(ISBLANK(A80),"",LEFT(B81,27)&amp;VALUE(RIGHT(B81,1)+1))</f>
        <v>JKS240702ERIMON_25C_sample_3</v>
      </c>
      <c r="C82" s="6" t="str">
        <f t="shared" ref="C82:D82" si="94">C81</f>
        <v>Erica monsoniana</v>
      </c>
      <c r="D82" s="6" t="str">
        <f t="shared" si="94"/>
        <v>25C</v>
      </c>
      <c r="E82" s="10">
        <f>IF(ISBLANK(A80),"",E81+1)</f>
        <v>3</v>
      </c>
      <c r="F82" s="11">
        <f t="shared" si="95"/>
        <v>45477.75694</v>
      </c>
      <c r="G82" s="8">
        <v>1.29</v>
      </c>
    </row>
    <row r="83">
      <c r="A83" s="9" t="str">
        <f t="shared" si="93"/>
        <v>ERIMON</v>
      </c>
      <c r="B83" s="9" t="str">
        <f>IF(ISBLANK(A80),"",LEFT(B82,27)&amp;VALUE(RIGHT(B82,1)+1))</f>
        <v>JKS240702ERIMON_25C_sample_4</v>
      </c>
      <c r="C83" s="6" t="str">
        <f t="shared" ref="C83:D83" si="96">C82</f>
        <v>Erica monsoniana</v>
      </c>
      <c r="D83" s="6" t="str">
        <f t="shared" si="96"/>
        <v>25C</v>
      </c>
      <c r="E83" s="10">
        <f>IF(ISBLANK(A80),"",E82+1)</f>
        <v>4</v>
      </c>
      <c r="F83" s="11">
        <f t="shared" si="95"/>
        <v>45477.75694</v>
      </c>
      <c r="G83" s="8">
        <v>2.55</v>
      </c>
    </row>
    <row r="84">
      <c r="A84" s="9" t="str">
        <f t="shared" si="93"/>
        <v>ERIMON</v>
      </c>
      <c r="B84" s="9" t="str">
        <f>IF(ISBLANK(A80),"",LEFT(B83,27)&amp;VALUE(RIGHT(B83,1)+1))</f>
        <v>JKS240702ERIMON_25C_sample_5</v>
      </c>
      <c r="C84" s="6" t="str">
        <f t="shared" ref="C84:D84" si="97">C83</f>
        <v>Erica monsoniana</v>
      </c>
      <c r="D84" s="6" t="str">
        <f t="shared" si="97"/>
        <v>25C</v>
      </c>
      <c r="E84" s="10">
        <f>IF(ISBLANK(A80),"",E83+1)</f>
        <v>5</v>
      </c>
      <c r="F84" s="11">
        <f t="shared" si="95"/>
        <v>45477.75694</v>
      </c>
      <c r="G84" s="8">
        <v>1.82</v>
      </c>
    </row>
    <row r="85">
      <c r="A85" s="12" t="str">
        <f t="shared" si="93"/>
        <v>ERIMON</v>
      </c>
      <c r="B85" s="12" t="str">
        <f>IF(ISBLANK(A80),"",LEFT(B84,27)&amp;VALUE(RIGHT(B84,1)+1))</f>
        <v>JKS240702ERIMON_25C_sample_6</v>
      </c>
      <c r="C85" s="13" t="str">
        <f t="shared" ref="C85:D85" si="98">C84</f>
        <v>Erica monsoniana</v>
      </c>
      <c r="D85" s="13" t="str">
        <f t="shared" si="98"/>
        <v>25C</v>
      </c>
      <c r="E85" s="14">
        <f>IF(ISBLANK(A80),"",E84+1)</f>
        <v>6</v>
      </c>
      <c r="F85" s="15">
        <f t="shared" si="95"/>
        <v>45477.75694</v>
      </c>
      <c r="G85" s="16">
        <v>4.99</v>
      </c>
    </row>
    <row r="86">
      <c r="A86" s="5" t="s">
        <v>8</v>
      </c>
      <c r="B86" s="6" t="str">
        <f t="array" ref="B86">IF(ISBLANK(A86),"",IF(A86="PROREP (L)",VLOOKUP(LEFT($A86,6),'Data Feed (25C)'!$A$1:$G$10,2,FALSE),IF(A86="PROREP (S)", INDEX('Data Feed (25C)'!B:B, MATCH(LEFT($A86,6), 'Data Feed (25C)'!$A$1:$A$10, 0) + 1), VLOOKUP($A86,'Data Feed (25C)'!$A$1:$G$10,2,FALSE))))</f>
        <v>JKL240702PROREP_25C_sample_1</v>
      </c>
      <c r="C86" s="6" t="str">
        <f t="array" ref="C86">IF(ISBLANK(A86),"",IF(A86="PROREP (L)",VLOOKUP(LEFT($A86,6),'Data Feed (25C)'!$A$1:$G$10,3,FALSE),IF(A86="PROREP (S)", INDEX('Data Feed (25C)'!C:C, MATCH(LEFT($A86,6), 'Data Feed (25C)'!$A$1:$A$10, 0) + 1, +1), VLOOKUP($A86,'Data Feed (25C)'!$A$1:$G$10,3,FALSE))))</f>
        <v>Protea repens</v>
      </c>
      <c r="D86" s="6" t="str">
        <f t="array" ref="D86">IF(ISBLANK(A86),"",IF(A86="PROREP (L)",VLOOKUP(LEFT($A86,6),'Data Feed (25C)'!$A$1:$G$10,4,FALSE),IF(A86="PROREP (S)", INDEX('Data Feed (25C)'!D:D, MATCH(LEFT($A86,6), 'Data Feed (25C)'!$A$1:$A$10, 0) + 1, +1), VLOOKUP($A86,'Data Feed (25C)'!$A$1:$G$10,4,FALSE))))</f>
        <v>25C</v>
      </c>
      <c r="E86" s="6">
        <f t="array" ref="E86">IF(ISBLANK(A86),"",IF(A86="PROREP (L)",VLOOKUP(LEFT($A86,6),'Data Feed (25C)'!$A$1:$G$10,7,FALSE),IF(A86="PROREP (S)", INDEX('Data Feed (25C)'!G:G, MATCH(LEFT($A86,6), 'Data Feed (25C)'!$A$1:$A$10, 0) + 1, +1), VLOOKUP($A86,'Data Feed (25C)'!$A$1:$G$10,7,FALSE))))</f>
        <v>1</v>
      </c>
      <c r="F86" s="7">
        <v>45477.75833333333</v>
      </c>
      <c r="G86" s="8">
        <v>0.42</v>
      </c>
    </row>
    <row r="87">
      <c r="A87" s="9" t="str">
        <f t="shared" ref="A87:A91" si="100">A86</f>
        <v>PROREP (L)</v>
      </c>
      <c r="B87" s="9" t="str">
        <f>IF(ISBLANK(A86),"",LEFT(B86,27)&amp;VALUE(RIGHT(B86,1)+1))</f>
        <v>JKL240702PROREP_25C_sample_2</v>
      </c>
      <c r="C87" s="6" t="str">
        <f t="shared" ref="C87:D87" si="99">C86</f>
        <v>Protea repens</v>
      </c>
      <c r="D87" s="6" t="str">
        <f t="shared" si="99"/>
        <v>25C</v>
      </c>
      <c r="E87" s="10">
        <f>IF(ISBLANK(A86),"",E86+1)</f>
        <v>2</v>
      </c>
      <c r="F87" s="11">
        <f t="shared" ref="F87:F91" si="102">F86</f>
        <v>45477.75833</v>
      </c>
      <c r="G87" s="8">
        <v>0.59</v>
      </c>
    </row>
    <row r="88">
      <c r="A88" s="9" t="str">
        <f t="shared" si="100"/>
        <v>PROREP (L)</v>
      </c>
      <c r="B88" s="9" t="str">
        <f>IF(ISBLANK(A86),"",LEFT(B87,27)&amp;VALUE(RIGHT(B87,1)+1))</f>
        <v>JKL240702PROREP_25C_sample_3</v>
      </c>
      <c r="C88" s="6" t="str">
        <f t="shared" ref="C88:D88" si="101">C87</f>
        <v>Protea repens</v>
      </c>
      <c r="D88" s="6" t="str">
        <f t="shared" si="101"/>
        <v>25C</v>
      </c>
      <c r="E88" s="10">
        <f>IF(ISBLANK(A86),"",E87+1)</f>
        <v>3</v>
      </c>
      <c r="F88" s="11">
        <f t="shared" si="102"/>
        <v>45477.75833</v>
      </c>
      <c r="G88" s="8">
        <v>0.68</v>
      </c>
    </row>
    <row r="89">
      <c r="A89" s="9" t="str">
        <f t="shared" si="100"/>
        <v>PROREP (L)</v>
      </c>
      <c r="B89" s="9" t="str">
        <f>IF(ISBLANK(A86),"",LEFT(B88,27)&amp;VALUE(RIGHT(B88,1)+1))</f>
        <v>JKL240702PROREP_25C_sample_4</v>
      </c>
      <c r="C89" s="6" t="str">
        <f t="shared" ref="C89:D89" si="103">C88</f>
        <v>Protea repens</v>
      </c>
      <c r="D89" s="6" t="str">
        <f t="shared" si="103"/>
        <v>25C</v>
      </c>
      <c r="E89" s="10">
        <f>IF(ISBLANK(A86),"",E88+1)</f>
        <v>4</v>
      </c>
      <c r="F89" s="11">
        <f t="shared" si="102"/>
        <v>45477.75833</v>
      </c>
      <c r="G89" s="8">
        <v>0.51</v>
      </c>
    </row>
    <row r="90">
      <c r="A90" s="9" t="str">
        <f t="shared" si="100"/>
        <v>PROREP (L)</v>
      </c>
      <c r="B90" s="9" t="str">
        <f>IF(ISBLANK(A86),"",LEFT(B89,27)&amp;VALUE(RIGHT(B89,1)+1))</f>
        <v>JKL240702PROREP_25C_sample_5</v>
      </c>
      <c r="C90" s="6" t="str">
        <f t="shared" ref="C90:D90" si="104">C89</f>
        <v>Protea repens</v>
      </c>
      <c r="D90" s="6" t="str">
        <f t="shared" si="104"/>
        <v>25C</v>
      </c>
      <c r="E90" s="10">
        <f>IF(ISBLANK(A86),"",E89+1)</f>
        <v>5</v>
      </c>
      <c r="F90" s="11">
        <f t="shared" si="102"/>
        <v>45477.75833</v>
      </c>
      <c r="G90" s="8">
        <v>0.5</v>
      </c>
    </row>
    <row r="91">
      <c r="A91" s="12" t="str">
        <f t="shared" si="100"/>
        <v>PROREP (L)</v>
      </c>
      <c r="B91" s="12" t="str">
        <f>IF(ISBLANK(A86),"",LEFT(B90,27)&amp;VALUE(RIGHT(B90,1)+1))</f>
        <v>JKL240702PROREP_25C_sample_6</v>
      </c>
      <c r="C91" s="13" t="str">
        <f t="shared" ref="C91:D91" si="105">C90</f>
        <v>Protea repens</v>
      </c>
      <c r="D91" s="13" t="str">
        <f t="shared" si="105"/>
        <v>25C</v>
      </c>
      <c r="E91" s="14">
        <f>IF(ISBLANK(A86),"",E90+1)</f>
        <v>6</v>
      </c>
      <c r="F91" s="15">
        <f t="shared" si="102"/>
        <v>45477.75833</v>
      </c>
      <c r="G91" s="16">
        <v>0.58</v>
      </c>
    </row>
    <row r="92">
      <c r="A92" s="5" t="s">
        <v>9</v>
      </c>
      <c r="B92" s="6" t="str">
        <f t="array" ref="B92">IF(ISBLANK(A92),"",IF(A92="PROREP (L)",VLOOKUP(LEFT($A92,6),'Data Feed (25C)'!$A$1:$G$10,2,FALSE),IF(A92="PROREP (S)", INDEX('Data Feed (25C)'!B:B, MATCH(LEFT($A92,6), 'Data Feed (25C)'!$A$1:$A$10, 0) + 1), VLOOKUP($A92,'Data Feed (25C)'!$A$1:$G$10,2,FALSE))))</f>
        <v>JKS240702PROREP_25C_sample_1</v>
      </c>
      <c r="C92" s="6" t="str">
        <f t="array" ref="C92">IF(ISBLANK(A92),"",IF(A92="PROREP (L)",VLOOKUP(LEFT($A92,6),'Data Feed (25C)'!$A$1:$G$10,3,FALSE),IF(A92="PROREP (S)", INDEX('Data Feed (25C)'!C:C, MATCH(LEFT($A92,6), 'Data Feed (25C)'!$A$1:$A$10, 0) + 1, +1), VLOOKUP($A92,'Data Feed (25C)'!$A$1:$G$10,3,FALSE))))</f>
        <v>Protea repens</v>
      </c>
      <c r="D92" s="6" t="str">
        <f t="array" ref="D92">IF(ISBLANK(A92),"",IF(A92="PROREP (L)",VLOOKUP(LEFT($A92,6),'Data Feed (25C)'!$A$1:$G$10,4,FALSE),IF(A92="PROREP (S)", INDEX('Data Feed (25C)'!D:D, MATCH(LEFT($A92,6), 'Data Feed (25C)'!$A$1:$A$10, 0) + 1, +1), VLOOKUP($A92,'Data Feed (25C)'!$A$1:$G$10,4,FALSE))))</f>
        <v>25C</v>
      </c>
      <c r="E92" s="6">
        <f t="array" ref="E92">IF(ISBLANK(A92),"",IF(A92="PROREP (L)",VLOOKUP(LEFT($A92,6),'Data Feed (25C)'!$A$1:$G$10,7,FALSE),IF(A92="PROREP (S)", INDEX('Data Feed (25C)'!G:G, MATCH(LEFT($A92,6), 'Data Feed (25C)'!$A$1:$A$10, 0) + 1, +1), VLOOKUP($A92,'Data Feed (25C)'!$A$1:$G$10,7,FALSE))))</f>
        <v>1</v>
      </c>
      <c r="F92" s="7">
        <v>45477.759722222225</v>
      </c>
      <c r="G92" s="8">
        <v>12.33</v>
      </c>
    </row>
    <row r="93">
      <c r="A93" s="9" t="str">
        <f t="shared" ref="A93:A97" si="107">A92</f>
        <v>PROREP (S)</v>
      </c>
      <c r="B93" s="9" t="str">
        <f>IF(ISBLANK(A92),"",LEFT(B92,27)&amp;VALUE(RIGHT(B92,1)+1))</f>
        <v>JKS240702PROREP_25C_sample_2</v>
      </c>
      <c r="C93" s="6" t="str">
        <f t="shared" ref="C93:D93" si="106">C92</f>
        <v>Protea repens</v>
      </c>
      <c r="D93" s="6" t="str">
        <f t="shared" si="106"/>
        <v>25C</v>
      </c>
      <c r="E93" s="10">
        <f>IF(ISBLANK(A92),"",E92+1)</f>
        <v>2</v>
      </c>
      <c r="F93" s="11">
        <f t="shared" ref="F93:F97" si="109">F92</f>
        <v>45477.75972</v>
      </c>
      <c r="G93" s="8">
        <v>10.12</v>
      </c>
    </row>
    <row r="94">
      <c r="A94" s="9" t="str">
        <f t="shared" si="107"/>
        <v>PROREP (S)</v>
      </c>
      <c r="B94" s="9" t="str">
        <f>IF(ISBLANK(A92),"",LEFT(B93,27)&amp;VALUE(RIGHT(B93,1)+1))</f>
        <v>JKS240702PROREP_25C_sample_3</v>
      </c>
      <c r="C94" s="6" t="str">
        <f t="shared" ref="C94:D94" si="108">C93</f>
        <v>Protea repens</v>
      </c>
      <c r="D94" s="6" t="str">
        <f t="shared" si="108"/>
        <v>25C</v>
      </c>
      <c r="E94" s="10">
        <f>IF(ISBLANK(A92),"",E93+1)</f>
        <v>3</v>
      </c>
      <c r="F94" s="11">
        <f t="shared" si="109"/>
        <v>45477.75972</v>
      </c>
      <c r="G94" s="8">
        <v>10.03</v>
      </c>
    </row>
    <row r="95">
      <c r="A95" s="9" t="str">
        <f t="shared" si="107"/>
        <v>PROREP (S)</v>
      </c>
      <c r="B95" s="9" t="str">
        <f>IF(ISBLANK(A92),"",LEFT(B94,27)&amp;VALUE(RIGHT(B94,1)+1))</f>
        <v>JKS240702PROREP_25C_sample_4</v>
      </c>
      <c r="C95" s="6" t="str">
        <f t="shared" ref="C95:D95" si="110">C94</f>
        <v>Protea repens</v>
      </c>
      <c r="D95" s="6" t="str">
        <f t="shared" si="110"/>
        <v>25C</v>
      </c>
      <c r="E95" s="10">
        <f>IF(ISBLANK(A92),"",E94+1)</f>
        <v>4</v>
      </c>
      <c r="F95" s="11">
        <f t="shared" si="109"/>
        <v>45477.75972</v>
      </c>
      <c r="G95" s="8">
        <v>2.68</v>
      </c>
    </row>
    <row r="96">
      <c r="A96" s="9" t="str">
        <f t="shared" si="107"/>
        <v>PROREP (S)</v>
      </c>
      <c r="B96" s="9" t="str">
        <f>IF(ISBLANK(A92),"",LEFT(B95,27)&amp;VALUE(RIGHT(B95,1)+1))</f>
        <v>JKS240702PROREP_25C_sample_5</v>
      </c>
      <c r="C96" s="6" t="str">
        <f t="shared" ref="C96:D96" si="111">C95</f>
        <v>Protea repens</v>
      </c>
      <c r="D96" s="6" t="str">
        <f t="shared" si="111"/>
        <v>25C</v>
      </c>
      <c r="E96" s="10">
        <f>IF(ISBLANK(A92),"",E95+1)</f>
        <v>5</v>
      </c>
      <c r="F96" s="11">
        <f t="shared" si="109"/>
        <v>45477.75972</v>
      </c>
      <c r="G96" s="8">
        <v>10.53</v>
      </c>
    </row>
    <row r="97">
      <c r="A97" s="12" t="str">
        <f t="shared" si="107"/>
        <v>PROREP (S)</v>
      </c>
      <c r="B97" s="12" t="str">
        <f>IF(ISBLANK(A92),"",LEFT(B96,27)&amp;VALUE(RIGHT(B96,1)+1))</f>
        <v>JKS240702PROREP_25C_sample_6</v>
      </c>
      <c r="C97" s="13" t="str">
        <f t="shared" ref="C97:D97" si="112">C96</f>
        <v>Protea repens</v>
      </c>
      <c r="D97" s="13" t="str">
        <f t="shared" si="112"/>
        <v>25C</v>
      </c>
      <c r="E97" s="14">
        <f>IF(ISBLANK(A92),"",E96+1)</f>
        <v>6</v>
      </c>
      <c r="F97" s="15">
        <f t="shared" si="109"/>
        <v>45477.75972</v>
      </c>
      <c r="G97" s="16">
        <v>4.89</v>
      </c>
    </row>
    <row r="98">
      <c r="A98" s="5" t="s">
        <v>10</v>
      </c>
      <c r="B98" s="6" t="str">
        <f t="array" ref="B98">IF(ISBLANK(A98),"",IF(A98="PROREP (L)",VLOOKUP(LEFT($A98,6),'Data Feed (25C)'!$A$1:$G$10,2,FALSE),IF(A98="PROREP (S)", INDEX('Data Feed (25C)'!B:B, MATCH(LEFT($A98,6), 'Data Feed (25C)'!$A$1:$A$10, 0) + 1), VLOOKUP($A98,'Data Feed (25C)'!$A$1:$G$10,2,FALSE))))</f>
        <v>JKS240702CANCON_25C_sample_1</v>
      </c>
      <c r="C98" s="6" t="str">
        <f t="array" ref="C98">IF(ISBLANK(A98),"",IF(A98="PROREP (L)",VLOOKUP(LEFT($A98,6),'Data Feed (25C)'!$A$1:$G$10,3,FALSE),IF(A98="PROREP (S)", INDEX('Data Feed (25C)'!C:C, MATCH(LEFT($A98,6), 'Data Feed (25C)'!$A$1:$A$10, 0) + 1, +1), VLOOKUP($A98,'Data Feed (25C)'!$A$1:$G$10,3,FALSE))))</f>
        <v>Cannomois congesta</v>
      </c>
      <c r="D98" s="6" t="str">
        <f t="array" ref="D98">IF(ISBLANK(A98),"",IF(A98="PROREP (L)",VLOOKUP(LEFT($A98,6),'Data Feed (25C)'!$A$1:$G$10,4,FALSE),IF(A98="PROREP (S)", INDEX('Data Feed (25C)'!D:D, MATCH(LEFT($A98,6), 'Data Feed (25C)'!$A$1:$A$10, 0) + 1, +1), VLOOKUP($A98,'Data Feed (25C)'!$A$1:$G$10,4,FALSE))))</f>
        <v>25C</v>
      </c>
      <c r="E98" s="6">
        <f t="array" ref="E98">IF(ISBLANK(A98),"",IF(A98="PROREP (L)",VLOOKUP(LEFT($A98,6),'Data Feed (25C)'!$A$1:$G$10,7,FALSE),IF(A98="PROREP (S)", INDEX('Data Feed (25C)'!G:G, MATCH(LEFT($A98,6), 'Data Feed (25C)'!$A$1:$A$10, 0) + 1, +1), VLOOKUP($A98,'Data Feed (25C)'!$A$1:$G$10,7,FALSE))))</f>
        <v>1</v>
      </c>
      <c r="F98" s="7">
        <v>45477.760416666664</v>
      </c>
      <c r="G98" s="8">
        <v>0.89</v>
      </c>
    </row>
    <row r="99">
      <c r="A99" s="9" t="str">
        <f t="shared" ref="A99:A103" si="114">A98</f>
        <v>CANCON</v>
      </c>
      <c r="B99" s="9" t="str">
        <f>IF(ISBLANK(A98),"",LEFT(B98,27)&amp;VALUE(RIGHT(B98,1)+1))</f>
        <v>JKS240702CANCON_25C_sample_2</v>
      </c>
      <c r="C99" s="6" t="str">
        <f t="shared" ref="C99:D99" si="113">C98</f>
        <v>Cannomois congesta</v>
      </c>
      <c r="D99" s="6" t="str">
        <f t="shared" si="113"/>
        <v>25C</v>
      </c>
      <c r="E99" s="10">
        <f>IF(ISBLANK(A98),"",E98+1)</f>
        <v>2</v>
      </c>
      <c r="F99" s="11">
        <f t="shared" ref="F99:F103" si="116">F98</f>
        <v>45477.76042</v>
      </c>
      <c r="G99" s="8">
        <v>1.3</v>
      </c>
    </row>
    <row r="100">
      <c r="A100" s="9" t="str">
        <f t="shared" si="114"/>
        <v>CANCON</v>
      </c>
      <c r="B100" s="9" t="str">
        <f>IF(ISBLANK(A98),"",LEFT(B99,27)&amp;VALUE(RIGHT(B99,1)+1))</f>
        <v>JKS240702CANCON_25C_sample_3</v>
      </c>
      <c r="C100" s="6" t="str">
        <f t="shared" ref="C100:D100" si="115">C99</f>
        <v>Cannomois congesta</v>
      </c>
      <c r="D100" s="6" t="str">
        <f t="shared" si="115"/>
        <v>25C</v>
      </c>
      <c r="E100" s="10">
        <f>IF(ISBLANK(A98),"",E99+1)</f>
        <v>3</v>
      </c>
      <c r="F100" s="11">
        <f t="shared" si="116"/>
        <v>45477.76042</v>
      </c>
      <c r="G100" s="8">
        <v>2.31</v>
      </c>
    </row>
    <row r="101">
      <c r="A101" s="9" t="str">
        <f t="shared" si="114"/>
        <v>CANCON</v>
      </c>
      <c r="B101" s="9" t="str">
        <f>IF(ISBLANK(A98),"",LEFT(B100,27)&amp;VALUE(RIGHT(B100,1)+1))</f>
        <v>JKS240702CANCON_25C_sample_4</v>
      </c>
      <c r="C101" s="6" t="str">
        <f t="shared" ref="C101:D101" si="117">C100</f>
        <v>Cannomois congesta</v>
      </c>
      <c r="D101" s="6" t="str">
        <f t="shared" si="117"/>
        <v>25C</v>
      </c>
      <c r="E101" s="10">
        <f>IF(ISBLANK(A98),"",E100+1)</f>
        <v>4</v>
      </c>
      <c r="F101" s="11">
        <f t="shared" si="116"/>
        <v>45477.76042</v>
      </c>
      <c r="G101" s="8">
        <v>1.15</v>
      </c>
    </row>
    <row r="102">
      <c r="A102" s="9" t="str">
        <f t="shared" si="114"/>
        <v>CANCON</v>
      </c>
      <c r="B102" s="9" t="str">
        <f>IF(ISBLANK(A98),"",LEFT(B101,27)&amp;VALUE(RIGHT(B101,1)+1))</f>
        <v>JKS240702CANCON_25C_sample_5</v>
      </c>
      <c r="C102" s="6" t="str">
        <f t="shared" ref="C102:D102" si="118">C101</f>
        <v>Cannomois congesta</v>
      </c>
      <c r="D102" s="6" t="str">
        <f t="shared" si="118"/>
        <v>25C</v>
      </c>
      <c r="E102" s="10">
        <f>IF(ISBLANK(A98),"",E101+1)</f>
        <v>5</v>
      </c>
      <c r="F102" s="11">
        <f t="shared" si="116"/>
        <v>45477.76042</v>
      </c>
      <c r="G102" s="8">
        <v>3.38</v>
      </c>
    </row>
    <row r="103">
      <c r="A103" s="12" t="str">
        <f t="shared" si="114"/>
        <v>CANCON</v>
      </c>
      <c r="B103" s="12" t="str">
        <f>IF(ISBLANK(A98),"",LEFT(B102,27)&amp;VALUE(RIGHT(B102,1)+1))</f>
        <v>JKS240702CANCON_25C_sample_6</v>
      </c>
      <c r="C103" s="13" t="str">
        <f t="shared" ref="C103:D103" si="119">C102</f>
        <v>Cannomois congesta</v>
      </c>
      <c r="D103" s="13" t="str">
        <f t="shared" si="119"/>
        <v>25C</v>
      </c>
      <c r="E103" s="14">
        <f>IF(ISBLANK(A98),"",E102+1)</f>
        <v>6</v>
      </c>
      <c r="F103" s="15">
        <f t="shared" si="116"/>
        <v>45477.76042</v>
      </c>
      <c r="G103" s="16">
        <v>2.92</v>
      </c>
    </row>
    <row r="104">
      <c r="A104" s="5" t="s">
        <v>7</v>
      </c>
      <c r="B104" s="6" t="str">
        <f t="array" ref="B104">IF(ISBLANK(A104),"",IF(A104="PROREP (L)",VLOOKUP(LEFT($A104,6),'Data Feed (25C)'!$A$1:$G$10,2,FALSE),IF(A104="PROREP (S)", INDEX('Data Feed (25C)'!B:B, MATCH(LEFT($A104,6), 'Data Feed (25C)'!$A$1:$A$10, 0) + 1), VLOOKUP($A104,'Data Feed (25C)'!$A$1:$G$10,2,FALSE))))</f>
        <v>JKS240702ERIMON_25C_sample_1</v>
      </c>
      <c r="C104" s="6" t="str">
        <f t="array" ref="C104">IF(ISBLANK(A104),"",IF(A104="PROREP (L)",VLOOKUP(LEFT($A104,6),'Data Feed (25C)'!$A$1:$G$10,3,FALSE),IF(A104="PROREP (S)", INDEX('Data Feed (25C)'!C:C, MATCH(LEFT($A104,6), 'Data Feed (25C)'!$A$1:$A$10, 0) + 1, +1), VLOOKUP($A104,'Data Feed (25C)'!$A$1:$G$10,3,FALSE))))</f>
        <v>Erica monsoniana</v>
      </c>
      <c r="D104" s="6" t="str">
        <f t="array" ref="D104">IF(ISBLANK(A104),"",IF(A104="PROREP (L)",VLOOKUP(LEFT($A104,6),'Data Feed (25C)'!$A$1:$G$10,4,FALSE),IF(A104="PROREP (S)", INDEX('Data Feed (25C)'!D:D, MATCH(LEFT($A104,6), 'Data Feed (25C)'!$A$1:$A$10, 0) + 1, +1), VLOOKUP($A104,'Data Feed (25C)'!$A$1:$G$10,4,FALSE))))</f>
        <v>25C</v>
      </c>
      <c r="E104" s="6">
        <f t="array" ref="E104">IF(ISBLANK(A104),"",IF(A104="PROREP (L)",VLOOKUP(LEFT($A104,6),'Data Feed (25C)'!$A$1:$G$10,7,FALSE),IF(A104="PROREP (S)", INDEX('Data Feed (25C)'!G:G, MATCH(LEFT($A104,6), 'Data Feed (25C)'!$A$1:$A$10, 0) + 1, +1), VLOOKUP($A104,'Data Feed (25C)'!$A$1:$G$10,7,FALSE))))</f>
        <v>1</v>
      </c>
      <c r="F104" s="7">
        <v>45477.79861111111</v>
      </c>
      <c r="G104" s="8">
        <v>0.83</v>
      </c>
    </row>
    <row r="105">
      <c r="A105" s="9" t="str">
        <f t="shared" ref="A105:A109" si="121">A104</f>
        <v>ERIMON</v>
      </c>
      <c r="B105" s="9" t="str">
        <f>IF(ISBLANK(A104),"",LEFT(B104,27)&amp;VALUE(RIGHT(B104,1)+1))</f>
        <v>JKS240702ERIMON_25C_sample_2</v>
      </c>
      <c r="C105" s="6" t="str">
        <f t="shared" ref="C105:D105" si="120">C104</f>
        <v>Erica monsoniana</v>
      </c>
      <c r="D105" s="6" t="str">
        <f t="shared" si="120"/>
        <v>25C</v>
      </c>
      <c r="E105" s="10">
        <f>IF(ISBLANK(A104),"",E104+1)</f>
        <v>2</v>
      </c>
      <c r="F105" s="11">
        <f t="shared" ref="F105:F109" si="123">F104</f>
        <v>45477.79861</v>
      </c>
      <c r="G105" s="8">
        <v>3.54</v>
      </c>
    </row>
    <row r="106">
      <c r="A106" s="9" t="str">
        <f t="shared" si="121"/>
        <v>ERIMON</v>
      </c>
      <c r="B106" s="9" t="str">
        <f>IF(ISBLANK(A104),"",LEFT(B105,27)&amp;VALUE(RIGHT(B105,1)+1))</f>
        <v>JKS240702ERIMON_25C_sample_3</v>
      </c>
      <c r="C106" s="6" t="str">
        <f t="shared" ref="C106:D106" si="122">C105</f>
        <v>Erica monsoniana</v>
      </c>
      <c r="D106" s="6" t="str">
        <f t="shared" si="122"/>
        <v>25C</v>
      </c>
      <c r="E106" s="10">
        <f>IF(ISBLANK(A104),"",E105+1)</f>
        <v>3</v>
      </c>
      <c r="F106" s="11">
        <f t="shared" si="123"/>
        <v>45477.79861</v>
      </c>
      <c r="G106" s="8">
        <v>1.22</v>
      </c>
    </row>
    <row r="107">
      <c r="A107" s="9" t="str">
        <f t="shared" si="121"/>
        <v>ERIMON</v>
      </c>
      <c r="B107" s="9" t="str">
        <f>IF(ISBLANK(A104),"",LEFT(B106,27)&amp;VALUE(RIGHT(B106,1)+1))</f>
        <v>JKS240702ERIMON_25C_sample_4</v>
      </c>
      <c r="C107" s="6" t="str">
        <f t="shared" ref="C107:D107" si="124">C106</f>
        <v>Erica monsoniana</v>
      </c>
      <c r="D107" s="6" t="str">
        <f t="shared" si="124"/>
        <v>25C</v>
      </c>
      <c r="E107" s="10">
        <f>IF(ISBLANK(A104),"",E106+1)</f>
        <v>4</v>
      </c>
      <c r="F107" s="11">
        <f t="shared" si="123"/>
        <v>45477.79861</v>
      </c>
      <c r="G107" s="8">
        <v>2.43</v>
      </c>
    </row>
    <row r="108">
      <c r="A108" s="9" t="str">
        <f t="shared" si="121"/>
        <v>ERIMON</v>
      </c>
      <c r="B108" s="9" t="str">
        <f>IF(ISBLANK(A104),"",LEFT(B107,27)&amp;VALUE(RIGHT(B107,1)+1))</f>
        <v>JKS240702ERIMON_25C_sample_5</v>
      </c>
      <c r="C108" s="6" t="str">
        <f t="shared" ref="C108:D108" si="125">C107</f>
        <v>Erica monsoniana</v>
      </c>
      <c r="D108" s="6" t="str">
        <f t="shared" si="125"/>
        <v>25C</v>
      </c>
      <c r="E108" s="10">
        <f>IF(ISBLANK(A104),"",E107+1)</f>
        <v>5</v>
      </c>
      <c r="F108" s="11">
        <f t="shared" si="123"/>
        <v>45477.79861</v>
      </c>
      <c r="G108" s="8">
        <v>1.76</v>
      </c>
    </row>
    <row r="109">
      <c r="A109" s="12" t="str">
        <f t="shared" si="121"/>
        <v>ERIMON</v>
      </c>
      <c r="B109" s="12" t="str">
        <f>IF(ISBLANK(A104),"",LEFT(B108,27)&amp;VALUE(RIGHT(B108,1)+1))</f>
        <v>JKS240702ERIMON_25C_sample_6</v>
      </c>
      <c r="C109" s="13" t="str">
        <f t="shared" ref="C109:D109" si="126">C108</f>
        <v>Erica monsoniana</v>
      </c>
      <c r="D109" s="13" t="str">
        <f t="shared" si="126"/>
        <v>25C</v>
      </c>
      <c r="E109" s="14">
        <f>IF(ISBLANK(A104),"",E108+1)</f>
        <v>6</v>
      </c>
      <c r="F109" s="15">
        <f t="shared" si="123"/>
        <v>45477.79861</v>
      </c>
      <c r="G109" s="16">
        <v>4.84</v>
      </c>
    </row>
    <row r="110">
      <c r="A110" s="5" t="s">
        <v>8</v>
      </c>
      <c r="B110" s="6" t="str">
        <f t="array" ref="B110">IF(ISBLANK(A110),"",IF(A110="PROREP (L)",VLOOKUP(LEFT($A110,6),'Data Feed (25C)'!$A$1:$G$10,2,FALSE),IF(A110="PROREP (S)", INDEX('Data Feed (25C)'!B:B, MATCH(LEFT($A110,6), 'Data Feed (25C)'!$A$1:$A$10, 0) + 1), VLOOKUP($A110,'Data Feed (25C)'!$A$1:$G$10,2,FALSE))))</f>
        <v>JKL240702PROREP_25C_sample_1</v>
      </c>
      <c r="C110" s="6" t="str">
        <f t="array" ref="C110">IF(ISBLANK(A110),"",IF(A110="PROREP (L)",VLOOKUP(LEFT($A110,6),'Data Feed (25C)'!$A$1:$G$10,3,FALSE),IF(A110="PROREP (S)", INDEX('Data Feed (25C)'!C:C, MATCH(LEFT($A110,6), 'Data Feed (25C)'!$A$1:$A$10, 0) + 1, +1), VLOOKUP($A110,'Data Feed (25C)'!$A$1:$G$10,3,FALSE))))</f>
        <v>Protea repens</v>
      </c>
      <c r="D110" s="6" t="str">
        <f t="array" ref="D110">IF(ISBLANK(A110),"",IF(A110="PROREP (L)",VLOOKUP(LEFT($A110,6),'Data Feed (25C)'!$A$1:$G$10,4,FALSE),IF(A110="PROREP (S)", INDEX('Data Feed (25C)'!D:D, MATCH(LEFT($A110,6), 'Data Feed (25C)'!$A$1:$A$10, 0) + 1, +1), VLOOKUP($A110,'Data Feed (25C)'!$A$1:$G$10,4,FALSE))))</f>
        <v>25C</v>
      </c>
      <c r="E110" s="6">
        <f t="array" ref="E110">IF(ISBLANK(A110),"",IF(A110="PROREP (L)",VLOOKUP(LEFT($A110,6),'Data Feed (25C)'!$A$1:$G$10,7,FALSE),IF(A110="PROREP (S)", INDEX('Data Feed (25C)'!G:G, MATCH(LEFT($A110,6), 'Data Feed (25C)'!$A$1:$A$10, 0) + 1, +1), VLOOKUP($A110,'Data Feed (25C)'!$A$1:$G$10,7,FALSE))))</f>
        <v>1</v>
      </c>
      <c r="F110" s="7">
        <v>45477.8</v>
      </c>
      <c r="G110" s="8">
        <v>0.42</v>
      </c>
    </row>
    <row r="111">
      <c r="A111" s="9" t="str">
        <f t="shared" ref="A111:A115" si="128">A110</f>
        <v>PROREP (L)</v>
      </c>
      <c r="B111" s="9" t="str">
        <f>IF(ISBLANK(A110),"",LEFT(B110,27)&amp;VALUE(RIGHT(B110,1)+1))</f>
        <v>JKL240702PROREP_25C_sample_2</v>
      </c>
      <c r="C111" s="6" t="str">
        <f t="shared" ref="C111:D111" si="127">C110</f>
        <v>Protea repens</v>
      </c>
      <c r="D111" s="6" t="str">
        <f t="shared" si="127"/>
        <v>25C</v>
      </c>
      <c r="E111" s="10">
        <f>IF(ISBLANK(A110),"",E110+1)</f>
        <v>2</v>
      </c>
      <c r="F111" s="11">
        <f t="shared" ref="F111:F115" si="130">F110</f>
        <v>45477.8</v>
      </c>
      <c r="G111" s="8">
        <v>0.56</v>
      </c>
    </row>
    <row r="112">
      <c r="A112" s="9" t="str">
        <f t="shared" si="128"/>
        <v>PROREP (L)</v>
      </c>
      <c r="B112" s="9" t="str">
        <f>IF(ISBLANK(A110),"",LEFT(B111,27)&amp;VALUE(RIGHT(B111,1)+1))</f>
        <v>JKL240702PROREP_25C_sample_3</v>
      </c>
      <c r="C112" s="6" t="str">
        <f t="shared" ref="C112:D112" si="129">C111</f>
        <v>Protea repens</v>
      </c>
      <c r="D112" s="6" t="str">
        <f t="shared" si="129"/>
        <v>25C</v>
      </c>
      <c r="E112" s="10">
        <f>IF(ISBLANK(A110),"",E111+1)</f>
        <v>3</v>
      </c>
      <c r="F112" s="11">
        <f t="shared" si="130"/>
        <v>45477.8</v>
      </c>
      <c r="G112" s="8">
        <v>0.69</v>
      </c>
    </row>
    <row r="113">
      <c r="A113" s="9" t="str">
        <f t="shared" si="128"/>
        <v>PROREP (L)</v>
      </c>
      <c r="B113" s="9" t="str">
        <f>IF(ISBLANK(A110),"",LEFT(B112,27)&amp;VALUE(RIGHT(B112,1)+1))</f>
        <v>JKL240702PROREP_25C_sample_4</v>
      </c>
      <c r="C113" s="6" t="str">
        <f t="shared" ref="C113:D113" si="131">C112</f>
        <v>Protea repens</v>
      </c>
      <c r="D113" s="6" t="str">
        <f t="shared" si="131"/>
        <v>25C</v>
      </c>
      <c r="E113" s="10">
        <f>IF(ISBLANK(A110),"",E112+1)</f>
        <v>4</v>
      </c>
      <c r="F113" s="11">
        <f t="shared" si="130"/>
        <v>45477.8</v>
      </c>
      <c r="G113" s="8">
        <v>0.47</v>
      </c>
    </row>
    <row r="114">
      <c r="A114" s="9" t="str">
        <f t="shared" si="128"/>
        <v>PROREP (L)</v>
      </c>
      <c r="B114" s="9" t="str">
        <f>IF(ISBLANK(A110),"",LEFT(B113,27)&amp;VALUE(RIGHT(B113,1)+1))</f>
        <v>JKL240702PROREP_25C_sample_5</v>
      </c>
      <c r="C114" s="6" t="str">
        <f t="shared" ref="C114:D114" si="132">C113</f>
        <v>Protea repens</v>
      </c>
      <c r="D114" s="6" t="str">
        <f t="shared" si="132"/>
        <v>25C</v>
      </c>
      <c r="E114" s="10">
        <f>IF(ISBLANK(A110),"",E113+1)</f>
        <v>5</v>
      </c>
      <c r="F114" s="11">
        <f t="shared" si="130"/>
        <v>45477.8</v>
      </c>
      <c r="G114" s="8">
        <v>0.46</v>
      </c>
    </row>
    <row r="115">
      <c r="A115" s="12" t="str">
        <f t="shared" si="128"/>
        <v>PROREP (L)</v>
      </c>
      <c r="B115" s="12" t="str">
        <f>IF(ISBLANK(A110),"",LEFT(B114,27)&amp;VALUE(RIGHT(B114,1)+1))</f>
        <v>JKL240702PROREP_25C_sample_6</v>
      </c>
      <c r="C115" s="13" t="str">
        <f t="shared" ref="C115:D115" si="133">C114</f>
        <v>Protea repens</v>
      </c>
      <c r="D115" s="13" t="str">
        <f t="shared" si="133"/>
        <v>25C</v>
      </c>
      <c r="E115" s="14">
        <f>IF(ISBLANK(A110),"",E114+1)</f>
        <v>6</v>
      </c>
      <c r="F115" s="15">
        <f t="shared" si="130"/>
        <v>45477.8</v>
      </c>
      <c r="G115" s="16">
        <v>0.55</v>
      </c>
    </row>
    <row r="116">
      <c r="A116" s="5" t="s">
        <v>9</v>
      </c>
      <c r="B116" s="6" t="str">
        <f t="array" ref="B116">IF(ISBLANK(A116),"",IF(A116="PROREP (L)",VLOOKUP(LEFT($A116,6),'Data Feed (25C)'!$A$1:$G$10,2,FALSE),IF(A116="PROREP (S)", INDEX('Data Feed (25C)'!B:B, MATCH(LEFT($A116,6), 'Data Feed (25C)'!$A$1:$A$10, 0) + 1), VLOOKUP($A116,'Data Feed (25C)'!$A$1:$G$10,2,FALSE))))</f>
        <v>JKS240702PROREP_25C_sample_1</v>
      </c>
      <c r="C116" s="6" t="str">
        <f t="array" ref="C116">IF(ISBLANK(A116),"",IF(A116="PROREP (L)",VLOOKUP(LEFT($A116,6),'Data Feed (25C)'!$A$1:$G$10,3,FALSE),IF(A116="PROREP (S)", INDEX('Data Feed (25C)'!C:C, MATCH(LEFT($A116,6), 'Data Feed (25C)'!$A$1:$A$10, 0) + 1, +1), VLOOKUP($A116,'Data Feed (25C)'!$A$1:$G$10,3,FALSE))))</f>
        <v>Protea repens</v>
      </c>
      <c r="D116" s="6" t="str">
        <f t="array" ref="D116">IF(ISBLANK(A116),"",IF(A116="PROREP (L)",VLOOKUP(LEFT($A116,6),'Data Feed (25C)'!$A$1:$G$10,4,FALSE),IF(A116="PROREP (S)", INDEX('Data Feed (25C)'!D:D, MATCH(LEFT($A116,6), 'Data Feed (25C)'!$A$1:$A$10, 0) + 1, +1), VLOOKUP($A116,'Data Feed (25C)'!$A$1:$G$10,4,FALSE))))</f>
        <v>25C</v>
      </c>
      <c r="E116" s="6">
        <f t="array" ref="E116">IF(ISBLANK(A116),"",IF(A116="PROREP (L)",VLOOKUP(LEFT($A116,6),'Data Feed (25C)'!$A$1:$G$10,7,FALSE),IF(A116="PROREP (S)", INDEX('Data Feed (25C)'!G:G, MATCH(LEFT($A116,6), 'Data Feed (25C)'!$A$1:$A$10, 0) + 1, +1), VLOOKUP($A116,'Data Feed (25C)'!$A$1:$G$10,7,FALSE))))</f>
        <v>1</v>
      </c>
      <c r="F116" s="7">
        <v>45477.80138888889</v>
      </c>
      <c r="G116" s="8">
        <v>12.27</v>
      </c>
    </row>
    <row r="117">
      <c r="A117" s="9" t="str">
        <f t="shared" ref="A117:A121" si="135">A116</f>
        <v>PROREP (S)</v>
      </c>
      <c r="B117" s="9" t="str">
        <f>IF(ISBLANK(A116),"",LEFT(B116,27)&amp;VALUE(RIGHT(B116,1)+1))</f>
        <v>JKS240702PROREP_25C_sample_2</v>
      </c>
      <c r="C117" s="6" t="str">
        <f t="shared" ref="C117:D117" si="134">C116</f>
        <v>Protea repens</v>
      </c>
      <c r="D117" s="6" t="str">
        <f t="shared" si="134"/>
        <v>25C</v>
      </c>
      <c r="E117" s="10">
        <f>IF(ISBLANK(A116),"",E116+1)</f>
        <v>2</v>
      </c>
      <c r="F117" s="11">
        <f t="shared" ref="F117:F121" si="137">F116</f>
        <v>45477.80139</v>
      </c>
      <c r="G117" s="8">
        <v>10.06</v>
      </c>
    </row>
    <row r="118">
      <c r="A118" s="9" t="str">
        <f t="shared" si="135"/>
        <v>PROREP (S)</v>
      </c>
      <c r="B118" s="9" t="str">
        <f>IF(ISBLANK(A116),"",LEFT(B117,27)&amp;VALUE(RIGHT(B117,1)+1))</f>
        <v>JKS240702PROREP_25C_sample_3</v>
      </c>
      <c r="C118" s="6" t="str">
        <f t="shared" ref="C118:D118" si="136">C117</f>
        <v>Protea repens</v>
      </c>
      <c r="D118" s="6" t="str">
        <f t="shared" si="136"/>
        <v>25C</v>
      </c>
      <c r="E118" s="10">
        <f>IF(ISBLANK(A116),"",E117+1)</f>
        <v>3</v>
      </c>
      <c r="F118" s="11">
        <f t="shared" si="137"/>
        <v>45477.80139</v>
      </c>
      <c r="G118" s="8">
        <v>9.92</v>
      </c>
    </row>
    <row r="119">
      <c r="A119" s="9" t="str">
        <f t="shared" si="135"/>
        <v>PROREP (S)</v>
      </c>
      <c r="B119" s="9" t="str">
        <f>IF(ISBLANK(A116),"",LEFT(B118,27)&amp;VALUE(RIGHT(B118,1)+1))</f>
        <v>JKS240702PROREP_25C_sample_4</v>
      </c>
      <c r="C119" s="6" t="str">
        <f t="shared" ref="C119:D119" si="138">C118</f>
        <v>Protea repens</v>
      </c>
      <c r="D119" s="6" t="str">
        <f t="shared" si="138"/>
        <v>25C</v>
      </c>
      <c r="E119" s="10">
        <f>IF(ISBLANK(A116),"",E118+1)</f>
        <v>4</v>
      </c>
      <c r="F119" s="11">
        <f t="shared" si="137"/>
        <v>45477.80139</v>
      </c>
      <c r="G119" s="8">
        <v>2.66</v>
      </c>
    </row>
    <row r="120">
      <c r="A120" s="9" t="str">
        <f t="shared" si="135"/>
        <v>PROREP (S)</v>
      </c>
      <c r="B120" s="9" t="str">
        <f>IF(ISBLANK(A116),"",LEFT(B119,27)&amp;VALUE(RIGHT(B119,1)+1))</f>
        <v>JKS240702PROREP_25C_sample_5</v>
      </c>
      <c r="C120" s="6" t="str">
        <f t="shared" ref="C120:D120" si="139">C119</f>
        <v>Protea repens</v>
      </c>
      <c r="D120" s="6" t="str">
        <f t="shared" si="139"/>
        <v>25C</v>
      </c>
      <c r="E120" s="10">
        <f>IF(ISBLANK(A116),"",E119+1)</f>
        <v>5</v>
      </c>
      <c r="F120" s="11">
        <f t="shared" si="137"/>
        <v>45477.80139</v>
      </c>
      <c r="G120" s="8">
        <v>10.46</v>
      </c>
    </row>
    <row r="121">
      <c r="A121" s="12" t="str">
        <f t="shared" si="135"/>
        <v>PROREP (S)</v>
      </c>
      <c r="B121" s="12" t="str">
        <f>IF(ISBLANK(A116),"",LEFT(B120,27)&amp;VALUE(RIGHT(B120,1)+1))</f>
        <v>JKS240702PROREP_25C_sample_6</v>
      </c>
      <c r="C121" s="13" t="str">
        <f t="shared" ref="C121:D121" si="140">C120</f>
        <v>Protea repens</v>
      </c>
      <c r="D121" s="13" t="str">
        <f t="shared" si="140"/>
        <v>25C</v>
      </c>
      <c r="E121" s="14">
        <f>IF(ISBLANK(A116),"",E120+1)</f>
        <v>6</v>
      </c>
      <c r="F121" s="15">
        <f t="shared" si="137"/>
        <v>45477.80139</v>
      </c>
      <c r="G121" s="16">
        <v>4.83</v>
      </c>
    </row>
    <row r="122">
      <c r="A122" s="5" t="s">
        <v>10</v>
      </c>
      <c r="B122" s="6" t="str">
        <f t="array" ref="B122">IF(ISBLANK(A122),"",IF(A122="PROREP (L)",VLOOKUP(LEFT($A122,6),'Data Feed (25C)'!$A$1:$G$10,2,FALSE),IF(A122="PROREP (S)", INDEX('Data Feed (25C)'!B:B, MATCH(LEFT($A122,6), 'Data Feed (25C)'!$A$1:$A$10, 0) + 1), VLOOKUP($A122,'Data Feed (25C)'!$A$1:$G$10,2,FALSE))))</f>
        <v>JKS240702CANCON_25C_sample_1</v>
      </c>
      <c r="C122" s="6" t="str">
        <f t="array" ref="C122">IF(ISBLANK(A122),"",IF(A122="PROREP (L)",VLOOKUP(LEFT($A122,6),'Data Feed (25C)'!$A$1:$G$10,3,FALSE),IF(A122="PROREP (S)", INDEX('Data Feed (25C)'!C:C, MATCH(LEFT($A122,6), 'Data Feed (25C)'!$A$1:$A$10, 0) + 1, +1), VLOOKUP($A122,'Data Feed (25C)'!$A$1:$G$10,3,FALSE))))</f>
        <v>Cannomois congesta</v>
      </c>
      <c r="D122" s="6" t="str">
        <f t="array" ref="D122">IF(ISBLANK(A122),"",IF(A122="PROREP (L)",VLOOKUP(LEFT($A122,6),'Data Feed (25C)'!$A$1:$G$10,4,FALSE),IF(A122="PROREP (S)", INDEX('Data Feed (25C)'!D:D, MATCH(LEFT($A122,6), 'Data Feed (25C)'!$A$1:$A$10, 0) + 1, +1), VLOOKUP($A122,'Data Feed (25C)'!$A$1:$G$10,4,FALSE))))</f>
        <v>25C</v>
      </c>
      <c r="E122" s="6">
        <f t="array" ref="E122">IF(ISBLANK(A122),"",IF(A122="PROREP (L)",VLOOKUP(LEFT($A122,6),'Data Feed (25C)'!$A$1:$G$10,7,FALSE),IF(A122="PROREP (S)", INDEX('Data Feed (25C)'!G:G, MATCH(LEFT($A122,6), 'Data Feed (25C)'!$A$1:$A$10, 0) + 1, +1), VLOOKUP($A122,'Data Feed (25C)'!$A$1:$G$10,7,FALSE))))</f>
        <v>1</v>
      </c>
      <c r="F122" s="7">
        <v>45477.802777777775</v>
      </c>
      <c r="G122" s="8">
        <v>0.86</v>
      </c>
    </row>
    <row r="123">
      <c r="A123" s="9" t="str">
        <f t="shared" ref="A123:A127" si="142">A122</f>
        <v>CANCON</v>
      </c>
      <c r="B123" s="9" t="str">
        <f>IF(ISBLANK(A122),"",LEFT(B122,27)&amp;VALUE(RIGHT(B122,1)+1))</f>
        <v>JKS240702CANCON_25C_sample_2</v>
      </c>
      <c r="C123" s="6" t="str">
        <f t="shared" ref="C123:D123" si="141">C122</f>
        <v>Cannomois congesta</v>
      </c>
      <c r="D123" s="6" t="str">
        <f t="shared" si="141"/>
        <v>25C</v>
      </c>
      <c r="E123" s="10">
        <f>IF(ISBLANK(A122),"",E122+1)</f>
        <v>2</v>
      </c>
      <c r="F123" s="11">
        <f t="shared" ref="F123:F127" si="144">F122</f>
        <v>45477.80278</v>
      </c>
      <c r="G123" s="8">
        <v>1.28</v>
      </c>
    </row>
    <row r="124">
      <c r="A124" s="9" t="str">
        <f t="shared" si="142"/>
        <v>CANCON</v>
      </c>
      <c r="B124" s="9" t="str">
        <f>IF(ISBLANK(A122),"",LEFT(B123,27)&amp;VALUE(RIGHT(B123,1)+1))</f>
        <v>JKS240702CANCON_25C_sample_3</v>
      </c>
      <c r="C124" s="6" t="str">
        <f t="shared" ref="C124:D124" si="143">C123</f>
        <v>Cannomois congesta</v>
      </c>
      <c r="D124" s="6" t="str">
        <f t="shared" si="143"/>
        <v>25C</v>
      </c>
      <c r="E124" s="10">
        <f>IF(ISBLANK(A122),"",E123+1)</f>
        <v>3</v>
      </c>
      <c r="F124" s="11">
        <f t="shared" si="144"/>
        <v>45477.80278</v>
      </c>
      <c r="G124" s="8">
        <v>2.27</v>
      </c>
    </row>
    <row r="125">
      <c r="A125" s="9" t="str">
        <f t="shared" si="142"/>
        <v>CANCON</v>
      </c>
      <c r="B125" s="9" t="str">
        <f>IF(ISBLANK(A122),"",LEFT(B124,27)&amp;VALUE(RIGHT(B124,1)+1))</f>
        <v>JKS240702CANCON_25C_sample_4</v>
      </c>
      <c r="C125" s="6" t="str">
        <f t="shared" ref="C125:D125" si="145">C124</f>
        <v>Cannomois congesta</v>
      </c>
      <c r="D125" s="6" t="str">
        <f t="shared" si="145"/>
        <v>25C</v>
      </c>
      <c r="E125" s="10">
        <f>IF(ISBLANK(A122),"",E124+1)</f>
        <v>4</v>
      </c>
      <c r="F125" s="11">
        <f t="shared" si="144"/>
        <v>45477.80278</v>
      </c>
      <c r="G125" s="8">
        <v>1.13</v>
      </c>
    </row>
    <row r="126">
      <c r="A126" s="9" t="str">
        <f t="shared" si="142"/>
        <v>CANCON</v>
      </c>
      <c r="B126" s="9" t="str">
        <f>IF(ISBLANK(A122),"",LEFT(B125,27)&amp;VALUE(RIGHT(B125,1)+1))</f>
        <v>JKS240702CANCON_25C_sample_5</v>
      </c>
      <c r="C126" s="6" t="str">
        <f t="shared" ref="C126:D126" si="146">C125</f>
        <v>Cannomois congesta</v>
      </c>
      <c r="D126" s="6" t="str">
        <f t="shared" si="146"/>
        <v>25C</v>
      </c>
      <c r="E126" s="10">
        <f>IF(ISBLANK(A122),"",E125+1)</f>
        <v>5</v>
      </c>
      <c r="F126" s="11">
        <f t="shared" si="144"/>
        <v>45477.80278</v>
      </c>
      <c r="G126" s="8">
        <v>3.32</v>
      </c>
    </row>
    <row r="127">
      <c r="A127" s="12" t="str">
        <f t="shared" si="142"/>
        <v>CANCON</v>
      </c>
      <c r="B127" s="12" t="str">
        <f>IF(ISBLANK(A122),"",LEFT(B126,27)&amp;VALUE(RIGHT(B126,1)+1))</f>
        <v>JKS240702CANCON_25C_sample_6</v>
      </c>
      <c r="C127" s="13" t="str">
        <f t="shared" ref="C127:D127" si="147">C126</f>
        <v>Cannomois congesta</v>
      </c>
      <c r="D127" s="13" t="str">
        <f t="shared" si="147"/>
        <v>25C</v>
      </c>
      <c r="E127" s="14">
        <f>IF(ISBLANK(A122),"",E126+1)</f>
        <v>6</v>
      </c>
      <c r="F127" s="15">
        <f t="shared" si="144"/>
        <v>45477.80278</v>
      </c>
      <c r="G127" s="16">
        <v>2.87</v>
      </c>
    </row>
    <row r="128">
      <c r="A128" s="5" t="s">
        <v>7</v>
      </c>
      <c r="B128" s="6" t="str">
        <f t="array" ref="B128">IF(ISBLANK(A128),"",IF(A128="PROREP (L)",VLOOKUP(LEFT($A128,6),'Data Feed (25C)'!$A$1:$G$10,2,FALSE),IF(A128="PROREP (S)", INDEX('Data Feed (25C)'!B:B, MATCH(LEFT($A128,6), 'Data Feed (25C)'!$A$1:$A$10, 0) + 1), VLOOKUP($A128,'Data Feed (25C)'!$A$1:$G$10,2,FALSE))))</f>
        <v>JKS240702ERIMON_25C_sample_1</v>
      </c>
      <c r="C128" s="6" t="str">
        <f t="array" ref="C128">IF(ISBLANK(A128),"",IF(A128="PROREP (L)",VLOOKUP(LEFT($A128,6),'Data Feed (25C)'!$A$1:$G$10,3,FALSE),IF(A128="PROREP (S)", INDEX('Data Feed (25C)'!C:C, MATCH(LEFT($A128,6), 'Data Feed (25C)'!$A$1:$A$10, 0) + 1, +1), VLOOKUP($A128,'Data Feed (25C)'!$A$1:$G$10,3,FALSE))))</f>
        <v>Erica monsoniana</v>
      </c>
      <c r="D128" s="6" t="str">
        <f t="array" ref="D128">IF(ISBLANK(A128),"",IF(A128="PROREP (L)",VLOOKUP(LEFT($A128,6),'Data Feed (25C)'!$A$1:$G$10,4,FALSE),IF(A128="PROREP (S)", INDEX('Data Feed (25C)'!D:D, MATCH(LEFT($A128,6), 'Data Feed (25C)'!$A$1:$A$10, 0) + 1, +1), VLOOKUP($A128,'Data Feed (25C)'!$A$1:$G$10,4,FALSE))))</f>
        <v>25C</v>
      </c>
      <c r="E128" s="6">
        <f t="array" ref="E128">IF(ISBLANK(A128),"",IF(A128="PROREP (L)",VLOOKUP(LEFT($A128,6),'Data Feed (25C)'!$A$1:$G$10,7,FALSE),IF(A128="PROREP (S)", INDEX('Data Feed (25C)'!G:G, MATCH(LEFT($A128,6), 'Data Feed (25C)'!$A$1:$A$10, 0) + 1, +1), VLOOKUP($A128,'Data Feed (25C)'!$A$1:$G$10,7,FALSE))))</f>
        <v>1</v>
      </c>
      <c r="F128" s="7">
        <v>45477.83611111111</v>
      </c>
      <c r="G128" s="8">
        <v>0.82</v>
      </c>
    </row>
    <row r="129">
      <c r="A129" s="9" t="str">
        <f t="shared" ref="A129:A133" si="149">A128</f>
        <v>ERIMON</v>
      </c>
      <c r="B129" s="9" t="str">
        <f>IF(ISBLANK(A128),"",LEFT(B128,27)&amp;VALUE(RIGHT(B128,1)+1))</f>
        <v>JKS240702ERIMON_25C_sample_2</v>
      </c>
      <c r="C129" s="6" t="str">
        <f t="shared" ref="C129:D129" si="148">C128</f>
        <v>Erica monsoniana</v>
      </c>
      <c r="D129" s="6" t="str">
        <f t="shared" si="148"/>
        <v>25C</v>
      </c>
      <c r="E129" s="10">
        <f>IF(ISBLANK(A128),"",E128+1)</f>
        <v>2</v>
      </c>
      <c r="F129" s="11">
        <f t="shared" ref="F129:F133" si="151">F128</f>
        <v>45477.83611</v>
      </c>
      <c r="G129" s="8">
        <v>3.45</v>
      </c>
    </row>
    <row r="130">
      <c r="A130" s="9" t="str">
        <f t="shared" si="149"/>
        <v>ERIMON</v>
      </c>
      <c r="B130" s="9" t="str">
        <f>IF(ISBLANK(A128),"",LEFT(B129,27)&amp;VALUE(RIGHT(B129,1)+1))</f>
        <v>JKS240702ERIMON_25C_sample_3</v>
      </c>
      <c r="C130" s="6" t="str">
        <f t="shared" ref="C130:D130" si="150">C129</f>
        <v>Erica monsoniana</v>
      </c>
      <c r="D130" s="6" t="str">
        <f t="shared" si="150"/>
        <v>25C</v>
      </c>
      <c r="E130" s="10">
        <f>IF(ISBLANK(A128),"",E129+1)</f>
        <v>3</v>
      </c>
      <c r="F130" s="11">
        <f t="shared" si="151"/>
        <v>45477.83611</v>
      </c>
      <c r="G130" s="8">
        <v>1.17</v>
      </c>
    </row>
    <row r="131">
      <c r="A131" s="9" t="str">
        <f t="shared" si="149"/>
        <v>ERIMON</v>
      </c>
      <c r="B131" s="9" t="str">
        <f>IF(ISBLANK(A128),"",LEFT(B130,27)&amp;VALUE(RIGHT(B130,1)+1))</f>
        <v>JKS240702ERIMON_25C_sample_4</v>
      </c>
      <c r="C131" s="6" t="str">
        <f t="shared" ref="C131:D131" si="152">C130</f>
        <v>Erica monsoniana</v>
      </c>
      <c r="D131" s="6" t="str">
        <f t="shared" si="152"/>
        <v>25C</v>
      </c>
      <c r="E131" s="10">
        <f>IF(ISBLANK(A128),"",E130+1)</f>
        <v>4</v>
      </c>
      <c r="F131" s="11">
        <f t="shared" si="151"/>
        <v>45477.83611</v>
      </c>
      <c r="G131" s="8">
        <v>2.38</v>
      </c>
    </row>
    <row r="132">
      <c r="A132" s="9" t="str">
        <f t="shared" si="149"/>
        <v>ERIMON</v>
      </c>
      <c r="B132" s="9" t="str">
        <f>IF(ISBLANK(A128),"",LEFT(B131,27)&amp;VALUE(RIGHT(B131,1)+1))</f>
        <v>JKS240702ERIMON_25C_sample_5</v>
      </c>
      <c r="C132" s="6" t="str">
        <f t="shared" ref="C132:D132" si="153">C131</f>
        <v>Erica monsoniana</v>
      </c>
      <c r="D132" s="6" t="str">
        <f t="shared" si="153"/>
        <v>25C</v>
      </c>
      <c r="E132" s="10">
        <f>IF(ISBLANK(A128),"",E131+1)</f>
        <v>5</v>
      </c>
      <c r="F132" s="11">
        <f t="shared" si="151"/>
        <v>45477.83611</v>
      </c>
      <c r="G132" s="8">
        <v>1.7</v>
      </c>
    </row>
    <row r="133">
      <c r="A133" s="12" t="str">
        <f t="shared" si="149"/>
        <v>ERIMON</v>
      </c>
      <c r="B133" s="12" t="str">
        <f>IF(ISBLANK(A128),"",LEFT(B132,27)&amp;VALUE(RIGHT(B132,1)+1))</f>
        <v>JKS240702ERIMON_25C_sample_6</v>
      </c>
      <c r="C133" s="13" t="str">
        <f t="shared" ref="C133:D133" si="154">C132</f>
        <v>Erica monsoniana</v>
      </c>
      <c r="D133" s="13" t="str">
        <f t="shared" si="154"/>
        <v>25C</v>
      </c>
      <c r="E133" s="14">
        <f>IF(ISBLANK(A128),"",E132+1)</f>
        <v>6</v>
      </c>
      <c r="F133" s="15">
        <f t="shared" si="151"/>
        <v>45477.83611</v>
      </c>
      <c r="G133" s="16">
        <v>4.74</v>
      </c>
    </row>
    <row r="134">
      <c r="A134" s="5" t="s">
        <v>8</v>
      </c>
      <c r="B134" s="6" t="str">
        <f t="array" ref="B134">IF(ISBLANK(A134),"",IF(A134="PROREP (L)",VLOOKUP(LEFT($A134,6),'Data Feed (25C)'!$A$1:$G$10,2,FALSE),IF(A134="PROREP (S)", INDEX('Data Feed (25C)'!B:B, MATCH(LEFT($A134,6), 'Data Feed (25C)'!$A$1:$A$10, 0) + 1), VLOOKUP($A134,'Data Feed (25C)'!$A$1:$G$10,2,FALSE))))</f>
        <v>JKL240702PROREP_25C_sample_1</v>
      </c>
      <c r="C134" s="6" t="str">
        <f t="array" ref="C134">IF(ISBLANK(A134),"",IF(A134="PROREP (L)",VLOOKUP(LEFT($A134,6),'Data Feed (25C)'!$A$1:$G$10,3,FALSE),IF(A134="PROREP (S)", INDEX('Data Feed (25C)'!C:C, MATCH(LEFT($A134,6), 'Data Feed (25C)'!$A$1:$A$10, 0) + 1, +1), VLOOKUP($A134,'Data Feed (25C)'!$A$1:$G$10,3,FALSE))))</f>
        <v>Protea repens</v>
      </c>
      <c r="D134" s="6" t="str">
        <f t="array" ref="D134">IF(ISBLANK(A134),"",IF(A134="PROREP (L)",VLOOKUP(LEFT($A134,6),'Data Feed (25C)'!$A$1:$G$10,4,FALSE),IF(A134="PROREP (S)", INDEX('Data Feed (25C)'!D:D, MATCH(LEFT($A134,6), 'Data Feed (25C)'!$A$1:$A$10, 0) + 1, +1), VLOOKUP($A134,'Data Feed (25C)'!$A$1:$G$10,4,FALSE))))</f>
        <v>25C</v>
      </c>
      <c r="E134" s="6">
        <f t="array" ref="E134">IF(ISBLANK(A134),"",IF(A134="PROREP (L)",VLOOKUP(LEFT($A134,6),'Data Feed (25C)'!$A$1:$G$10,7,FALSE),IF(A134="PROREP (S)", INDEX('Data Feed (25C)'!G:G, MATCH(LEFT($A134,6), 'Data Feed (25C)'!$A$1:$A$10, 0) + 1, +1), VLOOKUP($A134,'Data Feed (25C)'!$A$1:$G$10,7,FALSE))))</f>
        <v>1</v>
      </c>
      <c r="F134" s="7">
        <v>45477.836805555555</v>
      </c>
      <c r="G134" s="8">
        <v>0.38</v>
      </c>
    </row>
    <row r="135">
      <c r="A135" s="9" t="str">
        <f t="shared" ref="A135:A139" si="156">A134</f>
        <v>PROREP (L)</v>
      </c>
      <c r="B135" s="9" t="str">
        <f>IF(ISBLANK(A134),"",LEFT(B134,27)&amp;VALUE(RIGHT(B134,1)+1))</f>
        <v>JKL240702PROREP_25C_sample_2</v>
      </c>
      <c r="C135" s="6" t="str">
        <f t="shared" ref="C135:D135" si="155">C134</f>
        <v>Protea repens</v>
      </c>
      <c r="D135" s="6" t="str">
        <f t="shared" si="155"/>
        <v>25C</v>
      </c>
      <c r="E135" s="10">
        <f>IF(ISBLANK(A134),"",E134+1)</f>
        <v>2</v>
      </c>
      <c r="F135" s="11">
        <f t="shared" ref="F135:F139" si="158">F134</f>
        <v>45477.83681</v>
      </c>
      <c r="G135" s="8">
        <v>0.56</v>
      </c>
    </row>
    <row r="136">
      <c r="A136" s="9" t="str">
        <f t="shared" si="156"/>
        <v>PROREP (L)</v>
      </c>
      <c r="B136" s="9" t="str">
        <f>IF(ISBLANK(A134),"",LEFT(B135,27)&amp;VALUE(RIGHT(B135,1)+1))</f>
        <v>JKL240702PROREP_25C_sample_3</v>
      </c>
      <c r="C136" s="6" t="str">
        <f t="shared" ref="C136:D136" si="157">C135</f>
        <v>Protea repens</v>
      </c>
      <c r="D136" s="6" t="str">
        <f t="shared" si="157"/>
        <v>25C</v>
      </c>
      <c r="E136" s="10">
        <f>IF(ISBLANK(A134),"",E135+1)</f>
        <v>3</v>
      </c>
      <c r="F136" s="11">
        <f t="shared" si="158"/>
        <v>45477.83681</v>
      </c>
      <c r="G136" s="8">
        <v>0.69</v>
      </c>
    </row>
    <row r="137">
      <c r="A137" s="9" t="str">
        <f t="shared" si="156"/>
        <v>PROREP (L)</v>
      </c>
      <c r="B137" s="9" t="str">
        <f>IF(ISBLANK(A134),"",LEFT(B136,27)&amp;VALUE(RIGHT(B136,1)+1))</f>
        <v>JKL240702PROREP_25C_sample_4</v>
      </c>
      <c r="C137" s="6" t="str">
        <f t="shared" ref="C137:D137" si="159">C136</f>
        <v>Protea repens</v>
      </c>
      <c r="D137" s="6" t="str">
        <f t="shared" si="159"/>
        <v>25C</v>
      </c>
      <c r="E137" s="10">
        <f>IF(ISBLANK(A134),"",E136+1)</f>
        <v>4</v>
      </c>
      <c r="F137" s="11">
        <f t="shared" si="158"/>
        <v>45477.83681</v>
      </c>
      <c r="G137" s="8">
        <v>0.49</v>
      </c>
    </row>
    <row r="138">
      <c r="A138" s="9" t="str">
        <f t="shared" si="156"/>
        <v>PROREP (L)</v>
      </c>
      <c r="B138" s="9" t="str">
        <f>IF(ISBLANK(A134),"",LEFT(B137,27)&amp;VALUE(RIGHT(B137,1)+1))</f>
        <v>JKL240702PROREP_25C_sample_5</v>
      </c>
      <c r="C138" s="6" t="str">
        <f t="shared" ref="C138:D138" si="160">C137</f>
        <v>Protea repens</v>
      </c>
      <c r="D138" s="6" t="str">
        <f t="shared" si="160"/>
        <v>25C</v>
      </c>
      <c r="E138" s="10">
        <f>IF(ISBLANK(A134),"",E137+1)</f>
        <v>5</v>
      </c>
      <c r="F138" s="11">
        <f t="shared" si="158"/>
        <v>45477.83681</v>
      </c>
      <c r="G138" s="8">
        <v>0.46</v>
      </c>
    </row>
    <row r="139">
      <c r="A139" s="12" t="str">
        <f t="shared" si="156"/>
        <v>PROREP (L)</v>
      </c>
      <c r="B139" s="12" t="str">
        <f>IF(ISBLANK(A134),"",LEFT(B138,27)&amp;VALUE(RIGHT(B138,1)+1))</f>
        <v>JKL240702PROREP_25C_sample_6</v>
      </c>
      <c r="C139" s="13" t="str">
        <f t="shared" ref="C139:D139" si="161">C138</f>
        <v>Protea repens</v>
      </c>
      <c r="D139" s="13" t="str">
        <f t="shared" si="161"/>
        <v>25C</v>
      </c>
      <c r="E139" s="14">
        <f>IF(ISBLANK(A134),"",E138+1)</f>
        <v>6</v>
      </c>
      <c r="F139" s="15">
        <f t="shared" si="158"/>
        <v>45477.83681</v>
      </c>
      <c r="G139" s="16">
        <v>0.53</v>
      </c>
    </row>
    <row r="140">
      <c r="A140" s="5" t="s">
        <v>9</v>
      </c>
      <c r="B140" s="6" t="str">
        <f t="array" ref="B140">IF(ISBLANK(A140),"",IF(A140="PROREP (L)",VLOOKUP(LEFT($A140,6),'Data Feed (25C)'!$A$1:$G$10,2,FALSE),IF(A140="PROREP (S)", INDEX('Data Feed (25C)'!B:B, MATCH(LEFT($A140,6), 'Data Feed (25C)'!$A$1:$A$10, 0) + 1), VLOOKUP($A140,'Data Feed (25C)'!$A$1:$G$10,2,FALSE))))</f>
        <v>JKS240702PROREP_25C_sample_1</v>
      </c>
      <c r="C140" s="6" t="str">
        <f t="array" ref="C140">IF(ISBLANK(A140),"",IF(A140="PROREP (L)",VLOOKUP(LEFT($A140,6),'Data Feed (25C)'!$A$1:$G$10,3,FALSE),IF(A140="PROREP (S)", INDEX('Data Feed (25C)'!C:C, MATCH(LEFT($A140,6), 'Data Feed (25C)'!$A$1:$A$10, 0) + 1, +1), VLOOKUP($A140,'Data Feed (25C)'!$A$1:$G$10,3,FALSE))))</f>
        <v>Protea repens</v>
      </c>
      <c r="D140" s="6" t="str">
        <f t="array" ref="D140">IF(ISBLANK(A140),"",IF(A140="PROREP (L)",VLOOKUP(LEFT($A140,6),'Data Feed (25C)'!$A$1:$G$10,4,FALSE),IF(A140="PROREP (S)", INDEX('Data Feed (25C)'!D:D, MATCH(LEFT($A140,6), 'Data Feed (25C)'!$A$1:$A$10, 0) + 1, +1), VLOOKUP($A140,'Data Feed (25C)'!$A$1:$G$10,4,FALSE))))</f>
        <v>25C</v>
      </c>
      <c r="E140" s="6">
        <f t="array" ref="E140">IF(ISBLANK(A140),"",IF(A140="PROREP (L)",VLOOKUP(LEFT($A140,6),'Data Feed (25C)'!$A$1:$G$10,7,FALSE),IF(A140="PROREP (S)", INDEX('Data Feed (25C)'!G:G, MATCH(LEFT($A140,6), 'Data Feed (25C)'!$A$1:$A$10, 0) + 1, +1), VLOOKUP($A140,'Data Feed (25C)'!$A$1:$G$10,7,FALSE))))</f>
        <v>1</v>
      </c>
      <c r="F140" s="7">
        <v>45477.83819444444</v>
      </c>
      <c r="G140" s="8">
        <v>12.19</v>
      </c>
    </row>
    <row r="141">
      <c r="A141" s="9" t="str">
        <f t="shared" ref="A141:A145" si="163">A140</f>
        <v>PROREP (S)</v>
      </c>
      <c r="B141" s="9" t="str">
        <f>IF(ISBLANK(A140),"",LEFT(B140,27)&amp;VALUE(RIGHT(B140,1)+1))</f>
        <v>JKS240702PROREP_25C_sample_2</v>
      </c>
      <c r="C141" s="6" t="str">
        <f t="shared" ref="C141:D141" si="162">C140</f>
        <v>Protea repens</v>
      </c>
      <c r="D141" s="6" t="str">
        <f t="shared" si="162"/>
        <v>25C</v>
      </c>
      <c r="E141" s="10">
        <f>IF(ISBLANK(A140),"",E140+1)</f>
        <v>2</v>
      </c>
      <c r="F141" s="11">
        <f t="shared" ref="F141:F145" si="165">F140</f>
        <v>45477.83819</v>
      </c>
      <c r="G141" s="8">
        <v>9.99</v>
      </c>
    </row>
    <row r="142">
      <c r="A142" s="9" t="str">
        <f t="shared" si="163"/>
        <v>PROREP (S)</v>
      </c>
      <c r="B142" s="9" t="str">
        <f>IF(ISBLANK(A140),"",LEFT(B141,27)&amp;VALUE(RIGHT(B141,1)+1))</f>
        <v>JKS240702PROREP_25C_sample_3</v>
      </c>
      <c r="C142" s="6" t="str">
        <f t="shared" ref="C142:D142" si="164">C141</f>
        <v>Protea repens</v>
      </c>
      <c r="D142" s="6" t="str">
        <f t="shared" si="164"/>
        <v>25C</v>
      </c>
      <c r="E142" s="10">
        <f>IF(ISBLANK(A140),"",E141+1)</f>
        <v>3</v>
      </c>
      <c r="F142" s="11">
        <f t="shared" si="165"/>
        <v>45477.83819</v>
      </c>
      <c r="G142" s="8">
        <v>9.82</v>
      </c>
    </row>
    <row r="143">
      <c r="A143" s="9" t="str">
        <f t="shared" si="163"/>
        <v>PROREP (S)</v>
      </c>
      <c r="B143" s="9" t="str">
        <f>IF(ISBLANK(A140),"",LEFT(B142,27)&amp;VALUE(RIGHT(B142,1)+1))</f>
        <v>JKS240702PROREP_25C_sample_4</v>
      </c>
      <c r="C143" s="6" t="str">
        <f t="shared" ref="C143:D143" si="166">C142</f>
        <v>Protea repens</v>
      </c>
      <c r="D143" s="6" t="str">
        <f t="shared" si="166"/>
        <v>25C</v>
      </c>
      <c r="E143" s="10">
        <f>IF(ISBLANK(A140),"",E142+1)</f>
        <v>4</v>
      </c>
      <c r="F143" s="11">
        <f t="shared" si="165"/>
        <v>45477.83819</v>
      </c>
      <c r="G143" s="8">
        <v>2.66</v>
      </c>
    </row>
    <row r="144">
      <c r="A144" s="9" t="str">
        <f t="shared" si="163"/>
        <v>PROREP (S)</v>
      </c>
      <c r="B144" s="9" t="str">
        <f>IF(ISBLANK(A140),"",LEFT(B143,27)&amp;VALUE(RIGHT(B143,1)+1))</f>
        <v>JKS240702PROREP_25C_sample_5</v>
      </c>
      <c r="C144" s="6" t="str">
        <f t="shared" ref="C144:D144" si="167">C143</f>
        <v>Protea repens</v>
      </c>
      <c r="D144" s="6" t="str">
        <f t="shared" si="167"/>
        <v>25C</v>
      </c>
      <c r="E144" s="10">
        <f>IF(ISBLANK(A140),"",E143+1)</f>
        <v>5</v>
      </c>
      <c r="F144" s="11">
        <f t="shared" si="165"/>
        <v>45477.83819</v>
      </c>
      <c r="G144" s="8">
        <v>10.34</v>
      </c>
    </row>
    <row r="145">
      <c r="A145" s="12" t="str">
        <f t="shared" si="163"/>
        <v>PROREP (S)</v>
      </c>
      <c r="B145" s="12" t="str">
        <f>IF(ISBLANK(A140),"",LEFT(B144,27)&amp;VALUE(RIGHT(B144,1)+1))</f>
        <v>JKS240702PROREP_25C_sample_6</v>
      </c>
      <c r="C145" s="13" t="str">
        <f t="shared" ref="C145:D145" si="168">C144</f>
        <v>Protea repens</v>
      </c>
      <c r="D145" s="13" t="str">
        <f t="shared" si="168"/>
        <v>25C</v>
      </c>
      <c r="E145" s="14">
        <f>IF(ISBLANK(A140),"",E144+1)</f>
        <v>6</v>
      </c>
      <c r="F145" s="15">
        <f t="shared" si="165"/>
        <v>45477.83819</v>
      </c>
      <c r="G145" s="16">
        <v>4.84</v>
      </c>
    </row>
    <row r="146">
      <c r="A146" s="5" t="s">
        <v>10</v>
      </c>
      <c r="B146" s="6" t="str">
        <f t="array" ref="B146">IF(ISBLANK(A146),"",IF(A146="PROREP (L)",VLOOKUP(LEFT($A146,6),'Data Feed (25C)'!$A$1:$G$10,2,FALSE),IF(A146="PROREP (S)", INDEX('Data Feed (25C)'!B:B, MATCH(LEFT($A146,6), 'Data Feed (25C)'!$A$1:$A$10, 0) + 1), VLOOKUP($A146,'Data Feed (25C)'!$A$1:$G$10,2,FALSE))))</f>
        <v>JKS240702CANCON_25C_sample_1</v>
      </c>
      <c r="C146" s="6" t="str">
        <f t="array" ref="C146">IF(ISBLANK(A146),"",IF(A146="PROREP (L)",VLOOKUP(LEFT($A146,6),'Data Feed (25C)'!$A$1:$G$10,3,FALSE),IF(A146="PROREP (S)", INDEX('Data Feed (25C)'!C:C, MATCH(LEFT($A146,6), 'Data Feed (25C)'!$A$1:$A$10, 0) + 1, +1), VLOOKUP($A146,'Data Feed (25C)'!$A$1:$G$10,3,FALSE))))</f>
        <v>Cannomois congesta</v>
      </c>
      <c r="D146" s="6" t="str">
        <f t="array" ref="D146">IF(ISBLANK(A146),"",IF(A146="PROREP (L)",VLOOKUP(LEFT($A146,6),'Data Feed (25C)'!$A$1:$G$10,4,FALSE),IF(A146="PROREP (S)", INDEX('Data Feed (25C)'!D:D, MATCH(LEFT($A146,6), 'Data Feed (25C)'!$A$1:$A$10, 0) + 1, +1), VLOOKUP($A146,'Data Feed (25C)'!$A$1:$G$10,4,FALSE))))</f>
        <v>25C</v>
      </c>
      <c r="E146" s="6">
        <f t="array" ref="E146">IF(ISBLANK(A146),"",IF(A146="PROREP (L)",VLOOKUP(LEFT($A146,6),'Data Feed (25C)'!$A$1:$G$10,7,FALSE),IF(A146="PROREP (S)", INDEX('Data Feed (25C)'!G:G, MATCH(LEFT($A146,6), 'Data Feed (25C)'!$A$1:$A$10, 0) + 1, +1), VLOOKUP($A146,'Data Feed (25C)'!$A$1:$G$10,7,FALSE))))</f>
        <v>1</v>
      </c>
      <c r="F146" s="7">
        <v>45477.839583333334</v>
      </c>
      <c r="G146" s="8">
        <v>0.83</v>
      </c>
    </row>
    <row r="147">
      <c r="A147" s="9" t="str">
        <f t="shared" ref="A147:A151" si="170">A146</f>
        <v>CANCON</v>
      </c>
      <c r="B147" s="9" t="str">
        <f>IF(ISBLANK(A146),"",LEFT(B146,27)&amp;VALUE(RIGHT(B146,1)+1))</f>
        <v>JKS240702CANCON_25C_sample_2</v>
      </c>
      <c r="C147" s="6" t="str">
        <f t="shared" ref="C147:D147" si="169">C146</f>
        <v>Cannomois congesta</v>
      </c>
      <c r="D147" s="6" t="str">
        <f t="shared" si="169"/>
        <v>25C</v>
      </c>
      <c r="E147" s="10">
        <f>IF(ISBLANK(A146),"",E146+1)</f>
        <v>2</v>
      </c>
      <c r="F147" s="11">
        <f t="shared" ref="F147:F151" si="172">F146</f>
        <v>45477.83958</v>
      </c>
      <c r="G147" s="8">
        <v>1.24</v>
      </c>
    </row>
    <row r="148">
      <c r="A148" s="9" t="str">
        <f t="shared" si="170"/>
        <v>CANCON</v>
      </c>
      <c r="B148" s="9" t="str">
        <f>IF(ISBLANK(A146),"",LEFT(B147,27)&amp;VALUE(RIGHT(B147,1)+1))</f>
        <v>JKS240702CANCON_25C_sample_3</v>
      </c>
      <c r="C148" s="6" t="str">
        <f t="shared" ref="C148:D148" si="171">C147</f>
        <v>Cannomois congesta</v>
      </c>
      <c r="D148" s="6" t="str">
        <f t="shared" si="171"/>
        <v>25C</v>
      </c>
      <c r="E148" s="10">
        <f>IF(ISBLANK(A146),"",E147+1)</f>
        <v>3</v>
      </c>
      <c r="F148" s="11">
        <f t="shared" si="172"/>
        <v>45477.83958</v>
      </c>
      <c r="G148" s="8">
        <v>2.25</v>
      </c>
    </row>
    <row r="149">
      <c r="A149" s="9" t="str">
        <f t="shared" si="170"/>
        <v>CANCON</v>
      </c>
      <c r="B149" s="9" t="str">
        <f>IF(ISBLANK(A146),"",LEFT(B148,27)&amp;VALUE(RIGHT(B148,1)+1))</f>
        <v>JKS240702CANCON_25C_sample_4</v>
      </c>
      <c r="C149" s="6" t="str">
        <f t="shared" ref="C149:D149" si="173">C148</f>
        <v>Cannomois congesta</v>
      </c>
      <c r="D149" s="6" t="str">
        <f t="shared" si="173"/>
        <v>25C</v>
      </c>
      <c r="E149" s="10">
        <f>IF(ISBLANK(A146),"",E148+1)</f>
        <v>4</v>
      </c>
      <c r="F149" s="11">
        <f t="shared" si="172"/>
        <v>45477.83958</v>
      </c>
      <c r="G149" s="8">
        <v>1.12</v>
      </c>
    </row>
    <row r="150">
      <c r="A150" s="9" t="str">
        <f t="shared" si="170"/>
        <v>CANCON</v>
      </c>
      <c r="B150" s="9" t="str">
        <f>IF(ISBLANK(A146),"",LEFT(B149,27)&amp;VALUE(RIGHT(B149,1)+1))</f>
        <v>JKS240702CANCON_25C_sample_5</v>
      </c>
      <c r="C150" s="6" t="str">
        <f t="shared" ref="C150:D150" si="174">C149</f>
        <v>Cannomois congesta</v>
      </c>
      <c r="D150" s="6" t="str">
        <f t="shared" si="174"/>
        <v>25C</v>
      </c>
      <c r="E150" s="10">
        <f>IF(ISBLANK(A146),"",E149+1)</f>
        <v>5</v>
      </c>
      <c r="F150" s="11">
        <f t="shared" si="172"/>
        <v>45477.83958</v>
      </c>
      <c r="G150" s="8">
        <v>3.28</v>
      </c>
    </row>
    <row r="151">
      <c r="A151" s="12" t="str">
        <f t="shared" si="170"/>
        <v>CANCON</v>
      </c>
      <c r="B151" s="12" t="str">
        <f>IF(ISBLANK(A146),"",LEFT(B150,27)&amp;VALUE(RIGHT(B150,1)+1))</f>
        <v>JKS240702CANCON_25C_sample_6</v>
      </c>
      <c r="C151" s="13" t="str">
        <f t="shared" ref="C151:D151" si="175">C150</f>
        <v>Cannomois congesta</v>
      </c>
      <c r="D151" s="13" t="str">
        <f t="shared" si="175"/>
        <v>25C</v>
      </c>
      <c r="E151" s="14">
        <f>IF(ISBLANK(A146),"",E150+1)</f>
        <v>6</v>
      </c>
      <c r="F151" s="15">
        <f t="shared" si="172"/>
        <v>45477.83958</v>
      </c>
      <c r="G151" s="16">
        <v>2.84</v>
      </c>
    </row>
    <row r="152">
      <c r="A152" s="5" t="s">
        <v>7</v>
      </c>
      <c r="B152" s="6" t="str">
        <f t="array" ref="B152">IF(ISBLANK(A152),"",IF(A152="PROREP (L)",VLOOKUP(LEFT($A152,6),'Data Feed (25C)'!$A$1:$G$10,2,FALSE),IF(A152="PROREP (S)", INDEX('Data Feed (25C)'!B:B, MATCH(LEFT($A152,6), 'Data Feed (25C)'!$A$1:$A$10, 0) + 1), VLOOKUP($A152,'Data Feed (25C)'!$A$1:$G$10,2,FALSE))))</f>
        <v>JKS240702ERIMON_25C_sample_1</v>
      </c>
      <c r="C152" s="6" t="str">
        <f t="array" ref="C152">IF(ISBLANK(A152),"",IF(A152="PROREP (L)",VLOOKUP(LEFT($A152,6),'Data Feed (25C)'!$A$1:$G$10,3,FALSE),IF(A152="PROREP (S)", INDEX('Data Feed (25C)'!C:C, MATCH(LEFT($A152,6), 'Data Feed (25C)'!$A$1:$A$10, 0) + 1, +1), VLOOKUP($A152,'Data Feed (25C)'!$A$1:$G$10,3,FALSE))))</f>
        <v>Erica monsoniana</v>
      </c>
      <c r="D152" s="6" t="str">
        <f t="array" ref="D152">IF(ISBLANK(A152),"",IF(A152="PROREP (L)",VLOOKUP(LEFT($A152,6),'Data Feed (25C)'!$A$1:$G$10,4,FALSE),IF(A152="PROREP (S)", INDEX('Data Feed (25C)'!D:D, MATCH(LEFT($A152,6), 'Data Feed (25C)'!$A$1:$A$10, 0) + 1, +1), VLOOKUP($A152,'Data Feed (25C)'!$A$1:$G$10,4,FALSE))))</f>
        <v>25C</v>
      </c>
      <c r="E152" s="6">
        <f t="array" ref="E152">IF(ISBLANK(A152),"",IF(A152="PROREP (L)",VLOOKUP(LEFT($A152,6),'Data Feed (25C)'!$A$1:$G$10,7,FALSE),IF(A152="PROREP (S)", INDEX('Data Feed (25C)'!G:G, MATCH(LEFT($A152,6), 'Data Feed (25C)'!$A$1:$A$10, 0) + 1, +1), VLOOKUP($A152,'Data Feed (25C)'!$A$1:$G$10,7,FALSE))))</f>
        <v>1</v>
      </c>
      <c r="F152" s="7">
        <v>45477.88402777778</v>
      </c>
      <c r="G152" s="8">
        <v>0.75</v>
      </c>
    </row>
    <row r="153">
      <c r="A153" s="9" t="str">
        <f t="shared" ref="A153:A157" si="177">A152</f>
        <v>ERIMON</v>
      </c>
      <c r="B153" s="9" t="str">
        <f>IF(ISBLANK(A152),"",LEFT(B152,27)&amp;VALUE(RIGHT(B152,1)+1))</f>
        <v>JKS240702ERIMON_25C_sample_2</v>
      </c>
      <c r="C153" s="6" t="str">
        <f t="shared" ref="C153:D153" si="176">C152</f>
        <v>Erica monsoniana</v>
      </c>
      <c r="D153" s="6" t="str">
        <f t="shared" si="176"/>
        <v>25C</v>
      </c>
      <c r="E153" s="10">
        <f>IF(ISBLANK(A152),"",E152+1)</f>
        <v>2</v>
      </c>
      <c r="F153" s="11">
        <f t="shared" ref="F153:F157" si="179">F152</f>
        <v>45477.88403</v>
      </c>
      <c r="G153" s="8">
        <v>3.27</v>
      </c>
    </row>
    <row r="154">
      <c r="A154" s="9" t="str">
        <f t="shared" si="177"/>
        <v>ERIMON</v>
      </c>
      <c r="B154" s="9" t="str">
        <f>IF(ISBLANK(A152),"",LEFT(B153,27)&amp;VALUE(RIGHT(B153,1)+1))</f>
        <v>JKS240702ERIMON_25C_sample_3</v>
      </c>
      <c r="C154" s="6" t="str">
        <f t="shared" ref="C154:D154" si="178">C153</f>
        <v>Erica monsoniana</v>
      </c>
      <c r="D154" s="6" t="str">
        <f t="shared" si="178"/>
        <v>25C</v>
      </c>
      <c r="E154" s="10">
        <f>IF(ISBLANK(A152),"",E153+1)</f>
        <v>3</v>
      </c>
      <c r="F154" s="11">
        <f t="shared" si="179"/>
        <v>45477.88403</v>
      </c>
      <c r="G154" s="8">
        <v>1.11</v>
      </c>
    </row>
    <row r="155">
      <c r="A155" s="9" t="str">
        <f t="shared" si="177"/>
        <v>ERIMON</v>
      </c>
      <c r="B155" s="9" t="str">
        <f>IF(ISBLANK(A152),"",LEFT(B154,27)&amp;VALUE(RIGHT(B154,1)+1))</f>
        <v>JKS240702ERIMON_25C_sample_4</v>
      </c>
      <c r="C155" s="6" t="str">
        <f t="shared" ref="C155:D155" si="180">C154</f>
        <v>Erica monsoniana</v>
      </c>
      <c r="D155" s="6" t="str">
        <f t="shared" si="180"/>
        <v>25C</v>
      </c>
      <c r="E155" s="10">
        <f>IF(ISBLANK(A152),"",E154+1)</f>
        <v>4</v>
      </c>
      <c r="F155" s="11">
        <f t="shared" si="179"/>
        <v>45477.88403</v>
      </c>
      <c r="G155" s="8">
        <v>2.29</v>
      </c>
    </row>
    <row r="156">
      <c r="A156" s="9" t="str">
        <f t="shared" si="177"/>
        <v>ERIMON</v>
      </c>
      <c r="B156" s="9" t="str">
        <f>IF(ISBLANK(A152),"",LEFT(B155,27)&amp;VALUE(RIGHT(B155,1)+1))</f>
        <v>JKS240702ERIMON_25C_sample_5</v>
      </c>
      <c r="C156" s="6" t="str">
        <f t="shared" ref="C156:D156" si="181">C155</f>
        <v>Erica monsoniana</v>
      </c>
      <c r="D156" s="6" t="str">
        <f t="shared" si="181"/>
        <v>25C</v>
      </c>
      <c r="E156" s="10">
        <f>IF(ISBLANK(A152),"",E155+1)</f>
        <v>5</v>
      </c>
      <c r="F156" s="11">
        <f t="shared" si="179"/>
        <v>45477.88403</v>
      </c>
      <c r="G156" s="8">
        <v>1.61</v>
      </c>
    </row>
    <row r="157">
      <c r="A157" s="12" t="str">
        <f t="shared" si="177"/>
        <v>ERIMON</v>
      </c>
      <c r="B157" s="12" t="str">
        <f>IF(ISBLANK(A152),"",LEFT(B156,27)&amp;VALUE(RIGHT(B156,1)+1))</f>
        <v>JKS240702ERIMON_25C_sample_6</v>
      </c>
      <c r="C157" s="13" t="str">
        <f t="shared" ref="C157:D157" si="182">C156</f>
        <v>Erica monsoniana</v>
      </c>
      <c r="D157" s="13" t="str">
        <f t="shared" si="182"/>
        <v>25C</v>
      </c>
      <c r="E157" s="14">
        <f>IF(ISBLANK(A152),"",E156+1)</f>
        <v>6</v>
      </c>
      <c r="F157" s="15">
        <f t="shared" si="179"/>
        <v>45477.88403</v>
      </c>
      <c r="G157" s="16">
        <v>4.52</v>
      </c>
    </row>
    <row r="158">
      <c r="A158" s="5" t="s">
        <v>8</v>
      </c>
      <c r="B158" s="6" t="str">
        <f t="array" ref="B158">IF(ISBLANK(A158),"",IF(A158="PROREP (L)",VLOOKUP(LEFT($A158,6),'Data Feed (25C)'!$A$1:$G$10,2,FALSE),IF(A158="PROREP (S)", INDEX('Data Feed (25C)'!B:B, MATCH(LEFT($A158,6), 'Data Feed (25C)'!$A$1:$A$10, 0) + 1), VLOOKUP($A158,'Data Feed (25C)'!$A$1:$G$10,2,FALSE))))</f>
        <v>JKL240702PROREP_25C_sample_1</v>
      </c>
      <c r="C158" s="6" t="str">
        <f t="array" ref="C158">IF(ISBLANK(A158),"",IF(A158="PROREP (L)",VLOOKUP(LEFT($A158,6),'Data Feed (25C)'!$A$1:$G$10,3,FALSE),IF(A158="PROREP (S)", INDEX('Data Feed (25C)'!C:C, MATCH(LEFT($A158,6), 'Data Feed (25C)'!$A$1:$A$10, 0) + 1, +1), VLOOKUP($A158,'Data Feed (25C)'!$A$1:$G$10,3,FALSE))))</f>
        <v>Protea repens</v>
      </c>
      <c r="D158" s="6" t="str">
        <f t="array" ref="D158">IF(ISBLANK(A158),"",IF(A158="PROREP (L)",VLOOKUP(LEFT($A158,6),'Data Feed (25C)'!$A$1:$G$10,4,FALSE),IF(A158="PROREP (S)", INDEX('Data Feed (25C)'!D:D, MATCH(LEFT($A158,6), 'Data Feed (25C)'!$A$1:$A$10, 0) + 1, +1), VLOOKUP($A158,'Data Feed (25C)'!$A$1:$G$10,4,FALSE))))</f>
        <v>25C</v>
      </c>
      <c r="E158" s="6">
        <f t="array" ref="E158">IF(ISBLANK(A158),"",IF(A158="PROREP (L)",VLOOKUP(LEFT($A158,6),'Data Feed (25C)'!$A$1:$G$10,7,FALSE),IF(A158="PROREP (S)", INDEX('Data Feed (25C)'!G:G, MATCH(LEFT($A158,6), 'Data Feed (25C)'!$A$1:$A$10, 0) + 1, +1), VLOOKUP($A158,'Data Feed (25C)'!$A$1:$G$10,7,FALSE))))</f>
        <v>1</v>
      </c>
      <c r="F158" s="7">
        <v>45477.884722222225</v>
      </c>
      <c r="G158" s="8">
        <v>0.37</v>
      </c>
    </row>
    <row r="159">
      <c r="A159" s="9" t="str">
        <f t="shared" ref="A159:A163" si="184">A158</f>
        <v>PROREP (L)</v>
      </c>
      <c r="B159" s="9" t="str">
        <f>IF(ISBLANK(A158),"",LEFT(B158,27)&amp;VALUE(RIGHT(B158,1)+1))</f>
        <v>JKL240702PROREP_25C_sample_2</v>
      </c>
      <c r="C159" s="6" t="str">
        <f t="shared" ref="C159:D159" si="183">C158</f>
        <v>Protea repens</v>
      </c>
      <c r="D159" s="6" t="str">
        <f t="shared" si="183"/>
        <v>25C</v>
      </c>
      <c r="E159" s="10">
        <f>IF(ISBLANK(A158),"",E158+1)</f>
        <v>2</v>
      </c>
      <c r="F159" s="11">
        <f t="shared" ref="F159:F163" si="186">F158</f>
        <v>45477.88472</v>
      </c>
      <c r="G159" s="8">
        <v>0.53</v>
      </c>
    </row>
    <row r="160">
      <c r="A160" s="9" t="str">
        <f t="shared" si="184"/>
        <v>PROREP (L)</v>
      </c>
      <c r="B160" s="9" t="str">
        <f>IF(ISBLANK(A158),"",LEFT(B159,27)&amp;VALUE(RIGHT(B159,1)+1))</f>
        <v>JKL240702PROREP_25C_sample_3</v>
      </c>
      <c r="C160" s="6" t="str">
        <f t="shared" ref="C160:D160" si="185">C159</f>
        <v>Protea repens</v>
      </c>
      <c r="D160" s="6" t="str">
        <f t="shared" si="185"/>
        <v>25C</v>
      </c>
      <c r="E160" s="10">
        <f>IF(ISBLANK(A158),"",E159+1)</f>
        <v>3</v>
      </c>
      <c r="F160" s="11">
        <f t="shared" si="186"/>
        <v>45477.88472</v>
      </c>
      <c r="G160" s="8">
        <v>0.64</v>
      </c>
    </row>
    <row r="161">
      <c r="A161" s="9" t="str">
        <f t="shared" si="184"/>
        <v>PROREP (L)</v>
      </c>
      <c r="B161" s="9" t="str">
        <f>IF(ISBLANK(A158),"",LEFT(B160,27)&amp;VALUE(RIGHT(B160,1)+1))</f>
        <v>JKL240702PROREP_25C_sample_4</v>
      </c>
      <c r="C161" s="6" t="str">
        <f t="shared" ref="C161:D161" si="187">C160</f>
        <v>Protea repens</v>
      </c>
      <c r="D161" s="6" t="str">
        <f t="shared" si="187"/>
        <v>25C</v>
      </c>
      <c r="E161" s="10">
        <f>IF(ISBLANK(A158),"",E160+1)</f>
        <v>4</v>
      </c>
      <c r="F161" s="11">
        <f t="shared" si="186"/>
        <v>45477.88472</v>
      </c>
      <c r="G161" s="8">
        <v>0.55</v>
      </c>
    </row>
    <row r="162">
      <c r="A162" s="9" t="str">
        <f t="shared" si="184"/>
        <v>PROREP (L)</v>
      </c>
      <c r="B162" s="9" t="str">
        <f>IF(ISBLANK(A158),"",LEFT(B161,27)&amp;VALUE(RIGHT(B161,1)+1))</f>
        <v>JKL240702PROREP_25C_sample_5</v>
      </c>
      <c r="C162" s="6" t="str">
        <f t="shared" ref="C162:D162" si="188">C161</f>
        <v>Protea repens</v>
      </c>
      <c r="D162" s="6" t="str">
        <f t="shared" si="188"/>
        <v>25C</v>
      </c>
      <c r="E162" s="10">
        <f>IF(ISBLANK(A158),"",E161+1)</f>
        <v>5</v>
      </c>
      <c r="F162" s="11">
        <f t="shared" si="186"/>
        <v>45477.88472</v>
      </c>
      <c r="G162" s="8">
        <v>0.54</v>
      </c>
    </row>
    <row r="163">
      <c r="A163" s="12" t="str">
        <f t="shared" si="184"/>
        <v>PROREP (L)</v>
      </c>
      <c r="B163" s="12" t="str">
        <f>IF(ISBLANK(A158),"",LEFT(B162,27)&amp;VALUE(RIGHT(B162,1)+1))</f>
        <v>JKL240702PROREP_25C_sample_6</v>
      </c>
      <c r="C163" s="13" t="str">
        <f t="shared" ref="C163:D163" si="189">C162</f>
        <v>Protea repens</v>
      </c>
      <c r="D163" s="13" t="str">
        <f t="shared" si="189"/>
        <v>25C</v>
      </c>
      <c r="E163" s="14">
        <f>IF(ISBLANK(A158),"",E162+1)</f>
        <v>6</v>
      </c>
      <c r="F163" s="15">
        <f t="shared" si="186"/>
        <v>45477.88472</v>
      </c>
      <c r="G163" s="16">
        <v>0.57</v>
      </c>
    </row>
    <row r="164">
      <c r="A164" s="5" t="s">
        <v>9</v>
      </c>
      <c r="B164" s="6" t="str">
        <f t="array" ref="B164">IF(ISBLANK(A164),"",IF(A164="PROREP (L)",VLOOKUP(LEFT($A164,6),'Data Feed (25C)'!$A$1:$G$10,2,FALSE),IF(A164="PROREP (S)", INDEX('Data Feed (25C)'!B:B, MATCH(LEFT($A164,6), 'Data Feed (25C)'!$A$1:$A$10, 0) + 1), VLOOKUP($A164,'Data Feed (25C)'!$A$1:$G$10,2,FALSE))))</f>
        <v>JKS240702PROREP_25C_sample_1</v>
      </c>
      <c r="C164" s="6" t="str">
        <f t="array" ref="C164">IF(ISBLANK(A164),"",IF(A164="PROREP (L)",VLOOKUP(LEFT($A164,6),'Data Feed (25C)'!$A$1:$G$10,3,FALSE),IF(A164="PROREP (S)", INDEX('Data Feed (25C)'!C:C, MATCH(LEFT($A164,6), 'Data Feed (25C)'!$A$1:$A$10, 0) + 1, +1), VLOOKUP($A164,'Data Feed (25C)'!$A$1:$G$10,3,FALSE))))</f>
        <v>Protea repens</v>
      </c>
      <c r="D164" s="6" t="str">
        <f t="array" ref="D164">IF(ISBLANK(A164),"",IF(A164="PROREP (L)",VLOOKUP(LEFT($A164,6),'Data Feed (25C)'!$A$1:$G$10,4,FALSE),IF(A164="PROREP (S)", INDEX('Data Feed (25C)'!D:D, MATCH(LEFT($A164,6), 'Data Feed (25C)'!$A$1:$A$10, 0) + 1, +1), VLOOKUP($A164,'Data Feed (25C)'!$A$1:$G$10,4,FALSE))))</f>
        <v>25C</v>
      </c>
      <c r="E164" s="6">
        <f t="array" ref="E164">IF(ISBLANK(A164),"",IF(A164="PROREP (L)",VLOOKUP(LEFT($A164,6),'Data Feed (25C)'!$A$1:$G$10,7,FALSE),IF(A164="PROREP (S)", INDEX('Data Feed (25C)'!G:G, MATCH(LEFT($A164,6), 'Data Feed (25C)'!$A$1:$A$10, 0) + 1, +1), VLOOKUP($A164,'Data Feed (25C)'!$A$1:$G$10,7,FALSE))))</f>
        <v>1</v>
      </c>
      <c r="F164" s="7">
        <v>45477.88611111111</v>
      </c>
      <c r="G164" s="8">
        <v>12.17</v>
      </c>
    </row>
    <row r="165">
      <c r="A165" s="9" t="str">
        <f t="shared" ref="A165:A169" si="191">A164</f>
        <v>PROREP (S)</v>
      </c>
      <c r="B165" s="9" t="str">
        <f>IF(ISBLANK(A164),"",LEFT(B164,27)&amp;VALUE(RIGHT(B164,1)+1))</f>
        <v>JKS240702PROREP_25C_sample_2</v>
      </c>
      <c r="C165" s="6" t="str">
        <f t="shared" ref="C165:D165" si="190">C164</f>
        <v>Protea repens</v>
      </c>
      <c r="D165" s="6" t="str">
        <f t="shared" si="190"/>
        <v>25C</v>
      </c>
      <c r="E165" s="10">
        <f>IF(ISBLANK(A164),"",E164+1)</f>
        <v>2</v>
      </c>
      <c r="F165" s="11">
        <f t="shared" ref="F165:F169" si="193">F164</f>
        <v>45477.88611</v>
      </c>
      <c r="G165" s="8">
        <v>9.95</v>
      </c>
    </row>
    <row r="166">
      <c r="A166" s="9" t="str">
        <f t="shared" si="191"/>
        <v>PROREP (S)</v>
      </c>
      <c r="B166" s="9" t="str">
        <f>IF(ISBLANK(A164),"",LEFT(B165,27)&amp;VALUE(RIGHT(B165,1)+1))</f>
        <v>JKS240702PROREP_25C_sample_3</v>
      </c>
      <c r="C166" s="6" t="str">
        <f t="shared" ref="C166:D166" si="192">C165</f>
        <v>Protea repens</v>
      </c>
      <c r="D166" s="6" t="str">
        <f t="shared" si="192"/>
        <v>25C</v>
      </c>
      <c r="E166" s="10">
        <f>IF(ISBLANK(A164),"",E165+1)</f>
        <v>3</v>
      </c>
      <c r="F166" s="11">
        <f t="shared" si="193"/>
        <v>45477.88611</v>
      </c>
      <c r="G166" s="8">
        <v>9.57</v>
      </c>
    </row>
    <row r="167">
      <c r="A167" s="9" t="str">
        <f t="shared" si="191"/>
        <v>PROREP (S)</v>
      </c>
      <c r="B167" s="9" t="str">
        <f>IF(ISBLANK(A164),"",LEFT(B166,27)&amp;VALUE(RIGHT(B166,1)+1))</f>
        <v>JKS240702PROREP_25C_sample_4</v>
      </c>
      <c r="C167" s="6" t="str">
        <f t="shared" ref="C167:D167" si="194">C166</f>
        <v>Protea repens</v>
      </c>
      <c r="D167" s="6" t="str">
        <f t="shared" si="194"/>
        <v>25C</v>
      </c>
      <c r="E167" s="10">
        <f>IF(ISBLANK(A164),"",E166+1)</f>
        <v>4</v>
      </c>
      <c r="F167" s="11">
        <f t="shared" si="193"/>
        <v>45477.88611</v>
      </c>
      <c r="G167" s="8">
        <v>2.61</v>
      </c>
    </row>
    <row r="168">
      <c r="A168" s="9" t="str">
        <f t="shared" si="191"/>
        <v>PROREP (S)</v>
      </c>
      <c r="B168" s="9" t="str">
        <f>IF(ISBLANK(A164),"",LEFT(B167,27)&amp;VALUE(RIGHT(B167,1)+1))</f>
        <v>JKS240702PROREP_25C_sample_5</v>
      </c>
      <c r="C168" s="6" t="str">
        <f t="shared" ref="C168:D168" si="195">C167</f>
        <v>Protea repens</v>
      </c>
      <c r="D168" s="6" t="str">
        <f t="shared" si="195"/>
        <v>25C</v>
      </c>
      <c r="E168" s="10">
        <f>IF(ISBLANK(A164),"",E167+1)</f>
        <v>5</v>
      </c>
      <c r="F168" s="11">
        <f t="shared" si="193"/>
        <v>45477.88611</v>
      </c>
      <c r="G168" s="8">
        <v>10.32</v>
      </c>
    </row>
    <row r="169">
      <c r="A169" s="12" t="str">
        <f t="shared" si="191"/>
        <v>PROREP (S)</v>
      </c>
      <c r="B169" s="12" t="str">
        <f>IF(ISBLANK(A164),"",LEFT(B168,27)&amp;VALUE(RIGHT(B168,1)+1))</f>
        <v>JKS240702PROREP_25C_sample_6</v>
      </c>
      <c r="C169" s="13" t="str">
        <f t="shared" ref="C169:D169" si="196">C168</f>
        <v>Protea repens</v>
      </c>
      <c r="D169" s="13" t="str">
        <f t="shared" si="196"/>
        <v>25C</v>
      </c>
      <c r="E169" s="14">
        <f>IF(ISBLANK(A164),"",E168+1)</f>
        <v>6</v>
      </c>
      <c r="F169" s="15">
        <f t="shared" si="193"/>
        <v>45477.88611</v>
      </c>
      <c r="G169" s="16">
        <v>4.79</v>
      </c>
    </row>
    <row r="170">
      <c r="A170" s="5" t="s">
        <v>10</v>
      </c>
      <c r="B170" s="6" t="str">
        <f t="array" ref="B170">IF(ISBLANK(A170),"",IF(A170="PROREP (L)",VLOOKUP(LEFT($A170,6),'Data Feed (25C)'!$A$1:$G$10,2,FALSE),IF(A170="PROREP (S)", INDEX('Data Feed (25C)'!B:B, MATCH(LEFT($A170,6), 'Data Feed (25C)'!$A$1:$A$10, 0) + 1), VLOOKUP($A170,'Data Feed (25C)'!$A$1:$G$10,2,FALSE))))</f>
        <v>JKS240702CANCON_25C_sample_1</v>
      </c>
      <c r="C170" s="6" t="str">
        <f t="array" ref="C170">IF(ISBLANK(A170),"",IF(A170="PROREP (L)",VLOOKUP(LEFT($A170,6),'Data Feed (25C)'!$A$1:$G$10,3,FALSE),IF(A170="PROREP (S)", INDEX('Data Feed (25C)'!C:C, MATCH(LEFT($A170,6), 'Data Feed (25C)'!$A$1:$A$10, 0) + 1, +1), VLOOKUP($A170,'Data Feed (25C)'!$A$1:$G$10,3,FALSE))))</f>
        <v>Cannomois congesta</v>
      </c>
      <c r="D170" s="6" t="str">
        <f t="array" ref="D170">IF(ISBLANK(A170),"",IF(A170="PROREP (L)",VLOOKUP(LEFT($A170,6),'Data Feed (25C)'!$A$1:$G$10,4,FALSE),IF(A170="PROREP (S)", INDEX('Data Feed (25C)'!D:D, MATCH(LEFT($A170,6), 'Data Feed (25C)'!$A$1:$A$10, 0) + 1, +1), VLOOKUP($A170,'Data Feed (25C)'!$A$1:$G$10,4,FALSE))))</f>
        <v>25C</v>
      </c>
      <c r="E170" s="6">
        <f t="array" ref="E170">IF(ISBLANK(A170),"",IF(A170="PROREP (L)",VLOOKUP(LEFT($A170,6),'Data Feed (25C)'!$A$1:$G$10,7,FALSE),IF(A170="PROREP (S)", INDEX('Data Feed (25C)'!G:G, MATCH(LEFT($A170,6), 'Data Feed (25C)'!$A$1:$A$10, 0) + 1, +1), VLOOKUP($A170,'Data Feed (25C)'!$A$1:$G$10,7,FALSE))))</f>
        <v>1</v>
      </c>
      <c r="F170" s="7">
        <v>45477.8875</v>
      </c>
      <c r="G170" s="8">
        <v>0.8</v>
      </c>
    </row>
    <row r="171">
      <c r="A171" s="9" t="str">
        <f t="shared" ref="A171:A175" si="198">A170</f>
        <v>CANCON</v>
      </c>
      <c r="B171" s="9" t="str">
        <f>IF(ISBLANK(A170),"",LEFT(B170,27)&amp;VALUE(RIGHT(B170,1)+1))</f>
        <v>JKS240702CANCON_25C_sample_2</v>
      </c>
      <c r="C171" s="6" t="str">
        <f t="shared" ref="C171:D171" si="197">C170</f>
        <v>Cannomois congesta</v>
      </c>
      <c r="D171" s="6" t="str">
        <f t="shared" si="197"/>
        <v>25C</v>
      </c>
      <c r="E171" s="10">
        <f>IF(ISBLANK(A170),"",E170+1)</f>
        <v>2</v>
      </c>
      <c r="F171" s="11">
        <f t="shared" ref="F171:F175" si="200">F170</f>
        <v>45477.8875</v>
      </c>
      <c r="G171" s="8">
        <v>1.24</v>
      </c>
    </row>
    <row r="172">
      <c r="A172" s="9" t="str">
        <f t="shared" si="198"/>
        <v>CANCON</v>
      </c>
      <c r="B172" s="9" t="str">
        <f>IF(ISBLANK(A170),"",LEFT(B171,27)&amp;VALUE(RIGHT(B171,1)+1))</f>
        <v>JKS240702CANCON_25C_sample_3</v>
      </c>
      <c r="C172" s="6" t="str">
        <f t="shared" ref="C172:D172" si="199">C171</f>
        <v>Cannomois congesta</v>
      </c>
      <c r="D172" s="6" t="str">
        <f t="shared" si="199"/>
        <v>25C</v>
      </c>
      <c r="E172" s="10">
        <f>IF(ISBLANK(A170),"",E171+1)</f>
        <v>3</v>
      </c>
      <c r="F172" s="11">
        <f t="shared" si="200"/>
        <v>45477.8875</v>
      </c>
      <c r="G172" s="8">
        <v>2.21</v>
      </c>
    </row>
    <row r="173">
      <c r="A173" s="9" t="str">
        <f t="shared" si="198"/>
        <v>CANCON</v>
      </c>
      <c r="B173" s="9" t="str">
        <f>IF(ISBLANK(A170),"",LEFT(B172,27)&amp;VALUE(RIGHT(B172,1)+1))</f>
        <v>JKS240702CANCON_25C_sample_4</v>
      </c>
      <c r="C173" s="6" t="str">
        <f t="shared" ref="C173:D173" si="201">C172</f>
        <v>Cannomois congesta</v>
      </c>
      <c r="D173" s="6" t="str">
        <f t="shared" si="201"/>
        <v>25C</v>
      </c>
      <c r="E173" s="10">
        <f>IF(ISBLANK(A170),"",E172+1)</f>
        <v>4</v>
      </c>
      <c r="F173" s="11">
        <f t="shared" si="200"/>
        <v>45477.8875</v>
      </c>
      <c r="G173" s="8">
        <v>1.1</v>
      </c>
    </row>
    <row r="174">
      <c r="A174" s="9" t="str">
        <f t="shared" si="198"/>
        <v>CANCON</v>
      </c>
      <c r="B174" s="9" t="str">
        <f>IF(ISBLANK(A170),"",LEFT(B173,27)&amp;VALUE(RIGHT(B173,1)+1))</f>
        <v>JKS240702CANCON_25C_sample_5</v>
      </c>
      <c r="C174" s="6" t="str">
        <f t="shared" ref="C174:D174" si="202">C173</f>
        <v>Cannomois congesta</v>
      </c>
      <c r="D174" s="6" t="str">
        <f t="shared" si="202"/>
        <v>25C</v>
      </c>
      <c r="E174" s="10">
        <f>IF(ISBLANK(A170),"",E173+1)</f>
        <v>5</v>
      </c>
      <c r="F174" s="11">
        <f t="shared" si="200"/>
        <v>45477.8875</v>
      </c>
      <c r="G174" s="8">
        <v>3.22</v>
      </c>
    </row>
    <row r="175">
      <c r="A175" s="12" t="str">
        <f t="shared" si="198"/>
        <v>CANCON</v>
      </c>
      <c r="B175" s="12" t="str">
        <f>IF(ISBLANK(A170),"",LEFT(B174,27)&amp;VALUE(RIGHT(B174,1)+1))</f>
        <v>JKS240702CANCON_25C_sample_6</v>
      </c>
      <c r="C175" s="13" t="str">
        <f t="shared" ref="C175:D175" si="203">C174</f>
        <v>Cannomois congesta</v>
      </c>
      <c r="D175" s="13" t="str">
        <f t="shared" si="203"/>
        <v>25C</v>
      </c>
      <c r="E175" s="14">
        <f>IF(ISBLANK(A170),"",E174+1)</f>
        <v>6</v>
      </c>
      <c r="F175" s="15">
        <f t="shared" si="200"/>
        <v>45477.8875</v>
      </c>
      <c r="G175" s="16">
        <v>2.78</v>
      </c>
    </row>
    <row r="176">
      <c r="A176" s="5" t="s">
        <v>7</v>
      </c>
      <c r="B176" s="6" t="str">
        <f t="array" ref="B176">IF(ISBLANK(A176),"",IF(A176="PROREP (L)",VLOOKUP(LEFT($A176,6),'Data Feed (25C)'!$A$1:$G$10,2,FALSE),IF(A176="PROREP (S)", INDEX('Data Feed (25C)'!B:B, MATCH(LEFT($A176,6), 'Data Feed (25C)'!$A$1:$A$10, 0) + 1), VLOOKUP($A176,'Data Feed (25C)'!$A$1:$G$10,2,FALSE))))</f>
        <v>JKS240702ERIMON_25C_sample_1</v>
      </c>
      <c r="C176" s="6" t="str">
        <f t="array" ref="C176">IF(ISBLANK(A176),"",IF(A176="PROREP (L)",VLOOKUP(LEFT($A176,6),'Data Feed (25C)'!$A$1:$G$10,3,FALSE),IF(A176="PROREP (S)", INDEX('Data Feed (25C)'!C:C, MATCH(LEFT($A176,6), 'Data Feed (25C)'!$A$1:$A$10, 0) + 1, +1), VLOOKUP($A176,'Data Feed (25C)'!$A$1:$G$10,3,FALSE))))</f>
        <v>Erica monsoniana</v>
      </c>
      <c r="D176" s="6" t="str">
        <f t="array" ref="D176">IF(ISBLANK(A176),"",IF(A176="PROREP (L)",VLOOKUP(LEFT($A176,6),'Data Feed (25C)'!$A$1:$G$10,4,FALSE),IF(A176="PROREP (S)", INDEX('Data Feed (25C)'!D:D, MATCH(LEFT($A176,6), 'Data Feed (25C)'!$A$1:$A$10, 0) + 1, +1), VLOOKUP($A176,'Data Feed (25C)'!$A$1:$G$10,4,FALSE))))</f>
        <v>25C</v>
      </c>
      <c r="E176" s="6">
        <f t="array" ref="E176">IF(ISBLANK(A176),"",IF(A176="PROREP (L)",VLOOKUP(LEFT($A176,6),'Data Feed (25C)'!$A$1:$G$10,7,FALSE),IF(A176="PROREP (S)", INDEX('Data Feed (25C)'!G:G, MATCH(LEFT($A176,6), 'Data Feed (25C)'!$A$1:$A$10, 0) + 1, +1), VLOOKUP($A176,'Data Feed (25C)'!$A$1:$G$10,7,FALSE))))</f>
        <v>1</v>
      </c>
      <c r="F176" s="7">
        <v>45477.94097222222</v>
      </c>
      <c r="G176" s="8">
        <v>0.72</v>
      </c>
    </row>
    <row r="177">
      <c r="A177" s="9" t="str">
        <f t="shared" ref="A177:A181" si="205">A176</f>
        <v>ERIMON</v>
      </c>
      <c r="B177" s="9" t="str">
        <f>IF(ISBLANK(A176),"",LEFT(B176,27)&amp;VALUE(RIGHT(B176,1)+1))</f>
        <v>JKS240702ERIMON_25C_sample_2</v>
      </c>
      <c r="C177" s="6" t="str">
        <f t="shared" ref="C177:D177" si="204">C176</f>
        <v>Erica monsoniana</v>
      </c>
      <c r="D177" s="6" t="str">
        <f t="shared" si="204"/>
        <v>25C</v>
      </c>
      <c r="E177" s="10">
        <f>IF(ISBLANK(A176),"",E176+1)</f>
        <v>2</v>
      </c>
      <c r="F177" s="11">
        <f t="shared" ref="F177:F181" si="207">F176</f>
        <v>45477.94097</v>
      </c>
      <c r="G177" s="8">
        <v>3.09</v>
      </c>
    </row>
    <row r="178">
      <c r="A178" s="9" t="str">
        <f t="shared" si="205"/>
        <v>ERIMON</v>
      </c>
      <c r="B178" s="9" t="str">
        <f>IF(ISBLANK(A176),"",LEFT(B177,27)&amp;VALUE(RIGHT(B177,1)+1))</f>
        <v>JKS240702ERIMON_25C_sample_3</v>
      </c>
      <c r="C178" s="6" t="str">
        <f t="shared" ref="C178:D178" si="206">C177</f>
        <v>Erica monsoniana</v>
      </c>
      <c r="D178" s="6" t="str">
        <f t="shared" si="206"/>
        <v>25C</v>
      </c>
      <c r="E178" s="10">
        <f>IF(ISBLANK(A176),"",E177+1)</f>
        <v>3</v>
      </c>
      <c r="F178" s="11">
        <f t="shared" si="207"/>
        <v>45477.94097</v>
      </c>
      <c r="G178" s="8">
        <v>1.08</v>
      </c>
    </row>
    <row r="179">
      <c r="A179" s="9" t="str">
        <f t="shared" si="205"/>
        <v>ERIMON</v>
      </c>
      <c r="B179" s="9" t="str">
        <f>IF(ISBLANK(A176),"",LEFT(B178,27)&amp;VALUE(RIGHT(B178,1)+1))</f>
        <v>JKS240702ERIMON_25C_sample_4</v>
      </c>
      <c r="C179" s="6" t="str">
        <f t="shared" ref="C179:D179" si="208">C178</f>
        <v>Erica monsoniana</v>
      </c>
      <c r="D179" s="6" t="str">
        <f t="shared" si="208"/>
        <v>25C</v>
      </c>
      <c r="E179" s="10">
        <f>IF(ISBLANK(A176),"",E178+1)</f>
        <v>4</v>
      </c>
      <c r="F179" s="11">
        <f t="shared" si="207"/>
        <v>45477.94097</v>
      </c>
      <c r="G179" s="8">
        <v>2.2</v>
      </c>
    </row>
    <row r="180">
      <c r="A180" s="9" t="str">
        <f t="shared" si="205"/>
        <v>ERIMON</v>
      </c>
      <c r="B180" s="9" t="str">
        <f>IF(ISBLANK(A176),"",LEFT(B179,27)&amp;VALUE(RIGHT(B179,1)+1))</f>
        <v>JKS240702ERIMON_25C_sample_5</v>
      </c>
      <c r="C180" s="6" t="str">
        <f t="shared" ref="C180:D180" si="209">C179</f>
        <v>Erica monsoniana</v>
      </c>
      <c r="D180" s="6" t="str">
        <f t="shared" si="209"/>
        <v>25C</v>
      </c>
      <c r="E180" s="10">
        <f>IF(ISBLANK(A176),"",E179+1)</f>
        <v>5</v>
      </c>
      <c r="F180" s="11">
        <f t="shared" si="207"/>
        <v>45477.94097</v>
      </c>
      <c r="G180" s="8">
        <v>1.57</v>
      </c>
    </row>
    <row r="181">
      <c r="A181" s="12" t="str">
        <f t="shared" si="205"/>
        <v>ERIMON</v>
      </c>
      <c r="B181" s="12" t="str">
        <f>IF(ISBLANK(A176),"",LEFT(B180,27)&amp;VALUE(RIGHT(B180,1)+1))</f>
        <v>JKS240702ERIMON_25C_sample_6</v>
      </c>
      <c r="C181" s="13" t="str">
        <f t="shared" ref="C181:D181" si="210">C180</f>
        <v>Erica monsoniana</v>
      </c>
      <c r="D181" s="13" t="str">
        <f t="shared" si="210"/>
        <v>25C</v>
      </c>
      <c r="E181" s="14">
        <f>IF(ISBLANK(A176),"",E180+1)</f>
        <v>6</v>
      </c>
      <c r="F181" s="15">
        <f t="shared" si="207"/>
        <v>45477.94097</v>
      </c>
      <c r="G181" s="16">
        <v>4.44</v>
      </c>
    </row>
    <row r="182">
      <c r="A182" s="5" t="s">
        <v>8</v>
      </c>
      <c r="B182" s="6" t="str">
        <f t="array" ref="B182">IF(ISBLANK(A182),"",IF(A182="PROREP (L)",VLOOKUP(LEFT($A182,6),'Data Feed (25C)'!$A$1:$G$10,2,FALSE),IF(A182="PROREP (S)", INDEX('Data Feed (25C)'!B:B, MATCH(LEFT($A182,6), 'Data Feed (25C)'!$A$1:$A$10, 0) + 1), VLOOKUP($A182,'Data Feed (25C)'!$A$1:$G$10,2,FALSE))))</f>
        <v>JKL240702PROREP_25C_sample_1</v>
      </c>
      <c r="C182" s="6" t="str">
        <f t="array" ref="C182">IF(ISBLANK(A182),"",IF(A182="PROREP (L)",VLOOKUP(LEFT($A182,6),'Data Feed (25C)'!$A$1:$G$10,3,FALSE),IF(A182="PROREP (S)", INDEX('Data Feed (25C)'!C:C, MATCH(LEFT($A182,6), 'Data Feed (25C)'!$A$1:$A$10, 0) + 1, +1), VLOOKUP($A182,'Data Feed (25C)'!$A$1:$G$10,3,FALSE))))</f>
        <v>Protea repens</v>
      </c>
      <c r="D182" s="6" t="str">
        <f t="array" ref="D182">IF(ISBLANK(A182),"",IF(A182="PROREP (L)",VLOOKUP(LEFT($A182,6),'Data Feed (25C)'!$A$1:$G$10,4,FALSE),IF(A182="PROREP (S)", INDEX('Data Feed (25C)'!D:D, MATCH(LEFT($A182,6), 'Data Feed (25C)'!$A$1:$A$10, 0) + 1, +1), VLOOKUP($A182,'Data Feed (25C)'!$A$1:$G$10,4,FALSE))))</f>
        <v>25C</v>
      </c>
      <c r="E182" s="6">
        <f t="array" ref="E182">IF(ISBLANK(A182),"",IF(A182="PROREP (L)",VLOOKUP(LEFT($A182,6),'Data Feed (25C)'!$A$1:$G$10,7,FALSE),IF(A182="PROREP (S)", INDEX('Data Feed (25C)'!G:G, MATCH(LEFT($A182,6), 'Data Feed (25C)'!$A$1:$A$10, 0) + 1, +1), VLOOKUP($A182,'Data Feed (25C)'!$A$1:$G$10,7,FALSE))))</f>
        <v>1</v>
      </c>
      <c r="F182" s="7">
        <v>45477.94236111111</v>
      </c>
      <c r="G182" s="8">
        <v>0.39</v>
      </c>
    </row>
    <row r="183">
      <c r="A183" s="9" t="str">
        <f t="shared" ref="A183:A187" si="212">A182</f>
        <v>PROREP (L)</v>
      </c>
      <c r="B183" s="9" t="str">
        <f>IF(ISBLANK(A182),"",LEFT(B182,27)&amp;VALUE(RIGHT(B182,1)+1))</f>
        <v>JKL240702PROREP_25C_sample_2</v>
      </c>
      <c r="C183" s="6" t="str">
        <f t="shared" ref="C183:D183" si="211">C182</f>
        <v>Protea repens</v>
      </c>
      <c r="D183" s="6" t="str">
        <f t="shared" si="211"/>
        <v>25C</v>
      </c>
      <c r="E183" s="10">
        <f>IF(ISBLANK(A182),"",E182+1)</f>
        <v>2</v>
      </c>
      <c r="F183" s="11">
        <f t="shared" ref="F183:F187" si="214">F182</f>
        <v>45477.94236</v>
      </c>
      <c r="G183" s="8">
        <v>0.55</v>
      </c>
    </row>
    <row r="184">
      <c r="A184" s="9" t="str">
        <f t="shared" si="212"/>
        <v>PROREP (L)</v>
      </c>
      <c r="B184" s="9" t="str">
        <f>IF(ISBLANK(A182),"",LEFT(B183,27)&amp;VALUE(RIGHT(B183,1)+1))</f>
        <v>JKL240702PROREP_25C_sample_3</v>
      </c>
      <c r="C184" s="6" t="str">
        <f t="shared" ref="C184:D184" si="213">C183</f>
        <v>Protea repens</v>
      </c>
      <c r="D184" s="6" t="str">
        <f t="shared" si="213"/>
        <v>25C</v>
      </c>
      <c r="E184" s="10">
        <f>IF(ISBLANK(A182),"",E183+1)</f>
        <v>3</v>
      </c>
      <c r="F184" s="11">
        <f t="shared" si="214"/>
        <v>45477.94236</v>
      </c>
      <c r="G184" s="8">
        <v>0.67</v>
      </c>
    </row>
    <row r="185">
      <c r="A185" s="9" t="str">
        <f t="shared" si="212"/>
        <v>PROREP (L)</v>
      </c>
      <c r="B185" s="9" t="str">
        <f>IF(ISBLANK(A182),"",LEFT(B184,27)&amp;VALUE(RIGHT(B184,1)+1))</f>
        <v>JKL240702PROREP_25C_sample_4</v>
      </c>
      <c r="C185" s="6" t="str">
        <f t="shared" ref="C185:D185" si="215">C184</f>
        <v>Protea repens</v>
      </c>
      <c r="D185" s="6" t="str">
        <f t="shared" si="215"/>
        <v>25C</v>
      </c>
      <c r="E185" s="10">
        <f>IF(ISBLANK(A182),"",E184+1)</f>
        <v>4</v>
      </c>
      <c r="F185" s="11">
        <f t="shared" si="214"/>
        <v>45477.94236</v>
      </c>
      <c r="G185" s="8">
        <v>0.46</v>
      </c>
    </row>
    <row r="186">
      <c r="A186" s="9" t="str">
        <f t="shared" si="212"/>
        <v>PROREP (L)</v>
      </c>
      <c r="B186" s="9" t="str">
        <f>IF(ISBLANK(A182),"",LEFT(B185,27)&amp;VALUE(RIGHT(B185,1)+1))</f>
        <v>JKL240702PROREP_25C_sample_5</v>
      </c>
      <c r="C186" s="6" t="str">
        <f t="shared" ref="C186:D186" si="216">C185</f>
        <v>Protea repens</v>
      </c>
      <c r="D186" s="6" t="str">
        <f t="shared" si="216"/>
        <v>25C</v>
      </c>
      <c r="E186" s="10">
        <f>IF(ISBLANK(A182),"",E185+1)</f>
        <v>5</v>
      </c>
      <c r="F186" s="11">
        <f t="shared" si="214"/>
        <v>45477.94236</v>
      </c>
      <c r="G186" s="8">
        <v>0.46</v>
      </c>
    </row>
    <row r="187">
      <c r="A187" s="12" t="str">
        <f t="shared" si="212"/>
        <v>PROREP (L)</v>
      </c>
      <c r="B187" s="12" t="str">
        <f>IF(ISBLANK(A182),"",LEFT(B186,27)&amp;VALUE(RIGHT(B186,1)+1))</f>
        <v>JKL240702PROREP_25C_sample_6</v>
      </c>
      <c r="C187" s="13" t="str">
        <f t="shared" ref="C187:D187" si="217">C186</f>
        <v>Protea repens</v>
      </c>
      <c r="D187" s="13" t="str">
        <f t="shared" si="217"/>
        <v>25C</v>
      </c>
      <c r="E187" s="14">
        <f>IF(ISBLANK(A182),"",E186+1)</f>
        <v>6</v>
      </c>
      <c r="F187" s="15">
        <f t="shared" si="214"/>
        <v>45477.94236</v>
      </c>
      <c r="G187" s="16">
        <v>0.53</v>
      </c>
    </row>
    <row r="188">
      <c r="A188" s="5" t="s">
        <v>9</v>
      </c>
      <c r="B188" s="6" t="str">
        <f t="array" ref="B188">IF(ISBLANK(A188),"",IF(A188="PROREP (L)",VLOOKUP(LEFT($A188,6),'Data Feed (25C)'!$A$1:$G$10,2,FALSE),IF(A188="PROREP (S)", INDEX('Data Feed (25C)'!B:B, MATCH(LEFT($A188,6), 'Data Feed (25C)'!$A$1:$A$10, 0) + 1), VLOOKUP($A188,'Data Feed (25C)'!$A$1:$G$10,2,FALSE))))</f>
        <v>JKS240702PROREP_25C_sample_1</v>
      </c>
      <c r="C188" s="6" t="str">
        <f t="array" ref="C188">IF(ISBLANK(A188),"",IF(A188="PROREP (L)",VLOOKUP(LEFT($A188,6),'Data Feed (25C)'!$A$1:$G$10,3,FALSE),IF(A188="PROREP (S)", INDEX('Data Feed (25C)'!C:C, MATCH(LEFT($A188,6), 'Data Feed (25C)'!$A$1:$A$10, 0) + 1, +1), VLOOKUP($A188,'Data Feed (25C)'!$A$1:$G$10,3,FALSE))))</f>
        <v>Protea repens</v>
      </c>
      <c r="D188" s="6" t="str">
        <f t="array" ref="D188">IF(ISBLANK(A188),"",IF(A188="PROREP (L)",VLOOKUP(LEFT($A188,6),'Data Feed (25C)'!$A$1:$G$10,4,FALSE),IF(A188="PROREP (S)", INDEX('Data Feed (25C)'!D:D, MATCH(LEFT($A188,6), 'Data Feed (25C)'!$A$1:$A$10, 0) + 1, +1), VLOOKUP($A188,'Data Feed (25C)'!$A$1:$G$10,4,FALSE))))</f>
        <v>25C</v>
      </c>
      <c r="E188" s="6">
        <f t="array" ref="E188">IF(ISBLANK(A188),"",IF(A188="PROREP (L)",VLOOKUP(LEFT($A188,6),'Data Feed (25C)'!$A$1:$G$10,7,FALSE),IF(A188="PROREP (S)", INDEX('Data Feed (25C)'!G:G, MATCH(LEFT($A188,6), 'Data Feed (25C)'!$A$1:$A$10, 0) + 1, +1), VLOOKUP($A188,'Data Feed (25C)'!$A$1:$G$10,7,FALSE))))</f>
        <v>1</v>
      </c>
      <c r="F188" s="7">
        <v>45477.94305555556</v>
      </c>
      <c r="G188" s="8">
        <v>12.12</v>
      </c>
    </row>
    <row r="189">
      <c r="A189" s="9" t="str">
        <f t="shared" ref="A189:A193" si="219">A188</f>
        <v>PROREP (S)</v>
      </c>
      <c r="B189" s="9" t="str">
        <f>IF(ISBLANK(A188),"",LEFT(B188,27)&amp;VALUE(RIGHT(B188,1)+1))</f>
        <v>JKS240702PROREP_25C_sample_2</v>
      </c>
      <c r="C189" s="6" t="str">
        <f t="shared" ref="C189:D189" si="218">C188</f>
        <v>Protea repens</v>
      </c>
      <c r="D189" s="6" t="str">
        <f t="shared" si="218"/>
        <v>25C</v>
      </c>
      <c r="E189" s="10">
        <f>IF(ISBLANK(A188),"",E188+1)</f>
        <v>2</v>
      </c>
      <c r="F189" s="11">
        <f t="shared" ref="F189:F193" si="221">F188</f>
        <v>45477.94306</v>
      </c>
      <c r="G189" s="8">
        <v>9.9</v>
      </c>
    </row>
    <row r="190">
      <c r="A190" s="9" t="str">
        <f t="shared" si="219"/>
        <v>PROREP (S)</v>
      </c>
      <c r="B190" s="9" t="str">
        <f>IF(ISBLANK(A188),"",LEFT(B189,27)&amp;VALUE(RIGHT(B189,1)+1))</f>
        <v>JKS240702PROREP_25C_sample_3</v>
      </c>
      <c r="C190" s="6" t="str">
        <f t="shared" ref="C190:D190" si="220">C189</f>
        <v>Protea repens</v>
      </c>
      <c r="D190" s="6" t="str">
        <f t="shared" si="220"/>
        <v>25C</v>
      </c>
      <c r="E190" s="10">
        <f>IF(ISBLANK(A188),"",E189+1)</f>
        <v>3</v>
      </c>
      <c r="F190" s="11">
        <f t="shared" si="221"/>
        <v>45477.94306</v>
      </c>
      <c r="G190" s="8">
        <v>9.25</v>
      </c>
    </row>
    <row r="191">
      <c r="A191" s="9" t="str">
        <f t="shared" si="219"/>
        <v>PROREP (S)</v>
      </c>
      <c r="B191" s="9" t="str">
        <f>IF(ISBLANK(A188),"",LEFT(B190,27)&amp;VALUE(RIGHT(B190,1)+1))</f>
        <v>JKS240702PROREP_25C_sample_4</v>
      </c>
      <c r="C191" s="6" t="str">
        <f t="shared" ref="C191:D191" si="222">C190</f>
        <v>Protea repens</v>
      </c>
      <c r="D191" s="6" t="str">
        <f t="shared" si="222"/>
        <v>25C</v>
      </c>
      <c r="E191" s="10">
        <f>IF(ISBLANK(A188),"",E190+1)</f>
        <v>4</v>
      </c>
      <c r="F191" s="11">
        <f t="shared" si="221"/>
        <v>45477.94306</v>
      </c>
      <c r="G191" s="8">
        <v>2.59</v>
      </c>
    </row>
    <row r="192">
      <c r="A192" s="9" t="str">
        <f t="shared" si="219"/>
        <v>PROREP (S)</v>
      </c>
      <c r="B192" s="9" t="str">
        <f>IF(ISBLANK(A188),"",LEFT(B191,27)&amp;VALUE(RIGHT(B191,1)+1))</f>
        <v>JKS240702PROREP_25C_sample_5</v>
      </c>
      <c r="C192" s="6" t="str">
        <f t="shared" ref="C192:D192" si="223">C191</f>
        <v>Protea repens</v>
      </c>
      <c r="D192" s="6" t="str">
        <f t="shared" si="223"/>
        <v>25C</v>
      </c>
      <c r="E192" s="10">
        <f>IF(ISBLANK(A188),"",E191+1)</f>
        <v>5</v>
      </c>
      <c r="F192" s="11">
        <f t="shared" si="221"/>
        <v>45477.94306</v>
      </c>
      <c r="G192" s="8">
        <v>10.24</v>
      </c>
    </row>
    <row r="193">
      <c r="A193" s="12" t="str">
        <f t="shared" si="219"/>
        <v>PROREP (S)</v>
      </c>
      <c r="B193" s="12" t="str">
        <f>IF(ISBLANK(A188),"",LEFT(B192,27)&amp;VALUE(RIGHT(B192,1)+1))</f>
        <v>JKS240702PROREP_25C_sample_6</v>
      </c>
      <c r="C193" s="13" t="str">
        <f t="shared" ref="C193:D193" si="224">C192</f>
        <v>Protea repens</v>
      </c>
      <c r="D193" s="13" t="str">
        <f t="shared" si="224"/>
        <v>25C</v>
      </c>
      <c r="E193" s="14">
        <f>IF(ISBLANK(A188),"",E192+1)</f>
        <v>6</v>
      </c>
      <c r="F193" s="15">
        <f t="shared" si="221"/>
        <v>45477.94306</v>
      </c>
      <c r="G193" s="16">
        <v>4.76</v>
      </c>
    </row>
    <row r="194">
      <c r="A194" s="5" t="s">
        <v>10</v>
      </c>
      <c r="B194" s="6" t="str">
        <f t="array" ref="B194">IF(ISBLANK(A194),"",IF(A194="PROREP (L)",VLOOKUP(LEFT($A194,6),'Data Feed (25C)'!$A$1:$G$10,2,FALSE),IF(A194="PROREP (S)", INDEX('Data Feed (25C)'!B:B, MATCH(LEFT($A194,6), 'Data Feed (25C)'!$A$1:$A$10, 0) + 1), VLOOKUP($A194,'Data Feed (25C)'!$A$1:$G$10,2,FALSE))))</f>
        <v>JKS240702CANCON_25C_sample_1</v>
      </c>
      <c r="C194" s="6" t="str">
        <f t="array" ref="C194">IF(ISBLANK(A194),"",IF(A194="PROREP (L)",VLOOKUP(LEFT($A194,6),'Data Feed (25C)'!$A$1:$G$10,3,FALSE),IF(A194="PROREP (S)", INDEX('Data Feed (25C)'!C:C, MATCH(LEFT($A194,6), 'Data Feed (25C)'!$A$1:$A$10, 0) + 1, +1), VLOOKUP($A194,'Data Feed (25C)'!$A$1:$G$10,3,FALSE))))</f>
        <v>Cannomois congesta</v>
      </c>
      <c r="D194" s="6" t="str">
        <f t="array" ref="D194">IF(ISBLANK(A194),"",IF(A194="PROREP (L)",VLOOKUP(LEFT($A194,6),'Data Feed (25C)'!$A$1:$G$10,4,FALSE),IF(A194="PROREP (S)", INDEX('Data Feed (25C)'!D:D, MATCH(LEFT($A194,6), 'Data Feed (25C)'!$A$1:$A$10, 0) + 1, +1), VLOOKUP($A194,'Data Feed (25C)'!$A$1:$G$10,4,FALSE))))</f>
        <v>25C</v>
      </c>
      <c r="E194" s="6">
        <f t="array" ref="E194">IF(ISBLANK(A194),"",IF(A194="PROREP (L)",VLOOKUP(LEFT($A194,6),'Data Feed (25C)'!$A$1:$G$10,7,FALSE),IF(A194="PROREP (S)", INDEX('Data Feed (25C)'!G:G, MATCH(LEFT($A194,6), 'Data Feed (25C)'!$A$1:$A$10, 0) + 1, +1), VLOOKUP($A194,'Data Feed (25C)'!$A$1:$G$10,7,FALSE))))</f>
        <v>1</v>
      </c>
      <c r="F194" s="7">
        <v>45477.944444444445</v>
      </c>
      <c r="G194" s="8">
        <v>0.77</v>
      </c>
    </row>
    <row r="195">
      <c r="A195" s="9" t="str">
        <f t="shared" ref="A195:A199" si="226">A194</f>
        <v>CANCON</v>
      </c>
      <c r="B195" s="9" t="str">
        <f>IF(ISBLANK(A194),"",LEFT(B194,27)&amp;VALUE(RIGHT(B194,1)+1))</f>
        <v>JKS240702CANCON_25C_sample_2</v>
      </c>
      <c r="C195" s="6" t="str">
        <f t="shared" ref="C195:D195" si="225">C194</f>
        <v>Cannomois congesta</v>
      </c>
      <c r="D195" s="6" t="str">
        <f t="shared" si="225"/>
        <v>25C</v>
      </c>
      <c r="E195" s="10">
        <f>IF(ISBLANK(A194),"",E194+1)</f>
        <v>2</v>
      </c>
      <c r="F195" s="11">
        <f t="shared" ref="F195:F199" si="228">F194</f>
        <v>45477.94444</v>
      </c>
      <c r="G195" s="8">
        <v>1.2</v>
      </c>
    </row>
    <row r="196">
      <c r="A196" s="9" t="str">
        <f t="shared" si="226"/>
        <v>CANCON</v>
      </c>
      <c r="B196" s="9" t="str">
        <f>IF(ISBLANK(A194),"",LEFT(B195,27)&amp;VALUE(RIGHT(B195,1)+1))</f>
        <v>JKS240702CANCON_25C_sample_3</v>
      </c>
      <c r="C196" s="6" t="str">
        <f t="shared" ref="C196:D196" si="227">C195</f>
        <v>Cannomois congesta</v>
      </c>
      <c r="D196" s="6" t="str">
        <f t="shared" si="227"/>
        <v>25C</v>
      </c>
      <c r="E196" s="10">
        <f>IF(ISBLANK(A194),"",E195+1)</f>
        <v>3</v>
      </c>
      <c r="F196" s="11">
        <f t="shared" si="228"/>
        <v>45477.94444</v>
      </c>
      <c r="G196" s="8">
        <v>2.15</v>
      </c>
    </row>
    <row r="197">
      <c r="A197" s="9" t="str">
        <f t="shared" si="226"/>
        <v>CANCON</v>
      </c>
      <c r="B197" s="9" t="str">
        <f>IF(ISBLANK(A194),"",LEFT(B196,27)&amp;VALUE(RIGHT(B196,1)+1))</f>
        <v>JKS240702CANCON_25C_sample_4</v>
      </c>
      <c r="C197" s="6" t="str">
        <f t="shared" ref="C197:D197" si="229">C196</f>
        <v>Cannomois congesta</v>
      </c>
      <c r="D197" s="6" t="str">
        <f t="shared" si="229"/>
        <v>25C</v>
      </c>
      <c r="E197" s="10">
        <f>IF(ISBLANK(A194),"",E196+1)</f>
        <v>4</v>
      </c>
      <c r="F197" s="11">
        <f t="shared" si="228"/>
        <v>45477.94444</v>
      </c>
      <c r="G197" s="8">
        <v>1.08</v>
      </c>
    </row>
    <row r="198">
      <c r="A198" s="9" t="str">
        <f t="shared" si="226"/>
        <v>CANCON</v>
      </c>
      <c r="B198" s="9" t="str">
        <f>IF(ISBLANK(A194),"",LEFT(B197,27)&amp;VALUE(RIGHT(B197,1)+1))</f>
        <v>JKS240702CANCON_25C_sample_5</v>
      </c>
      <c r="C198" s="6" t="str">
        <f t="shared" ref="C198:D198" si="230">C197</f>
        <v>Cannomois congesta</v>
      </c>
      <c r="D198" s="6" t="str">
        <f t="shared" si="230"/>
        <v>25C</v>
      </c>
      <c r="E198" s="10">
        <f>IF(ISBLANK(A194),"",E197+1)</f>
        <v>5</v>
      </c>
      <c r="F198" s="11">
        <f t="shared" si="228"/>
        <v>45477.94444</v>
      </c>
      <c r="G198" s="8">
        <v>3.15</v>
      </c>
    </row>
    <row r="199">
      <c r="A199" s="12" t="str">
        <f t="shared" si="226"/>
        <v>CANCON</v>
      </c>
      <c r="B199" s="12" t="str">
        <f>IF(ISBLANK(A194),"",LEFT(B198,27)&amp;VALUE(RIGHT(B198,1)+1))</f>
        <v>JKS240702CANCON_25C_sample_6</v>
      </c>
      <c r="C199" s="13" t="str">
        <f t="shared" ref="C199:D199" si="231">C198</f>
        <v>Cannomois congesta</v>
      </c>
      <c r="D199" s="13" t="str">
        <f t="shared" si="231"/>
        <v>25C</v>
      </c>
      <c r="E199" s="14">
        <f>IF(ISBLANK(A194),"",E198+1)</f>
        <v>6</v>
      </c>
      <c r="F199" s="15">
        <f t="shared" si="228"/>
        <v>45477.94444</v>
      </c>
      <c r="G199" s="16">
        <v>2.71</v>
      </c>
    </row>
    <row r="200">
      <c r="A200" s="5" t="s">
        <v>7</v>
      </c>
      <c r="B200" s="6" t="str">
        <f t="array" ref="B200">IF(ISBLANK(A200),"",IF(A200="PROREP (L)",VLOOKUP(LEFT($A200,6),'Data Feed (25C)'!$A$1:$G$10,2,FALSE),IF(A200="PROREP (S)", INDEX('Data Feed (25C)'!B:B, MATCH(LEFT($A200,6), 'Data Feed (25C)'!$A$1:$A$10, 0) + 1), VLOOKUP($A200,'Data Feed (25C)'!$A$1:$G$10,2,FALSE))))</f>
        <v>JKS240702ERIMON_25C_sample_1</v>
      </c>
      <c r="C200" s="6" t="str">
        <f t="array" ref="C200">IF(ISBLANK(A200),"",IF(A200="PROREP (L)",VLOOKUP(LEFT($A200,6),'Data Feed (25C)'!$A$1:$G$10,3,FALSE),IF(A200="PROREP (S)", INDEX('Data Feed (25C)'!C:C, MATCH(LEFT($A200,6), 'Data Feed (25C)'!$A$1:$A$10, 0) + 1, +1), VLOOKUP($A200,'Data Feed (25C)'!$A$1:$G$10,3,FALSE))))</f>
        <v>Erica monsoniana</v>
      </c>
      <c r="D200" s="6" t="str">
        <f t="array" ref="D200">IF(ISBLANK(A200),"",IF(A200="PROREP (L)",VLOOKUP(LEFT($A200,6),'Data Feed (25C)'!$A$1:$G$10,4,FALSE),IF(A200="PROREP (S)", INDEX('Data Feed (25C)'!D:D, MATCH(LEFT($A200,6), 'Data Feed (25C)'!$A$1:$A$10, 0) + 1, +1), VLOOKUP($A200,'Data Feed (25C)'!$A$1:$G$10,4,FALSE))))</f>
        <v>25C</v>
      </c>
      <c r="E200" s="6">
        <f t="array" ref="E200">IF(ISBLANK(A200),"",IF(A200="PROREP (L)",VLOOKUP(LEFT($A200,6),'Data Feed (25C)'!$A$1:$G$10,7,FALSE),IF(A200="PROREP (S)", INDEX('Data Feed (25C)'!G:G, MATCH(LEFT($A200,6), 'Data Feed (25C)'!$A$1:$A$10, 0) + 1, +1), VLOOKUP($A200,'Data Feed (25C)'!$A$1:$G$10,7,FALSE))))</f>
        <v>1</v>
      </c>
      <c r="F200" s="7">
        <v>45478.00902777778</v>
      </c>
      <c r="G200" s="8">
        <v>0.67</v>
      </c>
    </row>
    <row r="201">
      <c r="A201" s="9" t="str">
        <f t="shared" ref="A201:A205" si="233">A200</f>
        <v>ERIMON</v>
      </c>
      <c r="B201" s="9" t="str">
        <f>IF(ISBLANK(A200),"",LEFT(B200,27)&amp;VALUE(RIGHT(B200,1)+1))</f>
        <v>JKS240702ERIMON_25C_sample_2</v>
      </c>
      <c r="C201" s="6" t="str">
        <f t="shared" ref="C201:D201" si="232">C200</f>
        <v>Erica monsoniana</v>
      </c>
      <c r="D201" s="6" t="str">
        <f t="shared" si="232"/>
        <v>25C</v>
      </c>
      <c r="E201" s="10">
        <f>IF(ISBLANK(A200),"",E200+1)</f>
        <v>2</v>
      </c>
      <c r="F201" s="11">
        <f t="shared" ref="F201:F205" si="235">F200</f>
        <v>45478.00903</v>
      </c>
      <c r="G201" s="8">
        <v>2.97</v>
      </c>
    </row>
    <row r="202">
      <c r="A202" s="9" t="str">
        <f t="shared" si="233"/>
        <v>ERIMON</v>
      </c>
      <c r="B202" s="9" t="str">
        <f>IF(ISBLANK(A200),"",LEFT(B201,27)&amp;VALUE(RIGHT(B201,1)+1))</f>
        <v>JKS240702ERIMON_25C_sample_3</v>
      </c>
      <c r="C202" s="6" t="str">
        <f t="shared" ref="C202:D202" si="234">C201</f>
        <v>Erica monsoniana</v>
      </c>
      <c r="D202" s="6" t="str">
        <f t="shared" si="234"/>
        <v>25C</v>
      </c>
      <c r="E202" s="10">
        <f>IF(ISBLANK(A200),"",E201+1)</f>
        <v>3</v>
      </c>
      <c r="F202" s="11">
        <f t="shared" si="235"/>
        <v>45478.00903</v>
      </c>
      <c r="G202" s="8">
        <v>1.03</v>
      </c>
    </row>
    <row r="203">
      <c r="A203" s="9" t="str">
        <f t="shared" si="233"/>
        <v>ERIMON</v>
      </c>
      <c r="B203" s="9" t="str">
        <f>IF(ISBLANK(A200),"",LEFT(B202,27)&amp;VALUE(RIGHT(B202,1)+1))</f>
        <v>JKS240702ERIMON_25C_sample_4</v>
      </c>
      <c r="C203" s="6" t="str">
        <f t="shared" ref="C203:D203" si="236">C202</f>
        <v>Erica monsoniana</v>
      </c>
      <c r="D203" s="6" t="str">
        <f t="shared" si="236"/>
        <v>25C</v>
      </c>
      <c r="E203" s="10">
        <f>IF(ISBLANK(A200),"",E202+1)</f>
        <v>4</v>
      </c>
      <c r="F203" s="11">
        <f t="shared" si="235"/>
        <v>45478.00903</v>
      </c>
      <c r="G203" s="8">
        <v>2.08</v>
      </c>
    </row>
    <row r="204">
      <c r="A204" s="9" t="str">
        <f t="shared" si="233"/>
        <v>ERIMON</v>
      </c>
      <c r="B204" s="9" t="str">
        <f>IF(ISBLANK(A200),"",LEFT(B203,27)&amp;VALUE(RIGHT(B203,1)+1))</f>
        <v>JKS240702ERIMON_25C_sample_5</v>
      </c>
      <c r="C204" s="6" t="str">
        <f t="shared" ref="C204:D204" si="237">C203</f>
        <v>Erica monsoniana</v>
      </c>
      <c r="D204" s="6" t="str">
        <f t="shared" si="237"/>
        <v>25C</v>
      </c>
      <c r="E204" s="10">
        <f>IF(ISBLANK(A200),"",E203+1)</f>
        <v>5</v>
      </c>
      <c r="F204" s="11">
        <f t="shared" si="235"/>
        <v>45478.00903</v>
      </c>
      <c r="G204" s="8">
        <v>1.5</v>
      </c>
    </row>
    <row r="205">
      <c r="A205" s="12" t="str">
        <f t="shared" si="233"/>
        <v>ERIMON</v>
      </c>
      <c r="B205" s="12" t="str">
        <f>IF(ISBLANK(A200),"",LEFT(B204,27)&amp;VALUE(RIGHT(B204,1)+1))</f>
        <v>JKS240702ERIMON_25C_sample_6</v>
      </c>
      <c r="C205" s="13" t="str">
        <f t="shared" ref="C205:D205" si="238">C204</f>
        <v>Erica monsoniana</v>
      </c>
      <c r="D205" s="13" t="str">
        <f t="shared" si="238"/>
        <v>25C</v>
      </c>
      <c r="E205" s="14">
        <f>IF(ISBLANK(A200),"",E204+1)</f>
        <v>6</v>
      </c>
      <c r="F205" s="15">
        <f t="shared" si="235"/>
        <v>45478.00903</v>
      </c>
      <c r="G205" s="16">
        <v>4.26</v>
      </c>
    </row>
    <row r="206">
      <c r="A206" s="5" t="s">
        <v>8</v>
      </c>
      <c r="B206" s="6" t="str">
        <f t="array" ref="B206">IF(ISBLANK(A206),"",IF(A206="PROREP (L)",VLOOKUP(LEFT($A206,6),'Data Feed (25C)'!$A$1:$G$10,2,FALSE),IF(A206="PROREP (S)", INDEX('Data Feed (25C)'!B:B, MATCH(LEFT($A206,6), 'Data Feed (25C)'!$A$1:$A$10, 0) + 1), VLOOKUP($A206,'Data Feed (25C)'!$A$1:$G$10,2,FALSE))))</f>
        <v>JKL240702PROREP_25C_sample_1</v>
      </c>
      <c r="C206" s="6" t="str">
        <f t="array" ref="C206">IF(ISBLANK(A206),"",IF(A206="PROREP (L)",VLOOKUP(LEFT($A206,6),'Data Feed (25C)'!$A$1:$G$10,3,FALSE),IF(A206="PROREP (S)", INDEX('Data Feed (25C)'!C:C, MATCH(LEFT($A206,6), 'Data Feed (25C)'!$A$1:$A$10, 0) + 1, +1), VLOOKUP($A206,'Data Feed (25C)'!$A$1:$G$10,3,FALSE))))</f>
        <v>Protea repens</v>
      </c>
      <c r="D206" s="6" t="str">
        <f t="array" ref="D206">IF(ISBLANK(A206),"",IF(A206="PROREP (L)",VLOOKUP(LEFT($A206,6),'Data Feed (25C)'!$A$1:$G$10,4,FALSE),IF(A206="PROREP (S)", INDEX('Data Feed (25C)'!D:D, MATCH(LEFT($A206,6), 'Data Feed (25C)'!$A$1:$A$10, 0) + 1, +1), VLOOKUP($A206,'Data Feed (25C)'!$A$1:$G$10,4,FALSE))))</f>
        <v>25C</v>
      </c>
      <c r="E206" s="6">
        <f t="array" ref="E206">IF(ISBLANK(A206),"",IF(A206="PROREP (L)",VLOOKUP(LEFT($A206,6),'Data Feed (25C)'!$A$1:$G$10,7,FALSE),IF(A206="PROREP (S)", INDEX('Data Feed (25C)'!G:G, MATCH(LEFT($A206,6), 'Data Feed (25C)'!$A$1:$A$10, 0) + 1, +1), VLOOKUP($A206,'Data Feed (25C)'!$A$1:$G$10,7,FALSE))))</f>
        <v>1</v>
      </c>
      <c r="F206" s="7">
        <v>45478.010416666664</v>
      </c>
      <c r="G206" s="8">
        <v>0.37</v>
      </c>
    </row>
    <row r="207">
      <c r="A207" s="9" t="str">
        <f t="shared" ref="A207:A211" si="240">A206</f>
        <v>PROREP (L)</v>
      </c>
      <c r="B207" s="9" t="str">
        <f>IF(ISBLANK(A206),"",LEFT(B206,27)&amp;VALUE(RIGHT(B206,1)+1))</f>
        <v>JKL240702PROREP_25C_sample_2</v>
      </c>
      <c r="C207" s="6" t="str">
        <f t="shared" ref="C207:D207" si="239">C206</f>
        <v>Protea repens</v>
      </c>
      <c r="D207" s="6" t="str">
        <f t="shared" si="239"/>
        <v>25C</v>
      </c>
      <c r="E207" s="10">
        <f>IF(ISBLANK(A206),"",E206+1)</f>
        <v>2</v>
      </c>
      <c r="F207" s="11">
        <f t="shared" ref="F207:F211" si="242">F206</f>
        <v>45478.01042</v>
      </c>
      <c r="G207" s="8">
        <v>0.54</v>
      </c>
    </row>
    <row r="208">
      <c r="A208" s="9" t="str">
        <f t="shared" si="240"/>
        <v>PROREP (L)</v>
      </c>
      <c r="B208" s="9" t="str">
        <f>IF(ISBLANK(A206),"",LEFT(B207,27)&amp;VALUE(RIGHT(B207,1)+1))</f>
        <v>JKL240702PROREP_25C_sample_3</v>
      </c>
      <c r="C208" s="6" t="str">
        <f t="shared" ref="C208:D208" si="241">C207</f>
        <v>Protea repens</v>
      </c>
      <c r="D208" s="6" t="str">
        <f t="shared" si="241"/>
        <v>25C</v>
      </c>
      <c r="E208" s="10">
        <f>IF(ISBLANK(A206),"",E207+1)</f>
        <v>3</v>
      </c>
      <c r="F208" s="11">
        <f t="shared" si="242"/>
        <v>45478.01042</v>
      </c>
      <c r="G208" s="8">
        <v>0.6</v>
      </c>
    </row>
    <row r="209">
      <c r="A209" s="9" t="str">
        <f t="shared" si="240"/>
        <v>PROREP (L)</v>
      </c>
      <c r="B209" s="9" t="str">
        <f>IF(ISBLANK(A206),"",LEFT(B208,27)&amp;VALUE(RIGHT(B208,1)+1))</f>
        <v>JKL240702PROREP_25C_sample_4</v>
      </c>
      <c r="C209" s="6" t="str">
        <f t="shared" ref="C209:D209" si="243">C208</f>
        <v>Protea repens</v>
      </c>
      <c r="D209" s="6" t="str">
        <f t="shared" si="243"/>
        <v>25C</v>
      </c>
      <c r="E209" s="10">
        <f>IF(ISBLANK(A206),"",E208+1)</f>
        <v>4</v>
      </c>
      <c r="F209" s="11">
        <f t="shared" si="242"/>
        <v>45478.01042</v>
      </c>
      <c r="G209" s="8">
        <v>0.41</v>
      </c>
    </row>
    <row r="210">
      <c r="A210" s="9" t="str">
        <f t="shared" si="240"/>
        <v>PROREP (L)</v>
      </c>
      <c r="B210" s="9" t="str">
        <f>IF(ISBLANK(A206),"",LEFT(B209,27)&amp;VALUE(RIGHT(B209,1)+1))</f>
        <v>JKL240702PROREP_25C_sample_5</v>
      </c>
      <c r="C210" s="6" t="str">
        <f t="shared" ref="C210:D210" si="244">C209</f>
        <v>Protea repens</v>
      </c>
      <c r="D210" s="6" t="str">
        <f t="shared" si="244"/>
        <v>25C</v>
      </c>
      <c r="E210" s="10">
        <f>IF(ISBLANK(A206),"",E209+1)</f>
        <v>5</v>
      </c>
      <c r="F210" s="11">
        <f t="shared" si="242"/>
        <v>45478.01042</v>
      </c>
      <c r="G210" s="8">
        <v>0.43</v>
      </c>
    </row>
    <row r="211">
      <c r="A211" s="12" t="str">
        <f t="shared" si="240"/>
        <v>PROREP (L)</v>
      </c>
      <c r="B211" s="12" t="str">
        <f>IF(ISBLANK(A206),"",LEFT(B210,27)&amp;VALUE(RIGHT(B210,1)+1))</f>
        <v>JKL240702PROREP_25C_sample_6</v>
      </c>
      <c r="C211" s="13" t="str">
        <f t="shared" ref="C211:D211" si="245">C210</f>
        <v>Protea repens</v>
      </c>
      <c r="D211" s="13" t="str">
        <f t="shared" si="245"/>
        <v>25C</v>
      </c>
      <c r="E211" s="14">
        <f>IF(ISBLANK(A206),"",E210+1)</f>
        <v>6</v>
      </c>
      <c r="F211" s="15">
        <f t="shared" si="242"/>
        <v>45478.01042</v>
      </c>
      <c r="G211" s="16">
        <v>0.42</v>
      </c>
    </row>
    <row r="212">
      <c r="A212" s="5" t="s">
        <v>9</v>
      </c>
      <c r="B212" s="6" t="str">
        <f t="array" ref="B212">IF(ISBLANK(A212),"",IF(A212="PROREP (L)",VLOOKUP(LEFT($A212,6),'Data Feed (25C)'!$A$1:$G$10,2,FALSE),IF(A212="PROREP (S)", INDEX('Data Feed (25C)'!B:B, MATCH(LEFT($A212,6), 'Data Feed (25C)'!$A$1:$A$10, 0) + 1), VLOOKUP($A212,'Data Feed (25C)'!$A$1:$G$10,2,FALSE))))</f>
        <v>JKS240702PROREP_25C_sample_1</v>
      </c>
      <c r="C212" s="6" t="str">
        <f t="array" ref="C212">IF(ISBLANK(A212),"",IF(A212="PROREP (L)",VLOOKUP(LEFT($A212,6),'Data Feed (25C)'!$A$1:$G$10,3,FALSE),IF(A212="PROREP (S)", INDEX('Data Feed (25C)'!C:C, MATCH(LEFT($A212,6), 'Data Feed (25C)'!$A$1:$A$10, 0) + 1, +1), VLOOKUP($A212,'Data Feed (25C)'!$A$1:$G$10,3,FALSE))))</f>
        <v>Protea repens</v>
      </c>
      <c r="D212" s="6" t="str">
        <f t="array" ref="D212">IF(ISBLANK(A212),"",IF(A212="PROREP (L)",VLOOKUP(LEFT($A212,6),'Data Feed (25C)'!$A$1:$G$10,4,FALSE),IF(A212="PROREP (S)", INDEX('Data Feed (25C)'!D:D, MATCH(LEFT($A212,6), 'Data Feed (25C)'!$A$1:$A$10, 0) + 1, +1), VLOOKUP($A212,'Data Feed (25C)'!$A$1:$G$10,4,FALSE))))</f>
        <v>25C</v>
      </c>
      <c r="E212" s="6">
        <f t="array" ref="E212">IF(ISBLANK(A212),"",IF(A212="PROREP (L)",VLOOKUP(LEFT($A212,6),'Data Feed (25C)'!$A$1:$G$10,7,FALSE),IF(A212="PROREP (S)", INDEX('Data Feed (25C)'!G:G, MATCH(LEFT($A212,6), 'Data Feed (25C)'!$A$1:$A$10, 0) + 1, +1), VLOOKUP($A212,'Data Feed (25C)'!$A$1:$G$10,7,FALSE))))</f>
        <v>1</v>
      </c>
      <c r="F212" s="7">
        <v>45478.0125</v>
      </c>
      <c r="G212" s="8">
        <v>12.03</v>
      </c>
    </row>
    <row r="213">
      <c r="A213" s="9" t="str">
        <f t="shared" ref="A213:A217" si="247">A212</f>
        <v>PROREP (S)</v>
      </c>
      <c r="B213" s="9" t="str">
        <f>IF(ISBLANK(A212),"",LEFT(B212,27)&amp;VALUE(RIGHT(B212,1)+1))</f>
        <v>JKS240702PROREP_25C_sample_2</v>
      </c>
      <c r="C213" s="6" t="str">
        <f t="shared" ref="C213:D213" si="246">C212</f>
        <v>Protea repens</v>
      </c>
      <c r="D213" s="6" t="str">
        <f t="shared" si="246"/>
        <v>25C</v>
      </c>
      <c r="E213" s="10">
        <f>IF(ISBLANK(A212),"",E212+1)</f>
        <v>2</v>
      </c>
      <c r="F213" s="11">
        <f t="shared" ref="F213:F217" si="249">F212</f>
        <v>45478.0125</v>
      </c>
      <c r="G213" s="8">
        <v>9.83</v>
      </c>
    </row>
    <row r="214">
      <c r="A214" s="9" t="str">
        <f t="shared" si="247"/>
        <v>PROREP (S)</v>
      </c>
      <c r="B214" s="9" t="str">
        <f>IF(ISBLANK(A212),"",LEFT(B213,27)&amp;VALUE(RIGHT(B213,1)+1))</f>
        <v>JKS240702PROREP_25C_sample_3</v>
      </c>
      <c r="C214" s="6" t="str">
        <f t="shared" ref="C214:D214" si="248">C213</f>
        <v>Protea repens</v>
      </c>
      <c r="D214" s="6" t="str">
        <f t="shared" si="248"/>
        <v>25C</v>
      </c>
      <c r="E214" s="10">
        <f>IF(ISBLANK(A212),"",E213+1)</f>
        <v>3</v>
      </c>
      <c r="F214" s="11">
        <f t="shared" si="249"/>
        <v>45478.0125</v>
      </c>
      <c r="G214" s="8">
        <v>8.86</v>
      </c>
    </row>
    <row r="215">
      <c r="A215" s="9" t="str">
        <f t="shared" si="247"/>
        <v>PROREP (S)</v>
      </c>
      <c r="B215" s="9" t="str">
        <f>IF(ISBLANK(A212),"",LEFT(B214,27)&amp;VALUE(RIGHT(B214,1)+1))</f>
        <v>JKS240702PROREP_25C_sample_4</v>
      </c>
      <c r="C215" s="6" t="str">
        <f t="shared" ref="C215:D215" si="250">C214</f>
        <v>Protea repens</v>
      </c>
      <c r="D215" s="6" t="str">
        <f t="shared" si="250"/>
        <v>25C</v>
      </c>
      <c r="E215" s="10">
        <f>IF(ISBLANK(A212),"",E214+1)</f>
        <v>4</v>
      </c>
      <c r="F215" s="11">
        <f t="shared" si="249"/>
        <v>45478.0125</v>
      </c>
      <c r="G215" s="8">
        <v>2.52</v>
      </c>
    </row>
    <row r="216">
      <c r="A216" s="9" t="str">
        <f t="shared" si="247"/>
        <v>PROREP (S)</v>
      </c>
      <c r="B216" s="9" t="str">
        <f>IF(ISBLANK(A212),"",LEFT(B215,27)&amp;VALUE(RIGHT(B215,1)+1))</f>
        <v>JKS240702PROREP_25C_sample_5</v>
      </c>
      <c r="C216" s="6" t="str">
        <f t="shared" ref="C216:D216" si="251">C215</f>
        <v>Protea repens</v>
      </c>
      <c r="D216" s="6" t="str">
        <f t="shared" si="251"/>
        <v>25C</v>
      </c>
      <c r="E216" s="10">
        <f>IF(ISBLANK(A212),"",E215+1)</f>
        <v>5</v>
      </c>
      <c r="F216" s="11">
        <f t="shared" si="249"/>
        <v>45478.0125</v>
      </c>
      <c r="G216" s="8">
        <v>10.11</v>
      </c>
    </row>
    <row r="217">
      <c r="A217" s="12" t="str">
        <f t="shared" si="247"/>
        <v>PROREP (S)</v>
      </c>
      <c r="B217" s="12" t="str">
        <f>IF(ISBLANK(A212),"",LEFT(B216,27)&amp;VALUE(RIGHT(B216,1)+1))</f>
        <v>JKS240702PROREP_25C_sample_6</v>
      </c>
      <c r="C217" s="13" t="str">
        <f t="shared" ref="C217:D217" si="252">C216</f>
        <v>Protea repens</v>
      </c>
      <c r="D217" s="13" t="str">
        <f t="shared" si="252"/>
        <v>25C</v>
      </c>
      <c r="E217" s="14">
        <f>IF(ISBLANK(A212),"",E216+1)</f>
        <v>6</v>
      </c>
      <c r="F217" s="15">
        <f t="shared" si="249"/>
        <v>45478.0125</v>
      </c>
      <c r="G217" s="16">
        <v>4.68</v>
      </c>
    </row>
    <row r="218">
      <c r="A218" s="5" t="s">
        <v>10</v>
      </c>
      <c r="B218" s="6" t="str">
        <f t="array" ref="B218">IF(ISBLANK(A218),"",IF(A218="PROREP (L)",VLOOKUP(LEFT($A218,6),'Data Feed (25C)'!$A$1:$G$10,2,FALSE),IF(A218="PROREP (S)", INDEX('Data Feed (25C)'!B:B, MATCH(LEFT($A218,6), 'Data Feed (25C)'!$A$1:$A$10, 0) + 1), VLOOKUP($A218,'Data Feed (25C)'!$A$1:$G$10,2,FALSE))))</f>
        <v>JKS240702CANCON_25C_sample_1</v>
      </c>
      <c r="C218" s="6" t="str">
        <f t="array" ref="C218">IF(ISBLANK(A218),"",IF(A218="PROREP (L)",VLOOKUP(LEFT($A218,6),'Data Feed (25C)'!$A$1:$G$10,3,FALSE),IF(A218="PROREP (S)", INDEX('Data Feed (25C)'!C:C, MATCH(LEFT($A218,6), 'Data Feed (25C)'!$A$1:$A$10, 0) + 1, +1), VLOOKUP($A218,'Data Feed (25C)'!$A$1:$G$10,3,FALSE))))</f>
        <v>Cannomois congesta</v>
      </c>
      <c r="D218" s="6" t="str">
        <f t="array" ref="D218">IF(ISBLANK(A218),"",IF(A218="PROREP (L)",VLOOKUP(LEFT($A218,6),'Data Feed (25C)'!$A$1:$G$10,4,FALSE),IF(A218="PROREP (S)", INDEX('Data Feed (25C)'!D:D, MATCH(LEFT($A218,6), 'Data Feed (25C)'!$A$1:$A$10, 0) + 1, +1), VLOOKUP($A218,'Data Feed (25C)'!$A$1:$G$10,4,FALSE))))</f>
        <v>25C</v>
      </c>
      <c r="E218" s="6">
        <f t="array" ref="E218">IF(ISBLANK(A218),"",IF(A218="PROREP (L)",VLOOKUP(LEFT($A218,6),'Data Feed (25C)'!$A$1:$G$10,7,FALSE),IF(A218="PROREP (S)", INDEX('Data Feed (25C)'!G:G, MATCH(LEFT($A218,6), 'Data Feed (25C)'!$A$1:$A$10, 0) + 1, +1), VLOOKUP($A218,'Data Feed (25C)'!$A$1:$G$10,7,FALSE))))</f>
        <v>1</v>
      </c>
      <c r="F218" s="7">
        <v>45478.013194444444</v>
      </c>
      <c r="G218" s="8">
        <v>0.78</v>
      </c>
    </row>
    <row r="219">
      <c r="A219" s="9" t="str">
        <f t="shared" ref="A219:A223" si="254">A218</f>
        <v>CANCON</v>
      </c>
      <c r="B219" s="9" t="str">
        <f>IF(ISBLANK(A218),"",LEFT(B218,27)&amp;VALUE(RIGHT(B218,1)+1))</f>
        <v>JKS240702CANCON_25C_sample_2</v>
      </c>
      <c r="C219" s="6" t="str">
        <f t="shared" ref="C219:D219" si="253">C218</f>
        <v>Cannomois congesta</v>
      </c>
      <c r="D219" s="6" t="str">
        <f t="shared" si="253"/>
        <v>25C</v>
      </c>
      <c r="E219" s="10">
        <f>IF(ISBLANK(A218),"",E218+1)</f>
        <v>2</v>
      </c>
      <c r="F219" s="11">
        <f t="shared" ref="F219:F223" si="256">F218</f>
        <v>45478.01319</v>
      </c>
      <c r="G219" s="8">
        <v>1.22</v>
      </c>
    </row>
    <row r="220">
      <c r="A220" s="9" t="str">
        <f t="shared" si="254"/>
        <v>CANCON</v>
      </c>
      <c r="B220" s="9" t="str">
        <f>IF(ISBLANK(A218),"",LEFT(B219,27)&amp;VALUE(RIGHT(B219,1)+1))</f>
        <v>JKS240702CANCON_25C_sample_3</v>
      </c>
      <c r="C220" s="6" t="str">
        <f t="shared" ref="C220:D220" si="255">C219</f>
        <v>Cannomois congesta</v>
      </c>
      <c r="D220" s="6" t="str">
        <f t="shared" si="255"/>
        <v>25C</v>
      </c>
      <c r="E220" s="10">
        <f>IF(ISBLANK(A218),"",E219+1)</f>
        <v>3</v>
      </c>
      <c r="F220" s="11">
        <f t="shared" si="256"/>
        <v>45478.01319</v>
      </c>
      <c r="G220" s="8">
        <v>2.17</v>
      </c>
    </row>
    <row r="221">
      <c r="A221" s="9" t="str">
        <f t="shared" si="254"/>
        <v>CANCON</v>
      </c>
      <c r="B221" s="9" t="str">
        <f>IF(ISBLANK(A218),"",LEFT(B220,27)&amp;VALUE(RIGHT(B220,1)+1))</f>
        <v>JKS240702CANCON_25C_sample_4</v>
      </c>
      <c r="C221" s="6" t="str">
        <f t="shared" ref="C221:D221" si="257">C220</f>
        <v>Cannomois congesta</v>
      </c>
      <c r="D221" s="6" t="str">
        <f t="shared" si="257"/>
        <v>25C</v>
      </c>
      <c r="E221" s="10">
        <f>IF(ISBLANK(A218),"",E220+1)</f>
        <v>4</v>
      </c>
      <c r="F221" s="11">
        <f t="shared" si="256"/>
        <v>45478.01319</v>
      </c>
      <c r="G221" s="8">
        <v>1.1</v>
      </c>
    </row>
    <row r="222">
      <c r="A222" s="9" t="str">
        <f t="shared" si="254"/>
        <v>CANCON</v>
      </c>
      <c r="B222" s="9" t="str">
        <f>IF(ISBLANK(A218),"",LEFT(B221,27)&amp;VALUE(RIGHT(B221,1)+1))</f>
        <v>JKS240702CANCON_25C_sample_5</v>
      </c>
      <c r="C222" s="6" t="str">
        <f t="shared" ref="C222:D222" si="258">C221</f>
        <v>Cannomois congesta</v>
      </c>
      <c r="D222" s="6" t="str">
        <f t="shared" si="258"/>
        <v>25C</v>
      </c>
      <c r="E222" s="10">
        <f>IF(ISBLANK(A218),"",E221+1)</f>
        <v>5</v>
      </c>
      <c r="F222" s="11">
        <f t="shared" si="256"/>
        <v>45478.01319</v>
      </c>
      <c r="G222" s="8">
        <v>3.13</v>
      </c>
    </row>
    <row r="223">
      <c r="A223" s="12" t="str">
        <f t="shared" si="254"/>
        <v>CANCON</v>
      </c>
      <c r="B223" s="12" t="str">
        <f>IF(ISBLANK(A218),"",LEFT(B222,27)&amp;VALUE(RIGHT(B222,1)+1))</f>
        <v>JKS240702CANCON_25C_sample_6</v>
      </c>
      <c r="C223" s="13" t="str">
        <f t="shared" ref="C223:D223" si="259">C222</f>
        <v>Cannomois congesta</v>
      </c>
      <c r="D223" s="13" t="str">
        <f t="shared" si="259"/>
        <v>25C</v>
      </c>
      <c r="E223" s="14">
        <f>IF(ISBLANK(A218),"",E222+1)</f>
        <v>6</v>
      </c>
      <c r="F223" s="15">
        <f t="shared" si="256"/>
        <v>45478.01319</v>
      </c>
      <c r="G223" s="16">
        <v>2.71</v>
      </c>
    </row>
    <row r="224">
      <c r="A224" s="5" t="s">
        <v>7</v>
      </c>
      <c r="B224" s="6" t="str">
        <f t="array" ref="B224">IF(ISBLANK(A224),"",IF(A224="PROREP (L)",VLOOKUP(LEFT($A224,6),'Data Feed (25C)'!$A$1:$G$10,2,FALSE),IF(A224="PROREP (S)", INDEX('Data Feed (25C)'!B:B, MATCH(LEFT($A224,6), 'Data Feed (25C)'!$A$1:$A$10, 0) + 1), VLOOKUP($A224,'Data Feed (25C)'!$A$1:$G$10,2,FALSE))))</f>
        <v>JKS240702ERIMON_25C_sample_1</v>
      </c>
      <c r="C224" s="6" t="str">
        <f t="array" ref="C224">IF(ISBLANK(A224),"",IF(A224="PROREP (L)",VLOOKUP(LEFT($A224,6),'Data Feed (25C)'!$A$1:$G$10,3,FALSE),IF(A224="PROREP (S)", INDEX('Data Feed (25C)'!C:C, MATCH(LEFT($A224,6), 'Data Feed (25C)'!$A$1:$A$10, 0) + 1, +1), VLOOKUP($A224,'Data Feed (25C)'!$A$1:$G$10,3,FALSE))))</f>
        <v>Erica monsoniana</v>
      </c>
      <c r="D224" s="6" t="str">
        <f t="array" ref="D224">IF(ISBLANK(A224),"",IF(A224="PROREP (L)",VLOOKUP(LEFT($A224,6),'Data Feed (25C)'!$A$1:$G$10,4,FALSE),IF(A224="PROREP (S)", INDEX('Data Feed (25C)'!D:D, MATCH(LEFT($A224,6), 'Data Feed (25C)'!$A$1:$A$10, 0) + 1, +1), VLOOKUP($A224,'Data Feed (25C)'!$A$1:$G$10,4,FALSE))))</f>
        <v>25C</v>
      </c>
      <c r="E224" s="6">
        <f t="array" ref="E224">IF(ISBLANK(A224),"",IF(A224="PROREP (L)",VLOOKUP(LEFT($A224,6),'Data Feed (25C)'!$A$1:$G$10,7,FALSE),IF(A224="PROREP (S)", INDEX('Data Feed (25C)'!G:G, MATCH(LEFT($A224,6), 'Data Feed (25C)'!$A$1:$A$10, 0) + 1, +1), VLOOKUP($A224,'Data Feed (25C)'!$A$1:$G$10,7,FALSE))))</f>
        <v>1</v>
      </c>
      <c r="F224" s="7">
        <v>45478.09722222222</v>
      </c>
      <c r="G224" s="8">
        <v>0.63</v>
      </c>
    </row>
    <row r="225">
      <c r="A225" s="9" t="str">
        <f t="shared" ref="A225:A229" si="261">A224</f>
        <v>ERIMON</v>
      </c>
      <c r="B225" s="9" t="str">
        <f>IF(ISBLANK(A224),"",LEFT(B224,27)&amp;VALUE(RIGHT(B224,1)+1))</f>
        <v>JKS240702ERIMON_25C_sample_2</v>
      </c>
      <c r="C225" s="6" t="str">
        <f t="shared" ref="C225:D225" si="260">C224</f>
        <v>Erica monsoniana</v>
      </c>
      <c r="D225" s="6" t="str">
        <f t="shared" si="260"/>
        <v>25C</v>
      </c>
      <c r="E225" s="10">
        <f>IF(ISBLANK(A224),"",E224+1)</f>
        <v>2</v>
      </c>
      <c r="F225" s="11">
        <f t="shared" ref="F225:F229" si="263">F224</f>
        <v>45478.09722</v>
      </c>
      <c r="G225" s="8">
        <v>2.76</v>
      </c>
    </row>
    <row r="226">
      <c r="A226" s="9" t="str">
        <f t="shared" si="261"/>
        <v>ERIMON</v>
      </c>
      <c r="B226" s="9" t="str">
        <f>IF(ISBLANK(A224),"",LEFT(B225,27)&amp;VALUE(RIGHT(B225,1)+1))</f>
        <v>JKS240702ERIMON_25C_sample_3</v>
      </c>
      <c r="C226" s="6" t="str">
        <f t="shared" ref="C226:D226" si="262">C225</f>
        <v>Erica monsoniana</v>
      </c>
      <c r="D226" s="6" t="str">
        <f t="shared" si="262"/>
        <v>25C</v>
      </c>
      <c r="E226" s="10">
        <f>IF(ISBLANK(A224),"",E225+1)</f>
        <v>3</v>
      </c>
      <c r="F226" s="11">
        <f t="shared" si="263"/>
        <v>45478.09722</v>
      </c>
      <c r="G226" s="8">
        <v>0.95</v>
      </c>
    </row>
    <row r="227">
      <c r="A227" s="9" t="str">
        <f t="shared" si="261"/>
        <v>ERIMON</v>
      </c>
      <c r="B227" s="9" t="str">
        <f>IF(ISBLANK(A224),"",LEFT(B226,27)&amp;VALUE(RIGHT(B226,1)+1))</f>
        <v>JKS240702ERIMON_25C_sample_4</v>
      </c>
      <c r="C227" s="6" t="str">
        <f t="shared" ref="C227:D227" si="264">C226</f>
        <v>Erica monsoniana</v>
      </c>
      <c r="D227" s="6" t="str">
        <f t="shared" si="264"/>
        <v>25C</v>
      </c>
      <c r="E227" s="10">
        <f>IF(ISBLANK(A224),"",E226+1)</f>
        <v>4</v>
      </c>
      <c r="F227" s="11">
        <f t="shared" si="263"/>
        <v>45478.09722</v>
      </c>
      <c r="G227" s="8">
        <v>1.99</v>
      </c>
    </row>
    <row r="228">
      <c r="A228" s="9" t="str">
        <f t="shared" si="261"/>
        <v>ERIMON</v>
      </c>
      <c r="B228" s="9" t="str">
        <f>IF(ISBLANK(A224),"",LEFT(B227,27)&amp;VALUE(RIGHT(B227,1)+1))</f>
        <v>JKS240702ERIMON_25C_sample_5</v>
      </c>
      <c r="C228" s="6" t="str">
        <f t="shared" ref="C228:D228" si="265">C227</f>
        <v>Erica monsoniana</v>
      </c>
      <c r="D228" s="6" t="str">
        <f t="shared" si="265"/>
        <v>25C</v>
      </c>
      <c r="E228" s="10">
        <f>IF(ISBLANK(A224),"",E227+1)</f>
        <v>5</v>
      </c>
      <c r="F228" s="11">
        <f t="shared" si="263"/>
        <v>45478.09722</v>
      </c>
      <c r="G228" s="8">
        <v>1.42</v>
      </c>
    </row>
    <row r="229">
      <c r="A229" s="12" t="str">
        <f t="shared" si="261"/>
        <v>ERIMON</v>
      </c>
      <c r="B229" s="12" t="str">
        <f>IF(ISBLANK(A224),"",LEFT(B228,27)&amp;VALUE(RIGHT(B228,1)+1))</f>
        <v>JKS240702ERIMON_25C_sample_6</v>
      </c>
      <c r="C229" s="13" t="str">
        <f t="shared" ref="C229:D229" si="266">C228</f>
        <v>Erica monsoniana</v>
      </c>
      <c r="D229" s="13" t="str">
        <f t="shared" si="266"/>
        <v>25C</v>
      </c>
      <c r="E229" s="14">
        <f>IF(ISBLANK(A224),"",E228+1)</f>
        <v>6</v>
      </c>
      <c r="F229" s="15">
        <f t="shared" si="263"/>
        <v>45478.09722</v>
      </c>
      <c r="G229" s="16">
        <v>4.07</v>
      </c>
    </row>
    <row r="230">
      <c r="A230" s="5" t="s">
        <v>8</v>
      </c>
      <c r="B230" s="6" t="str">
        <f t="array" ref="B230">IF(ISBLANK(A230),"",IF(A230="PROREP (L)",VLOOKUP(LEFT($A230,6),'Data Feed (25C)'!$A$1:$G$10,2,FALSE),IF(A230="PROREP (S)", INDEX('Data Feed (25C)'!B:B, MATCH(LEFT($A230,6), 'Data Feed (25C)'!$A$1:$A$10, 0) + 1), VLOOKUP($A230,'Data Feed (25C)'!$A$1:$G$10,2,FALSE))))</f>
        <v>JKL240702PROREP_25C_sample_1</v>
      </c>
      <c r="C230" s="6" t="str">
        <f t="array" ref="C230">IF(ISBLANK(A230),"",IF(A230="PROREP (L)",VLOOKUP(LEFT($A230,6),'Data Feed (25C)'!$A$1:$G$10,3,FALSE),IF(A230="PROREP (S)", INDEX('Data Feed (25C)'!C:C, MATCH(LEFT($A230,6), 'Data Feed (25C)'!$A$1:$A$10, 0) + 1, +1), VLOOKUP($A230,'Data Feed (25C)'!$A$1:$G$10,3,FALSE))))</f>
        <v>Protea repens</v>
      </c>
      <c r="D230" s="6" t="str">
        <f t="array" ref="D230">IF(ISBLANK(A230),"",IF(A230="PROREP (L)",VLOOKUP(LEFT($A230,6),'Data Feed (25C)'!$A$1:$G$10,4,FALSE),IF(A230="PROREP (S)", INDEX('Data Feed (25C)'!D:D, MATCH(LEFT($A230,6), 'Data Feed (25C)'!$A$1:$A$10, 0) + 1, +1), VLOOKUP($A230,'Data Feed (25C)'!$A$1:$G$10,4,FALSE))))</f>
        <v>25C</v>
      </c>
      <c r="E230" s="6">
        <f t="array" ref="E230">IF(ISBLANK(A230),"",IF(A230="PROREP (L)",VLOOKUP(LEFT($A230,6),'Data Feed (25C)'!$A$1:$G$10,7,FALSE),IF(A230="PROREP (S)", INDEX('Data Feed (25C)'!G:G, MATCH(LEFT($A230,6), 'Data Feed (25C)'!$A$1:$A$10, 0) + 1, +1), VLOOKUP($A230,'Data Feed (25C)'!$A$1:$G$10,7,FALSE))))</f>
        <v>1</v>
      </c>
      <c r="F230" s="7">
        <v>45478.09861111111</v>
      </c>
      <c r="G230" s="8">
        <v>0.39</v>
      </c>
    </row>
    <row r="231">
      <c r="A231" s="9" t="str">
        <f t="shared" ref="A231:A235" si="268">A230</f>
        <v>PROREP (L)</v>
      </c>
      <c r="B231" s="9" t="str">
        <f>IF(ISBLANK(A230),"",LEFT(B230,27)&amp;VALUE(RIGHT(B230,1)+1))</f>
        <v>JKL240702PROREP_25C_sample_2</v>
      </c>
      <c r="C231" s="6" t="str">
        <f t="shared" ref="C231:D231" si="267">C230</f>
        <v>Protea repens</v>
      </c>
      <c r="D231" s="6" t="str">
        <f t="shared" si="267"/>
        <v>25C</v>
      </c>
      <c r="E231" s="10">
        <f>IF(ISBLANK(A230),"",E230+1)</f>
        <v>2</v>
      </c>
      <c r="F231" s="11">
        <f t="shared" ref="F231:F235" si="270">F230</f>
        <v>45478.09861</v>
      </c>
      <c r="G231" s="8">
        <v>0.55</v>
      </c>
    </row>
    <row r="232">
      <c r="A232" s="9" t="str">
        <f t="shared" si="268"/>
        <v>PROREP (L)</v>
      </c>
      <c r="B232" s="9" t="str">
        <f>IF(ISBLANK(A230),"",LEFT(B231,27)&amp;VALUE(RIGHT(B231,1)+1))</f>
        <v>JKL240702PROREP_25C_sample_3</v>
      </c>
      <c r="C232" s="6" t="str">
        <f t="shared" ref="C232:D232" si="269">C231</f>
        <v>Protea repens</v>
      </c>
      <c r="D232" s="6" t="str">
        <f t="shared" si="269"/>
        <v>25C</v>
      </c>
      <c r="E232" s="10">
        <f>IF(ISBLANK(A230),"",E231+1)</f>
        <v>3</v>
      </c>
      <c r="F232" s="11">
        <f t="shared" si="270"/>
        <v>45478.09861</v>
      </c>
      <c r="G232" s="8">
        <v>0.61</v>
      </c>
    </row>
    <row r="233">
      <c r="A233" s="9" t="str">
        <f t="shared" si="268"/>
        <v>PROREP (L)</v>
      </c>
      <c r="B233" s="9" t="str">
        <f>IF(ISBLANK(A230),"",LEFT(B232,27)&amp;VALUE(RIGHT(B232,1)+1))</f>
        <v>JKL240702PROREP_25C_sample_4</v>
      </c>
      <c r="C233" s="6" t="str">
        <f t="shared" ref="C233:D233" si="271">C232</f>
        <v>Protea repens</v>
      </c>
      <c r="D233" s="6" t="str">
        <f t="shared" si="271"/>
        <v>25C</v>
      </c>
      <c r="E233" s="10">
        <f>IF(ISBLANK(A230),"",E232+1)</f>
        <v>4</v>
      </c>
      <c r="F233" s="11">
        <f t="shared" si="270"/>
        <v>45478.09861</v>
      </c>
      <c r="G233" s="8">
        <v>0.46</v>
      </c>
    </row>
    <row r="234">
      <c r="A234" s="9" t="str">
        <f t="shared" si="268"/>
        <v>PROREP (L)</v>
      </c>
      <c r="B234" s="9" t="str">
        <f>IF(ISBLANK(A230),"",LEFT(B233,27)&amp;VALUE(RIGHT(B233,1)+1))</f>
        <v>JKL240702PROREP_25C_sample_5</v>
      </c>
      <c r="C234" s="6" t="str">
        <f t="shared" ref="C234:D234" si="272">C233</f>
        <v>Protea repens</v>
      </c>
      <c r="D234" s="6" t="str">
        <f t="shared" si="272"/>
        <v>25C</v>
      </c>
      <c r="E234" s="10">
        <f>IF(ISBLANK(A230),"",E233+1)</f>
        <v>5</v>
      </c>
      <c r="F234" s="11">
        <f t="shared" si="270"/>
        <v>45478.09861</v>
      </c>
      <c r="G234" s="8">
        <v>0.45</v>
      </c>
    </row>
    <row r="235">
      <c r="A235" s="12" t="str">
        <f t="shared" si="268"/>
        <v>PROREP (L)</v>
      </c>
      <c r="B235" s="12" t="str">
        <f>IF(ISBLANK(A230),"",LEFT(B234,27)&amp;VALUE(RIGHT(B234,1)+1))</f>
        <v>JKL240702PROREP_25C_sample_6</v>
      </c>
      <c r="C235" s="13" t="str">
        <f t="shared" ref="C235:D235" si="273">C234</f>
        <v>Protea repens</v>
      </c>
      <c r="D235" s="13" t="str">
        <f t="shared" si="273"/>
        <v>25C</v>
      </c>
      <c r="E235" s="14">
        <f>IF(ISBLANK(A230),"",E234+1)</f>
        <v>6</v>
      </c>
      <c r="F235" s="15">
        <f t="shared" si="270"/>
        <v>45478.09861</v>
      </c>
      <c r="G235" s="16">
        <v>0.52</v>
      </c>
    </row>
    <row r="236">
      <c r="A236" s="5" t="s">
        <v>9</v>
      </c>
      <c r="B236" s="6" t="str">
        <f t="array" ref="B236">IF(ISBLANK(A236),"",IF(A236="PROREP (L)",VLOOKUP(LEFT($A236,6),'Data Feed (25C)'!$A$1:$G$10,2,FALSE),IF(A236="PROREP (S)", INDEX('Data Feed (25C)'!B:B, MATCH(LEFT($A236,6), 'Data Feed (25C)'!$A$1:$A$10, 0) + 1), VLOOKUP($A236,'Data Feed (25C)'!$A$1:$G$10,2,FALSE))))</f>
        <v>JKS240702PROREP_25C_sample_1</v>
      </c>
      <c r="C236" s="6" t="str">
        <f t="array" ref="C236">IF(ISBLANK(A236),"",IF(A236="PROREP (L)",VLOOKUP(LEFT($A236,6),'Data Feed (25C)'!$A$1:$G$10,3,FALSE),IF(A236="PROREP (S)", INDEX('Data Feed (25C)'!C:C, MATCH(LEFT($A236,6), 'Data Feed (25C)'!$A$1:$A$10, 0) + 1, +1), VLOOKUP($A236,'Data Feed (25C)'!$A$1:$G$10,3,FALSE))))</f>
        <v>Protea repens</v>
      </c>
      <c r="D236" s="6" t="str">
        <f t="array" ref="D236">IF(ISBLANK(A236),"",IF(A236="PROREP (L)",VLOOKUP(LEFT($A236,6),'Data Feed (25C)'!$A$1:$G$10,4,FALSE),IF(A236="PROREP (S)", INDEX('Data Feed (25C)'!D:D, MATCH(LEFT($A236,6), 'Data Feed (25C)'!$A$1:$A$10, 0) + 1, +1), VLOOKUP($A236,'Data Feed (25C)'!$A$1:$G$10,4,FALSE))))</f>
        <v>25C</v>
      </c>
      <c r="E236" s="6">
        <f t="array" ref="E236">IF(ISBLANK(A236),"",IF(A236="PROREP (L)",VLOOKUP(LEFT($A236,6),'Data Feed (25C)'!$A$1:$G$10,7,FALSE),IF(A236="PROREP (S)", INDEX('Data Feed (25C)'!G:G, MATCH(LEFT($A236,6), 'Data Feed (25C)'!$A$1:$A$10, 0) + 1, +1), VLOOKUP($A236,'Data Feed (25C)'!$A$1:$G$10,7,FALSE))))</f>
        <v>1</v>
      </c>
      <c r="F236" s="7">
        <v>45478.09930555556</v>
      </c>
      <c r="G236" s="8">
        <v>11.93</v>
      </c>
    </row>
    <row r="237">
      <c r="A237" s="9" t="str">
        <f t="shared" ref="A237:A241" si="275">A236</f>
        <v>PROREP (S)</v>
      </c>
      <c r="B237" s="9" t="str">
        <f>IF(ISBLANK(A236),"",LEFT(B236,27)&amp;VALUE(RIGHT(B236,1)+1))</f>
        <v>JKS240702PROREP_25C_sample_2</v>
      </c>
      <c r="C237" s="6" t="str">
        <f t="shared" ref="C237:D237" si="274">C236</f>
        <v>Protea repens</v>
      </c>
      <c r="D237" s="6" t="str">
        <f t="shared" si="274"/>
        <v>25C</v>
      </c>
      <c r="E237" s="10">
        <f>IF(ISBLANK(A236),"",E236+1)</f>
        <v>2</v>
      </c>
      <c r="F237" s="11">
        <f t="shared" ref="F237:F241" si="277">F236</f>
        <v>45478.09931</v>
      </c>
      <c r="G237" s="8">
        <v>9.76</v>
      </c>
    </row>
    <row r="238">
      <c r="A238" s="9" t="str">
        <f t="shared" si="275"/>
        <v>PROREP (S)</v>
      </c>
      <c r="B238" s="9" t="str">
        <f>IF(ISBLANK(A236),"",LEFT(B237,27)&amp;VALUE(RIGHT(B237,1)+1))</f>
        <v>JKS240702PROREP_25C_sample_3</v>
      </c>
      <c r="C238" s="6" t="str">
        <f t="shared" ref="C238:D238" si="276">C237</f>
        <v>Protea repens</v>
      </c>
      <c r="D238" s="6" t="str">
        <f t="shared" si="276"/>
        <v>25C</v>
      </c>
      <c r="E238" s="10">
        <f>IF(ISBLANK(A236),"",E237+1)</f>
        <v>3</v>
      </c>
      <c r="F238" s="11">
        <f t="shared" si="277"/>
        <v>45478.09931</v>
      </c>
      <c r="G238" s="8">
        <v>8.38</v>
      </c>
    </row>
    <row r="239">
      <c r="A239" s="9" t="str">
        <f t="shared" si="275"/>
        <v>PROREP (S)</v>
      </c>
      <c r="B239" s="9" t="str">
        <f>IF(ISBLANK(A236),"",LEFT(B238,27)&amp;VALUE(RIGHT(B238,1)+1))</f>
        <v>JKS240702PROREP_25C_sample_4</v>
      </c>
      <c r="C239" s="6" t="str">
        <f t="shared" ref="C239:D239" si="278">C238</f>
        <v>Protea repens</v>
      </c>
      <c r="D239" s="6" t="str">
        <f t="shared" si="278"/>
        <v>25C</v>
      </c>
      <c r="E239" s="10">
        <f>IF(ISBLANK(A236),"",E238+1)</f>
        <v>4</v>
      </c>
      <c r="F239" s="11">
        <f t="shared" si="277"/>
        <v>45478.09931</v>
      </c>
      <c r="G239" s="8">
        <v>2.51</v>
      </c>
    </row>
    <row r="240">
      <c r="A240" s="9" t="str">
        <f t="shared" si="275"/>
        <v>PROREP (S)</v>
      </c>
      <c r="B240" s="9" t="str">
        <f>IF(ISBLANK(A236),"",LEFT(B239,27)&amp;VALUE(RIGHT(B239,1)+1))</f>
        <v>JKS240702PROREP_25C_sample_5</v>
      </c>
      <c r="C240" s="6" t="str">
        <f t="shared" ref="C240:D240" si="279">C239</f>
        <v>Protea repens</v>
      </c>
      <c r="D240" s="6" t="str">
        <f t="shared" si="279"/>
        <v>25C</v>
      </c>
      <c r="E240" s="10">
        <f>IF(ISBLANK(A236),"",E239+1)</f>
        <v>5</v>
      </c>
      <c r="F240" s="11">
        <f t="shared" si="277"/>
        <v>45478.09931</v>
      </c>
      <c r="G240" s="8">
        <v>9.96</v>
      </c>
    </row>
    <row r="241">
      <c r="A241" s="12" t="str">
        <f t="shared" si="275"/>
        <v>PROREP (S)</v>
      </c>
      <c r="B241" s="12" t="str">
        <f>IF(ISBLANK(A236),"",LEFT(B240,27)&amp;VALUE(RIGHT(B240,1)+1))</f>
        <v>JKS240702PROREP_25C_sample_6</v>
      </c>
      <c r="C241" s="13" t="str">
        <f t="shared" ref="C241:D241" si="280">C240</f>
        <v>Protea repens</v>
      </c>
      <c r="D241" s="13" t="str">
        <f t="shared" si="280"/>
        <v>25C</v>
      </c>
      <c r="E241" s="14">
        <f>IF(ISBLANK(A236),"",E240+1)</f>
        <v>6</v>
      </c>
      <c r="F241" s="15">
        <f t="shared" si="277"/>
        <v>45478.09931</v>
      </c>
      <c r="G241" s="16">
        <v>4.65</v>
      </c>
    </row>
    <row r="242">
      <c r="A242" s="5" t="s">
        <v>10</v>
      </c>
      <c r="B242" s="6" t="str">
        <f t="array" ref="B242">IF(ISBLANK(A242),"",IF(A242="PROREP (L)",VLOOKUP(LEFT($A242,6),'Data Feed (25C)'!$A$1:$G$10,2,FALSE),IF(A242="PROREP (S)", INDEX('Data Feed (25C)'!B:B, MATCH(LEFT($A242,6), 'Data Feed (25C)'!$A$1:$A$10, 0) + 1), VLOOKUP($A242,'Data Feed (25C)'!$A$1:$G$10,2,FALSE))))</f>
        <v>JKS240702CANCON_25C_sample_1</v>
      </c>
      <c r="C242" s="6" t="str">
        <f t="array" ref="C242">IF(ISBLANK(A242),"",IF(A242="PROREP (L)",VLOOKUP(LEFT($A242,6),'Data Feed (25C)'!$A$1:$G$10,3,FALSE),IF(A242="PROREP (S)", INDEX('Data Feed (25C)'!C:C, MATCH(LEFT($A242,6), 'Data Feed (25C)'!$A$1:$A$10, 0) + 1, +1), VLOOKUP($A242,'Data Feed (25C)'!$A$1:$G$10,3,FALSE))))</f>
        <v>Cannomois congesta</v>
      </c>
      <c r="D242" s="6" t="str">
        <f t="array" ref="D242">IF(ISBLANK(A242),"",IF(A242="PROREP (L)",VLOOKUP(LEFT($A242,6),'Data Feed (25C)'!$A$1:$G$10,4,FALSE),IF(A242="PROREP (S)", INDEX('Data Feed (25C)'!D:D, MATCH(LEFT($A242,6), 'Data Feed (25C)'!$A$1:$A$10, 0) + 1, +1), VLOOKUP($A242,'Data Feed (25C)'!$A$1:$G$10,4,FALSE))))</f>
        <v>25C</v>
      </c>
      <c r="E242" s="6">
        <f t="array" ref="E242">IF(ISBLANK(A242),"",IF(A242="PROREP (L)",VLOOKUP(LEFT($A242,6),'Data Feed (25C)'!$A$1:$G$10,7,FALSE),IF(A242="PROREP (S)", INDEX('Data Feed (25C)'!G:G, MATCH(LEFT($A242,6), 'Data Feed (25C)'!$A$1:$A$10, 0) + 1, +1), VLOOKUP($A242,'Data Feed (25C)'!$A$1:$G$10,7,FALSE))))</f>
        <v>1</v>
      </c>
      <c r="F242" s="7">
        <v>45478.100694444445</v>
      </c>
      <c r="G242" s="8">
        <v>0.74</v>
      </c>
    </row>
    <row r="243">
      <c r="A243" s="9" t="str">
        <f t="shared" ref="A243:A247" si="282">A242</f>
        <v>CANCON</v>
      </c>
      <c r="B243" s="9" t="str">
        <f>IF(ISBLANK(A242),"",LEFT(B242,27)&amp;VALUE(RIGHT(B242,1)+1))</f>
        <v>JKS240702CANCON_25C_sample_2</v>
      </c>
      <c r="C243" s="6" t="str">
        <f t="shared" ref="C243:D243" si="281">C242</f>
        <v>Cannomois congesta</v>
      </c>
      <c r="D243" s="6" t="str">
        <f t="shared" si="281"/>
        <v>25C</v>
      </c>
      <c r="E243" s="10">
        <f>IF(ISBLANK(A242),"",E242+1)</f>
        <v>2</v>
      </c>
      <c r="F243" s="11">
        <f t="shared" ref="F243:F247" si="284">F242</f>
        <v>45478.10069</v>
      </c>
      <c r="G243" s="8">
        <v>1.18</v>
      </c>
    </row>
    <row r="244">
      <c r="A244" s="9" t="str">
        <f t="shared" si="282"/>
        <v>CANCON</v>
      </c>
      <c r="B244" s="9" t="str">
        <f>IF(ISBLANK(A242),"",LEFT(B243,27)&amp;VALUE(RIGHT(B243,1)+1))</f>
        <v>JKS240702CANCON_25C_sample_3</v>
      </c>
      <c r="C244" s="6" t="str">
        <f t="shared" ref="C244:D244" si="283">C243</f>
        <v>Cannomois congesta</v>
      </c>
      <c r="D244" s="6" t="str">
        <f t="shared" si="283"/>
        <v>25C</v>
      </c>
      <c r="E244" s="10">
        <f>IF(ISBLANK(A242),"",E243+1)</f>
        <v>3</v>
      </c>
      <c r="F244" s="11">
        <f t="shared" si="284"/>
        <v>45478.10069</v>
      </c>
      <c r="G244" s="8">
        <v>2.08</v>
      </c>
    </row>
    <row r="245">
      <c r="A245" s="9" t="str">
        <f t="shared" si="282"/>
        <v>CANCON</v>
      </c>
      <c r="B245" s="9" t="str">
        <f>IF(ISBLANK(A242),"",LEFT(B244,27)&amp;VALUE(RIGHT(B244,1)+1))</f>
        <v>JKS240702CANCON_25C_sample_4</v>
      </c>
      <c r="C245" s="6" t="str">
        <f t="shared" ref="C245:D245" si="285">C244</f>
        <v>Cannomois congesta</v>
      </c>
      <c r="D245" s="6" t="str">
        <f t="shared" si="285"/>
        <v>25C</v>
      </c>
      <c r="E245" s="10">
        <f>IF(ISBLANK(A242),"",E244+1)</f>
        <v>4</v>
      </c>
      <c r="F245" s="11">
        <f t="shared" si="284"/>
        <v>45478.10069</v>
      </c>
      <c r="G245" s="8">
        <v>1.04</v>
      </c>
    </row>
    <row r="246">
      <c r="A246" s="9" t="str">
        <f t="shared" si="282"/>
        <v>CANCON</v>
      </c>
      <c r="B246" s="9" t="str">
        <f>IF(ISBLANK(A242),"",LEFT(B245,27)&amp;VALUE(RIGHT(B245,1)+1))</f>
        <v>JKS240702CANCON_25C_sample_5</v>
      </c>
      <c r="C246" s="6" t="str">
        <f t="shared" ref="C246:D246" si="286">C245</f>
        <v>Cannomois congesta</v>
      </c>
      <c r="D246" s="6" t="str">
        <f t="shared" si="286"/>
        <v>25C</v>
      </c>
      <c r="E246" s="10">
        <f>IF(ISBLANK(A242),"",E245+1)</f>
        <v>5</v>
      </c>
      <c r="F246" s="11">
        <f t="shared" si="284"/>
        <v>45478.10069</v>
      </c>
      <c r="G246" s="8">
        <v>3.02</v>
      </c>
    </row>
    <row r="247">
      <c r="A247" s="12" t="str">
        <f t="shared" si="282"/>
        <v>CANCON</v>
      </c>
      <c r="B247" s="12" t="str">
        <f>IF(ISBLANK(A242),"",LEFT(B246,27)&amp;VALUE(RIGHT(B246,1)+1))</f>
        <v>JKS240702CANCON_25C_sample_6</v>
      </c>
      <c r="C247" s="13" t="str">
        <f t="shared" ref="C247:D247" si="287">C246</f>
        <v>Cannomois congesta</v>
      </c>
      <c r="D247" s="13" t="str">
        <f t="shared" si="287"/>
        <v>25C</v>
      </c>
      <c r="E247" s="14">
        <f>IF(ISBLANK(A242),"",E246+1)</f>
        <v>6</v>
      </c>
      <c r="F247" s="15">
        <f t="shared" si="284"/>
        <v>45478.10069</v>
      </c>
      <c r="G247" s="16">
        <v>2.61</v>
      </c>
    </row>
    <row r="248">
      <c r="A248" s="5" t="s">
        <v>7</v>
      </c>
      <c r="B248" s="6" t="str">
        <f t="array" ref="B248">IF(ISBLANK(A248),"",IF(A248="PROREP (L)",VLOOKUP(LEFT($A248,6),'Data Feed (25C)'!$A$1:$G$10,2,FALSE),IF(A248="PROREP (S)", INDEX('Data Feed (25C)'!B:B, MATCH(LEFT($A248,6), 'Data Feed (25C)'!$A$1:$A$10, 0) + 1), VLOOKUP($A248,'Data Feed (25C)'!$A$1:$G$10,2,FALSE))))</f>
        <v>JKS240702ERIMON_25C_sample_1</v>
      </c>
      <c r="C248" s="6" t="str">
        <f t="array" ref="C248">IF(ISBLANK(A248),"",IF(A248="PROREP (L)",VLOOKUP(LEFT($A248,6),'Data Feed (25C)'!$A$1:$G$10,3,FALSE),IF(A248="PROREP (S)", INDEX('Data Feed (25C)'!C:C, MATCH(LEFT($A248,6), 'Data Feed (25C)'!$A$1:$A$10, 0) + 1, +1), VLOOKUP($A248,'Data Feed (25C)'!$A$1:$G$10,3,FALSE))))</f>
        <v>Erica monsoniana</v>
      </c>
      <c r="D248" s="6" t="str">
        <f t="array" ref="D248">IF(ISBLANK(A248),"",IF(A248="PROREP (L)",VLOOKUP(LEFT($A248,6),'Data Feed (25C)'!$A$1:$G$10,4,FALSE),IF(A248="PROREP (S)", INDEX('Data Feed (25C)'!D:D, MATCH(LEFT($A248,6), 'Data Feed (25C)'!$A$1:$A$10, 0) + 1, +1), VLOOKUP($A248,'Data Feed (25C)'!$A$1:$G$10,4,FALSE))))</f>
        <v>25C</v>
      </c>
      <c r="E248" s="6">
        <f t="array" ref="E248">IF(ISBLANK(A248),"",IF(A248="PROREP (L)",VLOOKUP(LEFT($A248,6),'Data Feed (25C)'!$A$1:$G$10,7,FALSE),IF(A248="PROREP (S)", INDEX('Data Feed (25C)'!G:G, MATCH(LEFT($A248,6), 'Data Feed (25C)'!$A$1:$A$10, 0) + 1, +1), VLOOKUP($A248,'Data Feed (25C)'!$A$1:$G$10,7,FALSE))))</f>
        <v>1</v>
      </c>
      <c r="F248" s="7">
        <v>45478.22083333333</v>
      </c>
      <c r="G248" s="8">
        <v>0.57</v>
      </c>
    </row>
    <row r="249">
      <c r="A249" s="9" t="str">
        <f t="shared" ref="A249:A253" si="289">A248</f>
        <v>ERIMON</v>
      </c>
      <c r="B249" s="9" t="str">
        <f>IF(ISBLANK(A248),"",LEFT(B248,27)&amp;VALUE(RIGHT(B248,1)+1))</f>
        <v>JKS240702ERIMON_25C_sample_2</v>
      </c>
      <c r="C249" s="6" t="str">
        <f t="shared" ref="C249:D249" si="288">C248</f>
        <v>Erica monsoniana</v>
      </c>
      <c r="D249" s="6" t="str">
        <f t="shared" si="288"/>
        <v>25C</v>
      </c>
      <c r="E249" s="10">
        <f>IF(ISBLANK(A248),"",E248+1)</f>
        <v>2</v>
      </c>
      <c r="F249" s="11">
        <f t="shared" ref="F249:F253" si="291">F248</f>
        <v>45478.22083</v>
      </c>
      <c r="G249" s="8">
        <v>2.51</v>
      </c>
    </row>
    <row r="250">
      <c r="A250" s="9" t="str">
        <f t="shared" si="289"/>
        <v>ERIMON</v>
      </c>
      <c r="B250" s="9" t="str">
        <f>IF(ISBLANK(A248),"",LEFT(B249,27)&amp;VALUE(RIGHT(B249,1)+1))</f>
        <v>JKS240702ERIMON_25C_sample_3</v>
      </c>
      <c r="C250" s="6" t="str">
        <f t="shared" ref="C250:D250" si="290">C249</f>
        <v>Erica monsoniana</v>
      </c>
      <c r="D250" s="6" t="str">
        <f t="shared" si="290"/>
        <v>25C</v>
      </c>
      <c r="E250" s="10">
        <f>IF(ISBLANK(A248),"",E249+1)</f>
        <v>3</v>
      </c>
      <c r="F250" s="11">
        <f t="shared" si="291"/>
        <v>45478.22083</v>
      </c>
      <c r="G250" s="8">
        <v>0.91</v>
      </c>
    </row>
    <row r="251">
      <c r="A251" s="9" t="str">
        <f t="shared" si="289"/>
        <v>ERIMON</v>
      </c>
      <c r="B251" s="9" t="str">
        <f>IF(ISBLANK(A248),"",LEFT(B250,27)&amp;VALUE(RIGHT(B250,1)+1))</f>
        <v>JKS240702ERIMON_25C_sample_4</v>
      </c>
      <c r="C251" s="6" t="str">
        <f t="shared" ref="C251:D251" si="292">C250</f>
        <v>Erica monsoniana</v>
      </c>
      <c r="D251" s="6" t="str">
        <f t="shared" si="292"/>
        <v>25C</v>
      </c>
      <c r="E251" s="10">
        <f>IF(ISBLANK(A248),"",E250+1)</f>
        <v>4</v>
      </c>
      <c r="F251" s="11">
        <f t="shared" si="291"/>
        <v>45478.22083</v>
      </c>
      <c r="G251" s="8">
        <v>1.81</v>
      </c>
    </row>
    <row r="252">
      <c r="A252" s="9" t="str">
        <f t="shared" si="289"/>
        <v>ERIMON</v>
      </c>
      <c r="B252" s="9" t="str">
        <f>IF(ISBLANK(A248),"",LEFT(B251,27)&amp;VALUE(RIGHT(B251,1)+1))</f>
        <v>JKS240702ERIMON_25C_sample_5</v>
      </c>
      <c r="C252" s="6" t="str">
        <f t="shared" ref="C252:D252" si="293">C251</f>
        <v>Erica monsoniana</v>
      </c>
      <c r="D252" s="6" t="str">
        <f t="shared" si="293"/>
        <v>25C</v>
      </c>
      <c r="E252" s="10">
        <f>IF(ISBLANK(A248),"",E251+1)</f>
        <v>5</v>
      </c>
      <c r="F252" s="11">
        <f t="shared" si="291"/>
        <v>45478.22083</v>
      </c>
      <c r="G252" s="8">
        <v>1.3</v>
      </c>
    </row>
    <row r="253">
      <c r="A253" s="12" t="str">
        <f t="shared" si="289"/>
        <v>ERIMON</v>
      </c>
      <c r="B253" s="12" t="str">
        <f>IF(ISBLANK(A248),"",LEFT(B252,27)&amp;VALUE(RIGHT(B252,1)+1))</f>
        <v>JKS240702ERIMON_25C_sample_6</v>
      </c>
      <c r="C253" s="13" t="str">
        <f t="shared" ref="C253:D253" si="294">C252</f>
        <v>Erica monsoniana</v>
      </c>
      <c r="D253" s="13" t="str">
        <f t="shared" si="294"/>
        <v>25C</v>
      </c>
      <c r="E253" s="14">
        <f>IF(ISBLANK(A248),"",E252+1)</f>
        <v>6</v>
      </c>
      <c r="F253" s="15">
        <f t="shared" si="291"/>
        <v>45478.22083</v>
      </c>
      <c r="G253" s="16">
        <v>3.81</v>
      </c>
    </row>
    <row r="254">
      <c r="A254" s="5" t="s">
        <v>8</v>
      </c>
      <c r="B254" s="6" t="str">
        <f t="array" ref="B254">IF(ISBLANK(A254),"",IF(A254="PROREP (L)",VLOOKUP(LEFT($A254,6),'Data Feed (25C)'!$A$1:$G$10,2,FALSE),IF(A254="PROREP (S)", INDEX('Data Feed (25C)'!B:B, MATCH(LEFT($A254,6), 'Data Feed (25C)'!$A$1:$A$10, 0) + 1), VLOOKUP($A254,'Data Feed (25C)'!$A$1:$G$10,2,FALSE))))</f>
        <v>JKL240702PROREP_25C_sample_1</v>
      </c>
      <c r="C254" s="6" t="str">
        <f t="array" ref="C254">IF(ISBLANK(A254),"",IF(A254="PROREP (L)",VLOOKUP(LEFT($A254,6),'Data Feed (25C)'!$A$1:$G$10,3,FALSE),IF(A254="PROREP (S)", INDEX('Data Feed (25C)'!C:C, MATCH(LEFT($A254,6), 'Data Feed (25C)'!$A$1:$A$10, 0) + 1, +1), VLOOKUP($A254,'Data Feed (25C)'!$A$1:$G$10,3,FALSE))))</f>
        <v>Protea repens</v>
      </c>
      <c r="D254" s="6" t="str">
        <f t="array" ref="D254">IF(ISBLANK(A254),"",IF(A254="PROREP (L)",VLOOKUP(LEFT($A254,6),'Data Feed (25C)'!$A$1:$G$10,4,FALSE),IF(A254="PROREP (S)", INDEX('Data Feed (25C)'!D:D, MATCH(LEFT($A254,6), 'Data Feed (25C)'!$A$1:$A$10, 0) + 1, +1), VLOOKUP($A254,'Data Feed (25C)'!$A$1:$G$10,4,FALSE))))</f>
        <v>25C</v>
      </c>
      <c r="E254" s="6">
        <f t="array" ref="E254">IF(ISBLANK(A254),"",IF(A254="PROREP (L)",VLOOKUP(LEFT($A254,6),'Data Feed (25C)'!$A$1:$G$10,7,FALSE),IF(A254="PROREP (S)", INDEX('Data Feed (25C)'!G:G, MATCH(LEFT($A254,6), 'Data Feed (25C)'!$A$1:$A$10, 0) + 1, +1), VLOOKUP($A254,'Data Feed (25C)'!$A$1:$G$10,7,FALSE))))</f>
        <v>1</v>
      </c>
      <c r="F254" s="7">
        <v>45478.22222222222</v>
      </c>
      <c r="G254" s="8">
        <v>0.4</v>
      </c>
    </row>
    <row r="255">
      <c r="A255" s="9" t="str">
        <f t="shared" ref="A255:A259" si="296">A254</f>
        <v>PROREP (L)</v>
      </c>
      <c r="B255" s="9" t="str">
        <f>IF(ISBLANK(A254),"",LEFT(B254,27)&amp;VALUE(RIGHT(B254,1)+1))</f>
        <v>JKL240702PROREP_25C_sample_2</v>
      </c>
      <c r="C255" s="6" t="str">
        <f t="shared" ref="C255:D255" si="295">C254</f>
        <v>Protea repens</v>
      </c>
      <c r="D255" s="6" t="str">
        <f t="shared" si="295"/>
        <v>25C</v>
      </c>
      <c r="E255" s="10">
        <f>IF(ISBLANK(A254),"",E254+1)</f>
        <v>2</v>
      </c>
      <c r="F255" s="11">
        <f t="shared" ref="F255:F259" si="298">F254</f>
        <v>45478.22222</v>
      </c>
      <c r="G255" s="8">
        <v>0.53</v>
      </c>
    </row>
    <row r="256">
      <c r="A256" s="9" t="str">
        <f t="shared" si="296"/>
        <v>PROREP (L)</v>
      </c>
      <c r="B256" s="9" t="str">
        <f>IF(ISBLANK(A254),"",LEFT(B255,27)&amp;VALUE(RIGHT(B255,1)+1))</f>
        <v>JKL240702PROREP_25C_sample_3</v>
      </c>
      <c r="C256" s="6" t="str">
        <f t="shared" ref="C256:D256" si="297">C255</f>
        <v>Protea repens</v>
      </c>
      <c r="D256" s="6" t="str">
        <f t="shared" si="297"/>
        <v>25C</v>
      </c>
      <c r="E256" s="10">
        <f>IF(ISBLANK(A254),"",E255+1)</f>
        <v>3</v>
      </c>
      <c r="F256" s="11">
        <f t="shared" si="298"/>
        <v>45478.22222</v>
      </c>
      <c r="G256" s="8">
        <v>0.57</v>
      </c>
    </row>
    <row r="257">
      <c r="A257" s="9" t="str">
        <f t="shared" si="296"/>
        <v>PROREP (L)</v>
      </c>
      <c r="B257" s="9" t="str">
        <f>IF(ISBLANK(A254),"",LEFT(B256,27)&amp;VALUE(RIGHT(B256,1)+1))</f>
        <v>JKL240702PROREP_25C_sample_4</v>
      </c>
      <c r="C257" s="6" t="str">
        <f t="shared" ref="C257:D257" si="299">C256</f>
        <v>Protea repens</v>
      </c>
      <c r="D257" s="6" t="str">
        <f t="shared" si="299"/>
        <v>25C</v>
      </c>
      <c r="E257" s="10">
        <f>IF(ISBLANK(A254),"",E256+1)</f>
        <v>4</v>
      </c>
      <c r="F257" s="11">
        <f t="shared" si="298"/>
        <v>45478.22222</v>
      </c>
      <c r="G257" s="8">
        <v>0.47</v>
      </c>
    </row>
    <row r="258">
      <c r="A258" s="9" t="str">
        <f t="shared" si="296"/>
        <v>PROREP (L)</v>
      </c>
      <c r="B258" s="9" t="str">
        <f>IF(ISBLANK(A254),"",LEFT(B257,27)&amp;VALUE(RIGHT(B257,1)+1))</f>
        <v>JKL240702PROREP_25C_sample_5</v>
      </c>
      <c r="C258" s="6" t="str">
        <f t="shared" ref="C258:D258" si="300">C257</f>
        <v>Protea repens</v>
      </c>
      <c r="D258" s="6" t="str">
        <f t="shared" si="300"/>
        <v>25C</v>
      </c>
      <c r="E258" s="10">
        <f>IF(ISBLANK(A254),"",E257+1)</f>
        <v>5</v>
      </c>
      <c r="F258" s="11">
        <f t="shared" si="298"/>
        <v>45478.22222</v>
      </c>
      <c r="G258" s="8">
        <v>0.42</v>
      </c>
    </row>
    <row r="259">
      <c r="A259" s="12" t="str">
        <f t="shared" si="296"/>
        <v>PROREP (L)</v>
      </c>
      <c r="B259" s="12" t="str">
        <f>IF(ISBLANK(A254),"",LEFT(B258,27)&amp;VALUE(RIGHT(B258,1)+1))</f>
        <v>JKL240702PROREP_25C_sample_6</v>
      </c>
      <c r="C259" s="13" t="str">
        <f t="shared" ref="C259:D259" si="301">C258</f>
        <v>Protea repens</v>
      </c>
      <c r="D259" s="13" t="str">
        <f t="shared" si="301"/>
        <v>25C</v>
      </c>
      <c r="E259" s="14">
        <f>IF(ISBLANK(A254),"",E258+1)</f>
        <v>6</v>
      </c>
      <c r="F259" s="15">
        <f t="shared" si="298"/>
        <v>45478.22222</v>
      </c>
      <c r="G259" s="16">
        <v>0.55</v>
      </c>
    </row>
    <row r="260">
      <c r="A260" s="5" t="s">
        <v>9</v>
      </c>
      <c r="B260" s="6" t="str">
        <f t="array" ref="B260">IF(ISBLANK(A260),"",IF(A260="PROREP (L)",VLOOKUP(LEFT($A260,6),'Data Feed (25C)'!$A$1:$G$10,2,FALSE),IF(A260="PROREP (S)", INDEX('Data Feed (25C)'!B:B, MATCH(LEFT($A260,6), 'Data Feed (25C)'!$A$1:$A$10, 0) + 1), VLOOKUP($A260,'Data Feed (25C)'!$A$1:$G$10,2,FALSE))))</f>
        <v>JKS240702PROREP_25C_sample_1</v>
      </c>
      <c r="C260" s="6" t="str">
        <f t="array" ref="C260">IF(ISBLANK(A260),"",IF(A260="PROREP (L)",VLOOKUP(LEFT($A260,6),'Data Feed (25C)'!$A$1:$G$10,3,FALSE),IF(A260="PROREP (S)", INDEX('Data Feed (25C)'!C:C, MATCH(LEFT($A260,6), 'Data Feed (25C)'!$A$1:$A$10, 0) + 1, +1), VLOOKUP($A260,'Data Feed (25C)'!$A$1:$G$10,3,FALSE))))</f>
        <v>Protea repens</v>
      </c>
      <c r="D260" s="6" t="str">
        <f t="array" ref="D260">IF(ISBLANK(A260),"",IF(A260="PROREP (L)",VLOOKUP(LEFT($A260,6),'Data Feed (25C)'!$A$1:$G$10,4,FALSE),IF(A260="PROREP (S)", INDEX('Data Feed (25C)'!D:D, MATCH(LEFT($A260,6), 'Data Feed (25C)'!$A$1:$A$10, 0) + 1, +1), VLOOKUP($A260,'Data Feed (25C)'!$A$1:$G$10,4,FALSE))))</f>
        <v>25C</v>
      </c>
      <c r="E260" s="6">
        <f t="array" ref="E260">IF(ISBLANK(A260),"",IF(A260="PROREP (L)",VLOOKUP(LEFT($A260,6),'Data Feed (25C)'!$A$1:$G$10,7,FALSE),IF(A260="PROREP (S)", INDEX('Data Feed (25C)'!G:G, MATCH(LEFT($A260,6), 'Data Feed (25C)'!$A$1:$A$10, 0) + 1, +1), VLOOKUP($A260,'Data Feed (25C)'!$A$1:$G$10,7,FALSE))))</f>
        <v>1</v>
      </c>
      <c r="F260" s="7">
        <v>45478.225</v>
      </c>
      <c r="G260" s="8">
        <v>11.79</v>
      </c>
    </row>
    <row r="261">
      <c r="A261" s="9" t="str">
        <f t="shared" ref="A261:A265" si="303">A260</f>
        <v>PROREP (S)</v>
      </c>
      <c r="B261" s="9" t="str">
        <f>IF(ISBLANK(A260),"",LEFT(B260,27)&amp;VALUE(RIGHT(B260,1)+1))</f>
        <v>JKS240702PROREP_25C_sample_2</v>
      </c>
      <c r="C261" s="6" t="str">
        <f t="shared" ref="C261:D261" si="302">C260</f>
        <v>Protea repens</v>
      </c>
      <c r="D261" s="6" t="str">
        <f t="shared" si="302"/>
        <v>25C</v>
      </c>
      <c r="E261" s="10">
        <f>IF(ISBLANK(A260),"",E260+1)</f>
        <v>2</v>
      </c>
      <c r="F261" s="11">
        <f t="shared" ref="F261:F265" si="305">F260</f>
        <v>45478.225</v>
      </c>
      <c r="G261" s="8">
        <v>9.65</v>
      </c>
    </row>
    <row r="262">
      <c r="A262" s="9" t="str">
        <f t="shared" si="303"/>
        <v>PROREP (S)</v>
      </c>
      <c r="B262" s="9" t="str">
        <f>IF(ISBLANK(A260),"",LEFT(B261,27)&amp;VALUE(RIGHT(B261,1)+1))</f>
        <v>JKS240702PROREP_25C_sample_3</v>
      </c>
      <c r="C262" s="6" t="str">
        <f t="shared" ref="C262:D262" si="304">C261</f>
        <v>Protea repens</v>
      </c>
      <c r="D262" s="6" t="str">
        <f t="shared" si="304"/>
        <v>25C</v>
      </c>
      <c r="E262" s="10">
        <f>IF(ISBLANK(A260),"",E261+1)</f>
        <v>3</v>
      </c>
      <c r="F262" s="11">
        <f t="shared" si="305"/>
        <v>45478.225</v>
      </c>
      <c r="G262" s="8">
        <v>7.74</v>
      </c>
    </row>
    <row r="263">
      <c r="A263" s="9" t="str">
        <f t="shared" si="303"/>
        <v>PROREP (S)</v>
      </c>
      <c r="B263" s="9" t="str">
        <f>IF(ISBLANK(A260),"",LEFT(B262,27)&amp;VALUE(RIGHT(B262,1)+1))</f>
        <v>JKS240702PROREP_25C_sample_4</v>
      </c>
      <c r="C263" s="6" t="str">
        <f t="shared" ref="C263:D263" si="306">C262</f>
        <v>Protea repens</v>
      </c>
      <c r="D263" s="6" t="str">
        <f t="shared" si="306"/>
        <v>25C</v>
      </c>
      <c r="E263" s="10">
        <f>IF(ISBLANK(A260),"",E262+1)</f>
        <v>4</v>
      </c>
      <c r="F263" s="11">
        <f t="shared" si="305"/>
        <v>45478.225</v>
      </c>
      <c r="G263" s="8">
        <v>2.48</v>
      </c>
    </row>
    <row r="264">
      <c r="A264" s="9" t="str">
        <f t="shared" si="303"/>
        <v>PROREP (S)</v>
      </c>
      <c r="B264" s="9" t="str">
        <f>IF(ISBLANK(A260),"",LEFT(B263,27)&amp;VALUE(RIGHT(B263,1)+1))</f>
        <v>JKS240702PROREP_25C_sample_5</v>
      </c>
      <c r="C264" s="6" t="str">
        <f t="shared" ref="C264:D264" si="307">C263</f>
        <v>Protea repens</v>
      </c>
      <c r="D264" s="6" t="str">
        <f t="shared" si="307"/>
        <v>25C</v>
      </c>
      <c r="E264" s="10">
        <f>IF(ISBLANK(A260),"",E263+1)</f>
        <v>5</v>
      </c>
      <c r="F264" s="11">
        <f t="shared" si="305"/>
        <v>45478.225</v>
      </c>
      <c r="G264" s="8">
        <v>9.78</v>
      </c>
    </row>
    <row r="265">
      <c r="A265" s="12" t="str">
        <f t="shared" si="303"/>
        <v>PROREP (S)</v>
      </c>
      <c r="B265" s="12" t="str">
        <f>IF(ISBLANK(A260),"",LEFT(B264,27)&amp;VALUE(RIGHT(B264,1)+1))</f>
        <v>JKS240702PROREP_25C_sample_6</v>
      </c>
      <c r="C265" s="13" t="str">
        <f t="shared" ref="C265:D265" si="308">C264</f>
        <v>Protea repens</v>
      </c>
      <c r="D265" s="13" t="str">
        <f t="shared" si="308"/>
        <v>25C</v>
      </c>
      <c r="E265" s="14">
        <f>IF(ISBLANK(A260),"",E264+1)</f>
        <v>6</v>
      </c>
      <c r="F265" s="15">
        <f t="shared" si="305"/>
        <v>45478.225</v>
      </c>
      <c r="G265" s="16">
        <v>4.59</v>
      </c>
    </row>
    <row r="266">
      <c r="A266" s="5" t="s">
        <v>10</v>
      </c>
      <c r="B266" s="6" t="str">
        <f t="array" ref="B266">IF(ISBLANK(A266),"",IF(A266="PROREP (L)",VLOOKUP(LEFT($A266,6),'Data Feed (25C)'!$A$1:$G$10,2,FALSE),IF(A266="PROREP (S)", INDEX('Data Feed (25C)'!B:B, MATCH(LEFT($A266,6), 'Data Feed (25C)'!$A$1:$A$10, 0) + 1), VLOOKUP($A266,'Data Feed (25C)'!$A$1:$G$10,2,FALSE))))</f>
        <v>JKS240702CANCON_25C_sample_1</v>
      </c>
      <c r="C266" s="6" t="str">
        <f t="array" ref="C266">IF(ISBLANK(A266),"",IF(A266="PROREP (L)",VLOOKUP(LEFT($A266,6),'Data Feed (25C)'!$A$1:$G$10,3,FALSE),IF(A266="PROREP (S)", INDEX('Data Feed (25C)'!C:C, MATCH(LEFT($A266,6), 'Data Feed (25C)'!$A$1:$A$10, 0) + 1, +1), VLOOKUP($A266,'Data Feed (25C)'!$A$1:$G$10,3,FALSE))))</f>
        <v>Cannomois congesta</v>
      </c>
      <c r="D266" s="6" t="str">
        <f t="array" ref="D266">IF(ISBLANK(A266),"",IF(A266="PROREP (L)",VLOOKUP(LEFT($A266,6),'Data Feed (25C)'!$A$1:$G$10,4,FALSE),IF(A266="PROREP (S)", INDEX('Data Feed (25C)'!D:D, MATCH(LEFT($A266,6), 'Data Feed (25C)'!$A$1:$A$10, 0) + 1, +1), VLOOKUP($A266,'Data Feed (25C)'!$A$1:$G$10,4,FALSE))))</f>
        <v>25C</v>
      </c>
      <c r="E266" s="6">
        <f t="array" ref="E266">IF(ISBLANK(A266),"",IF(A266="PROREP (L)",VLOOKUP(LEFT($A266,6),'Data Feed (25C)'!$A$1:$G$10,7,FALSE),IF(A266="PROREP (S)", INDEX('Data Feed (25C)'!G:G, MATCH(LEFT($A266,6), 'Data Feed (25C)'!$A$1:$A$10, 0) + 1, +1), VLOOKUP($A266,'Data Feed (25C)'!$A$1:$G$10,7,FALSE))))</f>
        <v>1</v>
      </c>
      <c r="F266" s="7">
        <v>45478.22638888889</v>
      </c>
      <c r="G266" s="8">
        <v>0.73</v>
      </c>
    </row>
    <row r="267">
      <c r="A267" s="9" t="str">
        <f t="shared" ref="A267:A271" si="310">A266</f>
        <v>CANCON</v>
      </c>
      <c r="B267" s="9" t="str">
        <f>IF(ISBLANK(A266),"",LEFT(B266,27)&amp;VALUE(RIGHT(B266,1)+1))</f>
        <v>JKS240702CANCON_25C_sample_2</v>
      </c>
      <c r="C267" s="6" t="str">
        <f t="shared" ref="C267:D267" si="309">C266</f>
        <v>Cannomois congesta</v>
      </c>
      <c r="D267" s="6" t="str">
        <f t="shared" si="309"/>
        <v>25C</v>
      </c>
      <c r="E267" s="10">
        <f>IF(ISBLANK(A266),"",E266+1)</f>
        <v>2</v>
      </c>
      <c r="F267" s="11">
        <f t="shared" ref="F267:F271" si="312">F266</f>
        <v>45478.22639</v>
      </c>
      <c r="G267" s="8">
        <v>1.16</v>
      </c>
    </row>
    <row r="268">
      <c r="A268" s="9" t="str">
        <f t="shared" si="310"/>
        <v>CANCON</v>
      </c>
      <c r="B268" s="9" t="str">
        <f>IF(ISBLANK(A266),"",LEFT(B267,27)&amp;VALUE(RIGHT(B267,1)+1))</f>
        <v>JKS240702CANCON_25C_sample_3</v>
      </c>
      <c r="C268" s="6" t="str">
        <f t="shared" ref="C268:D268" si="311">C267</f>
        <v>Cannomois congesta</v>
      </c>
      <c r="D268" s="6" t="str">
        <f t="shared" si="311"/>
        <v>25C</v>
      </c>
      <c r="E268" s="10">
        <f>IF(ISBLANK(A266),"",E267+1)</f>
        <v>3</v>
      </c>
      <c r="F268" s="11">
        <f t="shared" si="312"/>
        <v>45478.22639</v>
      </c>
      <c r="G268" s="8">
        <v>2.02</v>
      </c>
    </row>
    <row r="269">
      <c r="A269" s="9" t="str">
        <f t="shared" si="310"/>
        <v>CANCON</v>
      </c>
      <c r="B269" s="9" t="str">
        <f>IF(ISBLANK(A266),"",LEFT(B268,27)&amp;VALUE(RIGHT(B268,1)+1))</f>
        <v>JKS240702CANCON_25C_sample_4</v>
      </c>
      <c r="C269" s="6" t="str">
        <f t="shared" ref="C269:D269" si="313">C268</f>
        <v>Cannomois congesta</v>
      </c>
      <c r="D269" s="6" t="str">
        <f t="shared" si="313"/>
        <v>25C</v>
      </c>
      <c r="E269" s="10">
        <f>IF(ISBLANK(A266),"",E268+1)</f>
        <v>4</v>
      </c>
      <c r="F269" s="11">
        <f t="shared" si="312"/>
        <v>45478.22639</v>
      </c>
      <c r="G269" s="8">
        <v>1.04</v>
      </c>
    </row>
    <row r="270">
      <c r="A270" s="9" t="str">
        <f t="shared" si="310"/>
        <v>CANCON</v>
      </c>
      <c r="B270" s="9" t="str">
        <f>IF(ISBLANK(A266),"",LEFT(B269,27)&amp;VALUE(RIGHT(B269,1)+1))</f>
        <v>JKS240702CANCON_25C_sample_5</v>
      </c>
      <c r="C270" s="6" t="str">
        <f t="shared" ref="C270:D270" si="314">C269</f>
        <v>Cannomois congesta</v>
      </c>
      <c r="D270" s="6" t="str">
        <f t="shared" si="314"/>
        <v>25C</v>
      </c>
      <c r="E270" s="10">
        <f>IF(ISBLANK(A266),"",E269+1)</f>
        <v>5</v>
      </c>
      <c r="F270" s="11">
        <f t="shared" si="312"/>
        <v>45478.22639</v>
      </c>
      <c r="G270" s="8">
        <v>2.91</v>
      </c>
    </row>
    <row r="271">
      <c r="A271" s="12" t="str">
        <f t="shared" si="310"/>
        <v>CANCON</v>
      </c>
      <c r="B271" s="12" t="str">
        <f>IF(ISBLANK(A266),"",LEFT(B270,27)&amp;VALUE(RIGHT(B270,1)+1))</f>
        <v>JKS240702CANCON_25C_sample_6</v>
      </c>
      <c r="C271" s="13" t="str">
        <f t="shared" ref="C271:D271" si="315">C270</f>
        <v>Cannomois congesta</v>
      </c>
      <c r="D271" s="13" t="str">
        <f t="shared" si="315"/>
        <v>25C</v>
      </c>
      <c r="E271" s="14">
        <f>IF(ISBLANK(A266),"",E270+1)</f>
        <v>6</v>
      </c>
      <c r="F271" s="15">
        <f t="shared" si="312"/>
        <v>45478.22639</v>
      </c>
      <c r="G271" s="16">
        <v>2.51</v>
      </c>
    </row>
    <row r="272">
      <c r="A272" s="5" t="s">
        <v>7</v>
      </c>
      <c r="B272" s="6" t="str">
        <f t="array" ref="B272">IF(ISBLANK(A272),"",IF(A272="PROREP (L)",VLOOKUP(LEFT($A272,6),'Data Feed (25C)'!$A$1:$G$10,2,FALSE),IF(A272="PROREP (S)", INDEX('Data Feed (25C)'!B:B, MATCH(LEFT($A272,6), 'Data Feed (25C)'!$A$1:$A$10, 0) + 1), VLOOKUP($A272,'Data Feed (25C)'!$A$1:$G$10,2,FALSE))))</f>
        <v>JKS240702ERIMON_25C_sample_1</v>
      </c>
      <c r="C272" s="6" t="str">
        <f t="array" ref="C272">IF(ISBLANK(A272),"",IF(A272="PROREP (L)",VLOOKUP(LEFT($A272,6),'Data Feed (25C)'!$A$1:$G$10,3,FALSE),IF(A272="PROREP (S)", INDEX('Data Feed (25C)'!C:C, MATCH(LEFT($A272,6), 'Data Feed (25C)'!$A$1:$A$10, 0) + 1, +1), VLOOKUP($A272,'Data Feed (25C)'!$A$1:$G$10,3,FALSE))))</f>
        <v>Erica monsoniana</v>
      </c>
      <c r="D272" s="6" t="str">
        <f t="array" ref="D272">IF(ISBLANK(A272),"",IF(A272="PROREP (L)",VLOOKUP(LEFT($A272,6),'Data Feed (25C)'!$A$1:$G$10,4,FALSE),IF(A272="PROREP (S)", INDEX('Data Feed (25C)'!D:D, MATCH(LEFT($A272,6), 'Data Feed (25C)'!$A$1:$A$10, 0) + 1, +1), VLOOKUP($A272,'Data Feed (25C)'!$A$1:$G$10,4,FALSE))))</f>
        <v>25C</v>
      </c>
      <c r="E272" s="6">
        <f t="array" ref="E272">IF(ISBLANK(A272),"",IF(A272="PROREP (L)",VLOOKUP(LEFT($A272,6),'Data Feed (25C)'!$A$1:$G$10,7,FALSE),IF(A272="PROREP (S)", INDEX('Data Feed (25C)'!G:G, MATCH(LEFT($A272,6), 'Data Feed (25C)'!$A$1:$A$10, 0) + 1, +1), VLOOKUP($A272,'Data Feed (25C)'!$A$1:$G$10,7,FALSE))))</f>
        <v>1</v>
      </c>
      <c r="F272" s="7">
        <v>45478.368055555555</v>
      </c>
      <c r="G272" s="8">
        <v>0.55</v>
      </c>
    </row>
    <row r="273">
      <c r="A273" s="9" t="str">
        <f t="shared" ref="A273:A277" si="317">A272</f>
        <v>ERIMON</v>
      </c>
      <c r="B273" s="9" t="str">
        <f>IF(ISBLANK(A272),"",LEFT(B272,27)&amp;VALUE(RIGHT(B272,1)+1))</f>
        <v>JKS240702ERIMON_25C_sample_2</v>
      </c>
      <c r="C273" s="6" t="str">
        <f t="shared" ref="C273:D273" si="316">C272</f>
        <v>Erica monsoniana</v>
      </c>
      <c r="D273" s="6" t="str">
        <f t="shared" si="316"/>
        <v>25C</v>
      </c>
      <c r="E273" s="10">
        <f>IF(ISBLANK(A272),"",E272+1)</f>
        <v>2</v>
      </c>
      <c r="F273" s="11">
        <f t="shared" ref="F273:F277" si="319">F272</f>
        <v>45478.36806</v>
      </c>
      <c r="G273" s="8">
        <v>2.35</v>
      </c>
    </row>
    <row r="274">
      <c r="A274" s="9" t="str">
        <f t="shared" si="317"/>
        <v>ERIMON</v>
      </c>
      <c r="B274" s="9" t="str">
        <f>IF(ISBLANK(A272),"",LEFT(B273,27)&amp;VALUE(RIGHT(B273,1)+1))</f>
        <v>JKS240702ERIMON_25C_sample_3</v>
      </c>
      <c r="C274" s="6" t="str">
        <f t="shared" ref="C274:D274" si="318">C273</f>
        <v>Erica monsoniana</v>
      </c>
      <c r="D274" s="6" t="str">
        <f t="shared" si="318"/>
        <v>25C</v>
      </c>
      <c r="E274" s="10">
        <f>IF(ISBLANK(A272),"",E273+1)</f>
        <v>3</v>
      </c>
      <c r="F274" s="11">
        <f t="shared" si="319"/>
        <v>45478.36806</v>
      </c>
      <c r="G274" s="8">
        <v>0.87</v>
      </c>
    </row>
    <row r="275">
      <c r="A275" s="9" t="str">
        <f t="shared" si="317"/>
        <v>ERIMON</v>
      </c>
      <c r="B275" s="9" t="str">
        <f>IF(ISBLANK(A272),"",LEFT(B274,27)&amp;VALUE(RIGHT(B274,1)+1))</f>
        <v>JKS240702ERIMON_25C_sample_4</v>
      </c>
      <c r="C275" s="6" t="str">
        <f t="shared" ref="C275:D275" si="320">C274</f>
        <v>Erica monsoniana</v>
      </c>
      <c r="D275" s="6" t="str">
        <f t="shared" si="320"/>
        <v>25C</v>
      </c>
      <c r="E275" s="10">
        <f>IF(ISBLANK(A272),"",E274+1)</f>
        <v>4</v>
      </c>
      <c r="F275" s="11">
        <f t="shared" si="319"/>
        <v>45478.36806</v>
      </c>
      <c r="G275" s="8">
        <v>1.68</v>
      </c>
    </row>
    <row r="276">
      <c r="A276" s="9" t="str">
        <f t="shared" si="317"/>
        <v>ERIMON</v>
      </c>
      <c r="B276" s="9" t="str">
        <f>IF(ISBLANK(A272),"",LEFT(B275,27)&amp;VALUE(RIGHT(B275,1)+1))</f>
        <v>JKS240702ERIMON_25C_sample_5</v>
      </c>
      <c r="C276" s="6" t="str">
        <f t="shared" ref="C276:D276" si="321">C275</f>
        <v>Erica monsoniana</v>
      </c>
      <c r="D276" s="6" t="str">
        <f t="shared" si="321"/>
        <v>25C</v>
      </c>
      <c r="E276" s="10">
        <f>IF(ISBLANK(A272),"",E275+1)</f>
        <v>5</v>
      </c>
      <c r="F276" s="11">
        <f t="shared" si="319"/>
        <v>45478.36806</v>
      </c>
      <c r="G276" s="8">
        <v>1.24</v>
      </c>
    </row>
    <row r="277">
      <c r="A277" s="12" t="str">
        <f t="shared" si="317"/>
        <v>ERIMON</v>
      </c>
      <c r="B277" s="12" t="str">
        <f>IF(ISBLANK(A272),"",LEFT(B276,27)&amp;VALUE(RIGHT(B276,1)+1))</f>
        <v>JKS240702ERIMON_25C_sample_6</v>
      </c>
      <c r="C277" s="13" t="str">
        <f t="shared" ref="C277:D277" si="322">C276</f>
        <v>Erica monsoniana</v>
      </c>
      <c r="D277" s="13" t="str">
        <f t="shared" si="322"/>
        <v>25C</v>
      </c>
      <c r="E277" s="14">
        <f>IF(ISBLANK(A272),"",E276+1)</f>
        <v>6</v>
      </c>
      <c r="F277" s="15">
        <f t="shared" si="319"/>
        <v>45478.36806</v>
      </c>
      <c r="G277" s="16">
        <v>3.58</v>
      </c>
    </row>
    <row r="278">
      <c r="A278" s="5" t="s">
        <v>8</v>
      </c>
      <c r="B278" s="6" t="str">
        <f t="array" ref="B278">IF(ISBLANK(A278),"",IF(A278="PROREP (L)",VLOOKUP(LEFT($A278,6),'Data Feed (25C)'!$A$1:$G$10,2,FALSE),IF(A278="PROREP (S)", INDEX('Data Feed (25C)'!B:B, MATCH(LEFT($A278,6), 'Data Feed (25C)'!$A$1:$A$10, 0) + 1), VLOOKUP($A278,'Data Feed (25C)'!$A$1:$G$10,2,FALSE))))</f>
        <v>JKL240702PROREP_25C_sample_1</v>
      </c>
      <c r="C278" s="6" t="str">
        <f t="array" ref="C278">IF(ISBLANK(A278),"",IF(A278="PROREP (L)",VLOOKUP(LEFT($A278,6),'Data Feed (25C)'!$A$1:$G$10,3,FALSE),IF(A278="PROREP (S)", INDEX('Data Feed (25C)'!C:C, MATCH(LEFT($A278,6), 'Data Feed (25C)'!$A$1:$A$10, 0) + 1, +1), VLOOKUP($A278,'Data Feed (25C)'!$A$1:$G$10,3,FALSE))))</f>
        <v>Protea repens</v>
      </c>
      <c r="D278" s="6" t="str">
        <f t="array" ref="D278">IF(ISBLANK(A278),"",IF(A278="PROREP (L)",VLOOKUP(LEFT($A278,6),'Data Feed (25C)'!$A$1:$G$10,4,FALSE),IF(A278="PROREP (S)", INDEX('Data Feed (25C)'!D:D, MATCH(LEFT($A278,6), 'Data Feed (25C)'!$A$1:$A$10, 0) + 1, +1), VLOOKUP($A278,'Data Feed (25C)'!$A$1:$G$10,4,FALSE))))</f>
        <v>25C</v>
      </c>
      <c r="E278" s="6">
        <f t="array" ref="E278">IF(ISBLANK(A278),"",IF(A278="PROREP (L)",VLOOKUP(LEFT($A278,6),'Data Feed (25C)'!$A$1:$G$10,7,FALSE),IF(A278="PROREP (S)", INDEX('Data Feed (25C)'!G:G, MATCH(LEFT($A278,6), 'Data Feed (25C)'!$A$1:$A$10, 0) + 1, +1), VLOOKUP($A278,'Data Feed (25C)'!$A$1:$G$10,7,FALSE))))</f>
        <v>1</v>
      </c>
      <c r="F278" s="7">
        <v>45478.36944444444</v>
      </c>
      <c r="G278" s="8">
        <v>0.38</v>
      </c>
    </row>
    <row r="279">
      <c r="A279" s="9" t="str">
        <f t="shared" ref="A279:A283" si="324">A278</f>
        <v>PROREP (L)</v>
      </c>
      <c r="B279" s="9" t="str">
        <f>IF(ISBLANK(A278),"",LEFT(B278,27)&amp;VALUE(RIGHT(B278,1)+1))</f>
        <v>JKL240702PROREP_25C_sample_2</v>
      </c>
      <c r="C279" s="6" t="str">
        <f t="shared" ref="C279:D279" si="323">C278</f>
        <v>Protea repens</v>
      </c>
      <c r="D279" s="6" t="str">
        <f t="shared" si="323"/>
        <v>25C</v>
      </c>
      <c r="E279" s="10">
        <f>IF(ISBLANK(A278),"",E278+1)</f>
        <v>2</v>
      </c>
      <c r="F279" s="11">
        <f t="shared" ref="F279:F283" si="326">F278</f>
        <v>45478.36944</v>
      </c>
      <c r="G279" s="8">
        <v>0.54</v>
      </c>
    </row>
    <row r="280">
      <c r="A280" s="9" t="str">
        <f t="shared" si="324"/>
        <v>PROREP (L)</v>
      </c>
      <c r="B280" s="9" t="str">
        <f>IF(ISBLANK(A278),"",LEFT(B279,27)&amp;VALUE(RIGHT(B279,1)+1))</f>
        <v>JKL240702PROREP_25C_sample_3</v>
      </c>
      <c r="C280" s="6" t="str">
        <f t="shared" ref="C280:D280" si="325">C279</f>
        <v>Protea repens</v>
      </c>
      <c r="D280" s="6" t="str">
        <f t="shared" si="325"/>
        <v>25C</v>
      </c>
      <c r="E280" s="10">
        <f>IF(ISBLANK(A278),"",E279+1)</f>
        <v>3</v>
      </c>
      <c r="F280" s="11">
        <f t="shared" si="326"/>
        <v>45478.36944</v>
      </c>
      <c r="G280" s="8">
        <v>0.51</v>
      </c>
    </row>
    <row r="281">
      <c r="A281" s="9" t="str">
        <f t="shared" si="324"/>
        <v>PROREP (L)</v>
      </c>
      <c r="B281" s="9" t="str">
        <f>IF(ISBLANK(A278),"",LEFT(B280,27)&amp;VALUE(RIGHT(B280,1)+1))</f>
        <v>JKL240702PROREP_25C_sample_4</v>
      </c>
      <c r="C281" s="6" t="str">
        <f t="shared" ref="C281:D281" si="327">C280</f>
        <v>Protea repens</v>
      </c>
      <c r="D281" s="6" t="str">
        <f t="shared" si="327"/>
        <v>25C</v>
      </c>
      <c r="E281" s="10">
        <f>IF(ISBLANK(A278),"",E280+1)</f>
        <v>4</v>
      </c>
      <c r="F281" s="11">
        <f t="shared" si="326"/>
        <v>45478.36944</v>
      </c>
      <c r="G281" s="8">
        <v>0.43</v>
      </c>
    </row>
    <row r="282">
      <c r="A282" s="9" t="str">
        <f t="shared" si="324"/>
        <v>PROREP (L)</v>
      </c>
      <c r="B282" s="9" t="str">
        <f>IF(ISBLANK(A278),"",LEFT(B281,27)&amp;VALUE(RIGHT(B281,1)+1))</f>
        <v>JKL240702PROREP_25C_sample_5</v>
      </c>
      <c r="C282" s="6" t="str">
        <f t="shared" ref="C282:D282" si="328">C281</f>
        <v>Protea repens</v>
      </c>
      <c r="D282" s="6" t="str">
        <f t="shared" si="328"/>
        <v>25C</v>
      </c>
      <c r="E282" s="10">
        <f>IF(ISBLANK(A278),"",E281+1)</f>
        <v>5</v>
      </c>
      <c r="F282" s="11">
        <f t="shared" si="326"/>
        <v>45478.36944</v>
      </c>
      <c r="G282" s="8">
        <v>0.41</v>
      </c>
    </row>
    <row r="283">
      <c r="A283" s="12" t="str">
        <f t="shared" si="324"/>
        <v>PROREP (L)</v>
      </c>
      <c r="B283" s="12" t="str">
        <f>IF(ISBLANK(A278),"",LEFT(B282,27)&amp;VALUE(RIGHT(B282,1)+1))</f>
        <v>JKL240702PROREP_25C_sample_6</v>
      </c>
      <c r="C283" s="13" t="str">
        <f t="shared" ref="C283:D283" si="329">C282</f>
        <v>Protea repens</v>
      </c>
      <c r="D283" s="13" t="str">
        <f t="shared" si="329"/>
        <v>25C</v>
      </c>
      <c r="E283" s="14">
        <f>IF(ISBLANK(A278),"",E282+1)</f>
        <v>6</v>
      </c>
      <c r="F283" s="15">
        <f t="shared" si="326"/>
        <v>45478.36944</v>
      </c>
      <c r="G283" s="16">
        <v>0.45</v>
      </c>
    </row>
    <row r="284">
      <c r="A284" s="5" t="s">
        <v>9</v>
      </c>
      <c r="B284" s="6" t="str">
        <f t="array" ref="B284">IF(ISBLANK(A284),"",IF(A284="PROREP (L)",VLOOKUP(LEFT($A284,6),'Data Feed (25C)'!$A$1:$G$10,2,FALSE),IF(A284="PROREP (S)", INDEX('Data Feed (25C)'!B:B, MATCH(LEFT($A284,6), 'Data Feed (25C)'!$A$1:$A$10, 0) + 1), VLOOKUP($A284,'Data Feed (25C)'!$A$1:$G$10,2,FALSE))))</f>
        <v>JKS240702PROREP_25C_sample_1</v>
      </c>
      <c r="C284" s="6" t="str">
        <f t="array" ref="C284">IF(ISBLANK(A284),"",IF(A284="PROREP (L)",VLOOKUP(LEFT($A284,6),'Data Feed (25C)'!$A$1:$G$10,3,FALSE),IF(A284="PROREP (S)", INDEX('Data Feed (25C)'!C:C, MATCH(LEFT($A284,6), 'Data Feed (25C)'!$A$1:$A$10, 0) + 1, +1), VLOOKUP($A284,'Data Feed (25C)'!$A$1:$G$10,3,FALSE))))</f>
        <v>Protea repens</v>
      </c>
      <c r="D284" s="6" t="str">
        <f t="array" ref="D284">IF(ISBLANK(A284),"",IF(A284="PROREP (L)",VLOOKUP(LEFT($A284,6),'Data Feed (25C)'!$A$1:$G$10,4,FALSE),IF(A284="PROREP (S)", INDEX('Data Feed (25C)'!D:D, MATCH(LEFT($A284,6), 'Data Feed (25C)'!$A$1:$A$10, 0) + 1, +1), VLOOKUP($A284,'Data Feed (25C)'!$A$1:$G$10,4,FALSE))))</f>
        <v>25C</v>
      </c>
      <c r="E284" s="6">
        <f t="array" ref="E284">IF(ISBLANK(A284),"",IF(A284="PROREP (L)",VLOOKUP(LEFT($A284,6),'Data Feed (25C)'!$A$1:$G$10,7,FALSE),IF(A284="PROREP (S)", INDEX('Data Feed (25C)'!G:G, MATCH(LEFT($A284,6), 'Data Feed (25C)'!$A$1:$A$10, 0) + 1, +1), VLOOKUP($A284,'Data Feed (25C)'!$A$1:$G$10,7,FALSE))))</f>
        <v>1</v>
      </c>
      <c r="F284" s="7">
        <v>45478.37013888889</v>
      </c>
      <c r="G284" s="8">
        <v>11.54</v>
      </c>
    </row>
    <row r="285">
      <c r="A285" s="9" t="str">
        <f t="shared" ref="A285:A289" si="331">A284</f>
        <v>PROREP (S)</v>
      </c>
      <c r="B285" s="9" t="str">
        <f>IF(ISBLANK(A284),"",LEFT(B284,27)&amp;VALUE(RIGHT(B284,1)+1))</f>
        <v>JKS240702PROREP_25C_sample_2</v>
      </c>
      <c r="C285" s="6" t="str">
        <f t="shared" ref="C285:D285" si="330">C284</f>
        <v>Protea repens</v>
      </c>
      <c r="D285" s="6" t="str">
        <f t="shared" si="330"/>
        <v>25C</v>
      </c>
      <c r="E285" s="10">
        <f>IF(ISBLANK(A284),"",E284+1)</f>
        <v>2</v>
      </c>
      <c r="F285" s="11">
        <f t="shared" ref="F285:F289" si="333">F284</f>
        <v>45478.37014</v>
      </c>
      <c r="G285" s="8">
        <v>9.45</v>
      </c>
    </row>
    <row r="286">
      <c r="A286" s="9" t="str">
        <f t="shared" si="331"/>
        <v>PROREP (S)</v>
      </c>
      <c r="B286" s="9" t="str">
        <f>IF(ISBLANK(A284),"",LEFT(B285,27)&amp;VALUE(RIGHT(B285,1)+1))</f>
        <v>JKS240702PROREP_25C_sample_3</v>
      </c>
      <c r="C286" s="6" t="str">
        <f t="shared" ref="C286:D286" si="332">C285</f>
        <v>Protea repens</v>
      </c>
      <c r="D286" s="6" t="str">
        <f t="shared" si="332"/>
        <v>25C</v>
      </c>
      <c r="E286" s="10">
        <f>IF(ISBLANK(A284),"",E285+1)</f>
        <v>3</v>
      </c>
      <c r="F286" s="11">
        <f t="shared" si="333"/>
        <v>45478.37014</v>
      </c>
      <c r="G286" s="8">
        <v>6.96</v>
      </c>
    </row>
    <row r="287">
      <c r="A287" s="9" t="str">
        <f t="shared" si="331"/>
        <v>PROREP (S)</v>
      </c>
      <c r="B287" s="9" t="str">
        <f>IF(ISBLANK(A284),"",LEFT(B286,27)&amp;VALUE(RIGHT(B286,1)+1))</f>
        <v>JKS240702PROREP_25C_sample_4</v>
      </c>
      <c r="C287" s="6" t="str">
        <f t="shared" ref="C287:D287" si="334">C286</f>
        <v>Protea repens</v>
      </c>
      <c r="D287" s="6" t="str">
        <f t="shared" si="334"/>
        <v>25C</v>
      </c>
      <c r="E287" s="10">
        <f>IF(ISBLANK(A284),"",E286+1)</f>
        <v>4</v>
      </c>
      <c r="F287" s="11">
        <f t="shared" si="333"/>
        <v>45478.37014</v>
      </c>
      <c r="G287" s="8">
        <v>2.41</v>
      </c>
    </row>
    <row r="288">
      <c r="A288" s="9" t="str">
        <f t="shared" si="331"/>
        <v>PROREP (S)</v>
      </c>
      <c r="B288" s="9" t="str">
        <f>IF(ISBLANK(A284),"",LEFT(B287,27)&amp;VALUE(RIGHT(B287,1)+1))</f>
        <v>JKS240702PROREP_25C_sample_5</v>
      </c>
      <c r="C288" s="6" t="str">
        <f t="shared" ref="C288:D288" si="335">C287</f>
        <v>Protea repens</v>
      </c>
      <c r="D288" s="6" t="str">
        <f t="shared" si="335"/>
        <v>25C</v>
      </c>
      <c r="E288" s="10">
        <f>IF(ISBLANK(A284),"",E287+1)</f>
        <v>5</v>
      </c>
      <c r="F288" s="11">
        <f t="shared" si="333"/>
        <v>45478.37014</v>
      </c>
      <c r="G288" s="8">
        <v>9.53</v>
      </c>
    </row>
    <row r="289">
      <c r="A289" s="12" t="str">
        <f t="shared" si="331"/>
        <v>PROREP (S)</v>
      </c>
      <c r="B289" s="12" t="str">
        <f>IF(ISBLANK(A284),"",LEFT(B288,27)&amp;VALUE(RIGHT(B288,1)+1))</f>
        <v>JKS240702PROREP_25C_sample_6</v>
      </c>
      <c r="C289" s="13" t="str">
        <f t="shared" ref="C289:D289" si="336">C288</f>
        <v>Protea repens</v>
      </c>
      <c r="D289" s="13" t="str">
        <f t="shared" si="336"/>
        <v>25C</v>
      </c>
      <c r="E289" s="14">
        <f>IF(ISBLANK(A284),"",E288+1)</f>
        <v>6</v>
      </c>
      <c r="F289" s="15">
        <f t="shared" si="333"/>
        <v>45478.37014</v>
      </c>
      <c r="G289" s="16">
        <v>4.52</v>
      </c>
    </row>
    <row r="290">
      <c r="A290" s="5" t="s">
        <v>10</v>
      </c>
      <c r="B290" s="6" t="str">
        <f t="array" ref="B290">IF(ISBLANK(A290),"",IF(A290="PROREP (L)",VLOOKUP(LEFT($A290,6),'Data Feed (25C)'!$A$1:$G$10,2,FALSE),IF(A290="PROREP (S)", INDEX('Data Feed (25C)'!B:B, MATCH(LEFT($A290,6), 'Data Feed (25C)'!$A$1:$A$10, 0) + 1), VLOOKUP($A290,'Data Feed (25C)'!$A$1:$G$10,2,FALSE))))</f>
        <v>JKS240702CANCON_25C_sample_1</v>
      </c>
      <c r="C290" s="6" t="str">
        <f t="array" ref="C290">IF(ISBLANK(A290),"",IF(A290="PROREP (L)",VLOOKUP(LEFT($A290,6),'Data Feed (25C)'!$A$1:$G$10,3,FALSE),IF(A290="PROREP (S)", INDEX('Data Feed (25C)'!C:C, MATCH(LEFT($A290,6), 'Data Feed (25C)'!$A$1:$A$10, 0) + 1, +1), VLOOKUP($A290,'Data Feed (25C)'!$A$1:$G$10,3,FALSE))))</f>
        <v>Cannomois congesta</v>
      </c>
      <c r="D290" s="6" t="str">
        <f t="array" ref="D290">IF(ISBLANK(A290),"",IF(A290="PROREP (L)",VLOOKUP(LEFT($A290,6),'Data Feed (25C)'!$A$1:$G$10,4,FALSE),IF(A290="PROREP (S)", INDEX('Data Feed (25C)'!D:D, MATCH(LEFT($A290,6), 'Data Feed (25C)'!$A$1:$A$10, 0) + 1, +1), VLOOKUP($A290,'Data Feed (25C)'!$A$1:$G$10,4,FALSE))))</f>
        <v>25C</v>
      </c>
      <c r="E290" s="6">
        <f t="array" ref="E290">IF(ISBLANK(A290),"",IF(A290="PROREP (L)",VLOOKUP(LEFT($A290,6),'Data Feed (25C)'!$A$1:$G$10,7,FALSE),IF(A290="PROREP (S)", INDEX('Data Feed (25C)'!G:G, MATCH(LEFT($A290,6), 'Data Feed (25C)'!$A$1:$A$10, 0) + 1, +1), VLOOKUP($A290,'Data Feed (25C)'!$A$1:$G$10,7,FALSE))))</f>
        <v>1</v>
      </c>
      <c r="F290" s="7">
        <v>45478.37222222222</v>
      </c>
      <c r="G290" s="8">
        <v>0.69</v>
      </c>
    </row>
    <row r="291">
      <c r="A291" s="9" t="str">
        <f t="shared" ref="A291:A295" si="338">A290</f>
        <v>CANCON</v>
      </c>
      <c r="B291" s="9" t="str">
        <f>IF(ISBLANK(A290),"",LEFT(B290,27)&amp;VALUE(RIGHT(B290,1)+1))</f>
        <v>JKS240702CANCON_25C_sample_2</v>
      </c>
      <c r="C291" s="6" t="str">
        <f t="shared" ref="C291:D291" si="337">C290</f>
        <v>Cannomois congesta</v>
      </c>
      <c r="D291" s="6" t="str">
        <f t="shared" si="337"/>
        <v>25C</v>
      </c>
      <c r="E291" s="10">
        <f>IF(ISBLANK(A290),"",E290+1)</f>
        <v>2</v>
      </c>
      <c r="F291" s="11">
        <f t="shared" ref="F291:F295" si="340">F290</f>
        <v>45478.37222</v>
      </c>
      <c r="G291" s="8">
        <v>1.1</v>
      </c>
    </row>
    <row r="292">
      <c r="A292" s="9" t="str">
        <f t="shared" si="338"/>
        <v>CANCON</v>
      </c>
      <c r="B292" s="9" t="str">
        <f>IF(ISBLANK(A290),"",LEFT(B291,27)&amp;VALUE(RIGHT(B291,1)+1))</f>
        <v>JKS240702CANCON_25C_sample_3</v>
      </c>
      <c r="C292" s="6" t="str">
        <f t="shared" ref="C292:D292" si="339">C291</f>
        <v>Cannomois congesta</v>
      </c>
      <c r="D292" s="6" t="str">
        <f t="shared" si="339"/>
        <v>25C</v>
      </c>
      <c r="E292" s="10">
        <f>IF(ISBLANK(A290),"",E291+1)</f>
        <v>3</v>
      </c>
      <c r="F292" s="11">
        <f t="shared" si="340"/>
        <v>45478.37222</v>
      </c>
      <c r="G292" s="8">
        <v>1.95</v>
      </c>
    </row>
    <row r="293">
      <c r="A293" s="9" t="str">
        <f t="shared" si="338"/>
        <v>CANCON</v>
      </c>
      <c r="B293" s="9" t="str">
        <f>IF(ISBLANK(A290),"",LEFT(B292,27)&amp;VALUE(RIGHT(B292,1)+1))</f>
        <v>JKS240702CANCON_25C_sample_4</v>
      </c>
      <c r="C293" s="6" t="str">
        <f t="shared" ref="C293:D293" si="341">C292</f>
        <v>Cannomois congesta</v>
      </c>
      <c r="D293" s="6" t="str">
        <f t="shared" si="341"/>
        <v>25C</v>
      </c>
      <c r="E293" s="10">
        <f>IF(ISBLANK(A290),"",E292+1)</f>
        <v>4</v>
      </c>
      <c r="F293" s="11">
        <f t="shared" si="340"/>
        <v>45478.37222</v>
      </c>
      <c r="G293" s="8">
        <v>1.02</v>
      </c>
    </row>
    <row r="294">
      <c r="A294" s="9" t="str">
        <f t="shared" si="338"/>
        <v>CANCON</v>
      </c>
      <c r="B294" s="9" t="str">
        <f>IF(ISBLANK(A290),"",LEFT(B293,27)&amp;VALUE(RIGHT(B293,1)+1))</f>
        <v>JKS240702CANCON_25C_sample_5</v>
      </c>
      <c r="C294" s="6" t="str">
        <f t="shared" ref="C294:D294" si="342">C293</f>
        <v>Cannomois congesta</v>
      </c>
      <c r="D294" s="6" t="str">
        <f t="shared" si="342"/>
        <v>25C</v>
      </c>
      <c r="E294" s="10">
        <f>IF(ISBLANK(A290),"",E293+1)</f>
        <v>5</v>
      </c>
      <c r="F294" s="11">
        <f t="shared" si="340"/>
        <v>45478.37222</v>
      </c>
      <c r="G294" s="8">
        <v>2.78</v>
      </c>
    </row>
    <row r="295">
      <c r="A295" s="12" t="str">
        <f t="shared" si="338"/>
        <v>CANCON</v>
      </c>
      <c r="B295" s="12" t="str">
        <f>IF(ISBLANK(A290),"",LEFT(B294,27)&amp;VALUE(RIGHT(B294,1)+1))</f>
        <v>JKS240702CANCON_25C_sample_6</v>
      </c>
      <c r="C295" s="13" t="str">
        <f t="shared" ref="C295:D295" si="343">C294</f>
        <v>Cannomois congesta</v>
      </c>
      <c r="D295" s="13" t="str">
        <f t="shared" si="343"/>
        <v>25C</v>
      </c>
      <c r="E295" s="14">
        <f>IF(ISBLANK(A290),"",E294+1)</f>
        <v>6</v>
      </c>
      <c r="F295" s="15">
        <f t="shared" si="340"/>
        <v>45478.37222</v>
      </c>
      <c r="G295" s="16">
        <v>2.4</v>
      </c>
    </row>
    <row r="296">
      <c r="A296" s="5" t="s">
        <v>7</v>
      </c>
      <c r="B296" s="6" t="str">
        <f t="array" ref="B296">IF(ISBLANK(A296),"",IF(A296="PROREP (L)",VLOOKUP(LEFT($A296,6),'Data Feed (25C)'!$A$1:$G$10,2,FALSE),IF(A296="PROREP (S)", INDEX('Data Feed (25C)'!B:B, MATCH(LEFT($A296,6), 'Data Feed (25C)'!$A$1:$A$10, 0) + 1), VLOOKUP($A296,'Data Feed (25C)'!$A$1:$G$10,2,FALSE))))</f>
        <v>JKS240702ERIMON_25C_sample_1</v>
      </c>
      <c r="C296" s="6" t="str">
        <f t="array" ref="C296">IF(ISBLANK(A296),"",IF(A296="PROREP (L)",VLOOKUP(LEFT($A296,6),'Data Feed (25C)'!$A$1:$G$10,3,FALSE),IF(A296="PROREP (S)", INDEX('Data Feed (25C)'!C:C, MATCH(LEFT($A296,6), 'Data Feed (25C)'!$A$1:$A$10, 0) + 1, +1), VLOOKUP($A296,'Data Feed (25C)'!$A$1:$G$10,3,FALSE))))</f>
        <v>Erica monsoniana</v>
      </c>
      <c r="D296" s="6" t="str">
        <f t="array" ref="D296">IF(ISBLANK(A296),"",IF(A296="PROREP (L)",VLOOKUP(LEFT($A296,6),'Data Feed (25C)'!$A$1:$G$10,4,FALSE),IF(A296="PROREP (S)", INDEX('Data Feed (25C)'!D:D, MATCH(LEFT($A296,6), 'Data Feed (25C)'!$A$1:$A$10, 0) + 1, +1), VLOOKUP($A296,'Data Feed (25C)'!$A$1:$G$10,4,FALSE))))</f>
        <v>25C</v>
      </c>
      <c r="E296" s="6">
        <f t="array" ref="E296">IF(ISBLANK(A296),"",IF(A296="PROREP (L)",VLOOKUP(LEFT($A296,6),'Data Feed (25C)'!$A$1:$G$10,7,FALSE),IF(A296="PROREP (S)", INDEX('Data Feed (25C)'!G:G, MATCH(LEFT($A296,6), 'Data Feed (25C)'!$A$1:$A$10, 0) + 1, +1), VLOOKUP($A296,'Data Feed (25C)'!$A$1:$G$10,7,FALSE))))</f>
        <v>1</v>
      </c>
      <c r="F296" s="7">
        <v>45478.50069444445</v>
      </c>
      <c r="G296" s="8">
        <v>0.52</v>
      </c>
    </row>
    <row r="297">
      <c r="A297" s="9" t="str">
        <f t="shared" ref="A297:A301" si="345">A296</f>
        <v>ERIMON</v>
      </c>
      <c r="B297" s="9" t="str">
        <f>IF(ISBLANK(A296),"",LEFT(B296,27)&amp;VALUE(RIGHT(B296,1)+1))</f>
        <v>JKS240702ERIMON_25C_sample_2</v>
      </c>
      <c r="C297" s="6" t="str">
        <f t="shared" ref="C297:D297" si="344">C296</f>
        <v>Erica monsoniana</v>
      </c>
      <c r="D297" s="6" t="str">
        <f t="shared" si="344"/>
        <v>25C</v>
      </c>
      <c r="E297" s="10">
        <f>IF(ISBLANK(A296),"",E296+1)</f>
        <v>2</v>
      </c>
      <c r="F297" s="11">
        <f t="shared" ref="F297:F301" si="347">F296</f>
        <v>45478.50069</v>
      </c>
      <c r="G297" s="8">
        <v>2.2</v>
      </c>
    </row>
    <row r="298">
      <c r="A298" s="9" t="str">
        <f t="shared" si="345"/>
        <v>ERIMON</v>
      </c>
      <c r="B298" s="9" t="str">
        <f>IF(ISBLANK(A296),"",LEFT(B297,27)&amp;VALUE(RIGHT(B297,1)+1))</f>
        <v>JKS240702ERIMON_25C_sample_3</v>
      </c>
      <c r="C298" s="6" t="str">
        <f t="shared" ref="C298:D298" si="346">C297</f>
        <v>Erica monsoniana</v>
      </c>
      <c r="D298" s="6" t="str">
        <f t="shared" si="346"/>
        <v>25C</v>
      </c>
      <c r="E298" s="10">
        <f>IF(ISBLANK(A296),"",E297+1)</f>
        <v>3</v>
      </c>
      <c r="F298" s="11">
        <f t="shared" si="347"/>
        <v>45478.50069</v>
      </c>
      <c r="G298" s="8">
        <v>0.86</v>
      </c>
    </row>
    <row r="299">
      <c r="A299" s="9" t="str">
        <f t="shared" si="345"/>
        <v>ERIMON</v>
      </c>
      <c r="B299" s="9" t="str">
        <f>IF(ISBLANK(A296),"",LEFT(B298,27)&amp;VALUE(RIGHT(B298,1)+1))</f>
        <v>JKS240702ERIMON_25C_sample_4</v>
      </c>
      <c r="C299" s="6" t="str">
        <f t="shared" ref="C299:D299" si="348">C298</f>
        <v>Erica monsoniana</v>
      </c>
      <c r="D299" s="6" t="str">
        <f t="shared" si="348"/>
        <v>25C</v>
      </c>
      <c r="E299" s="10">
        <f>IF(ISBLANK(A296),"",E298+1)</f>
        <v>4</v>
      </c>
      <c r="F299" s="11">
        <f t="shared" si="347"/>
        <v>45478.50069</v>
      </c>
      <c r="G299" s="8">
        <v>1.63</v>
      </c>
    </row>
    <row r="300">
      <c r="A300" s="9" t="str">
        <f t="shared" si="345"/>
        <v>ERIMON</v>
      </c>
      <c r="B300" s="9" t="str">
        <f>IF(ISBLANK(A296),"",LEFT(B299,27)&amp;VALUE(RIGHT(B299,1)+1))</f>
        <v>JKS240702ERIMON_25C_sample_5</v>
      </c>
      <c r="C300" s="6" t="str">
        <f t="shared" ref="C300:D300" si="349">C299</f>
        <v>Erica monsoniana</v>
      </c>
      <c r="D300" s="6" t="str">
        <f t="shared" si="349"/>
        <v>25C</v>
      </c>
      <c r="E300" s="10">
        <f>IF(ISBLANK(A296),"",E299+1)</f>
        <v>5</v>
      </c>
      <c r="F300" s="11">
        <f t="shared" si="347"/>
        <v>45478.50069</v>
      </c>
      <c r="G300" s="8">
        <v>1.2</v>
      </c>
    </row>
    <row r="301">
      <c r="A301" s="12" t="str">
        <f t="shared" si="345"/>
        <v>ERIMON</v>
      </c>
      <c r="B301" s="12" t="str">
        <f>IF(ISBLANK(A296),"",LEFT(B300,27)&amp;VALUE(RIGHT(B300,1)+1))</f>
        <v>JKS240702ERIMON_25C_sample_6</v>
      </c>
      <c r="C301" s="13" t="str">
        <f t="shared" ref="C301:D301" si="350">C300</f>
        <v>Erica monsoniana</v>
      </c>
      <c r="D301" s="13" t="str">
        <f t="shared" si="350"/>
        <v>25C</v>
      </c>
      <c r="E301" s="14">
        <f>IF(ISBLANK(A296),"",E300+1)</f>
        <v>6</v>
      </c>
      <c r="F301" s="15">
        <f t="shared" si="347"/>
        <v>45478.50069</v>
      </c>
      <c r="G301" s="16">
        <v>3.48</v>
      </c>
    </row>
    <row r="302">
      <c r="A302" s="5" t="s">
        <v>8</v>
      </c>
      <c r="B302" s="6" t="str">
        <f t="array" ref="B302">IF(ISBLANK(A302),"",IF(A302="PROREP (L)",VLOOKUP(LEFT($A302,6),'Data Feed (25C)'!$A$1:$G$10,2,FALSE),IF(A302="PROREP (S)", INDEX('Data Feed (25C)'!B:B, MATCH(LEFT($A302,6), 'Data Feed (25C)'!$A$1:$A$10, 0) + 1), VLOOKUP($A302,'Data Feed (25C)'!$A$1:$G$10,2,FALSE))))</f>
        <v>JKL240702PROREP_25C_sample_1</v>
      </c>
      <c r="C302" s="6" t="str">
        <f t="array" ref="C302">IF(ISBLANK(A302),"",IF(A302="PROREP (L)",VLOOKUP(LEFT($A302,6),'Data Feed (25C)'!$A$1:$G$10,3,FALSE),IF(A302="PROREP (S)", INDEX('Data Feed (25C)'!C:C, MATCH(LEFT($A302,6), 'Data Feed (25C)'!$A$1:$A$10, 0) + 1, +1), VLOOKUP($A302,'Data Feed (25C)'!$A$1:$G$10,3,FALSE))))</f>
        <v>Protea repens</v>
      </c>
      <c r="D302" s="6" t="str">
        <f t="array" ref="D302">IF(ISBLANK(A302),"",IF(A302="PROREP (L)",VLOOKUP(LEFT($A302,6),'Data Feed (25C)'!$A$1:$G$10,4,FALSE),IF(A302="PROREP (S)", INDEX('Data Feed (25C)'!D:D, MATCH(LEFT($A302,6), 'Data Feed (25C)'!$A$1:$A$10, 0) + 1, +1), VLOOKUP($A302,'Data Feed (25C)'!$A$1:$G$10,4,FALSE))))</f>
        <v>25C</v>
      </c>
      <c r="E302" s="6">
        <f t="array" ref="E302">IF(ISBLANK(A302),"",IF(A302="PROREP (L)",VLOOKUP(LEFT($A302,6),'Data Feed (25C)'!$A$1:$G$10,7,FALSE),IF(A302="PROREP (S)", INDEX('Data Feed (25C)'!G:G, MATCH(LEFT($A302,6), 'Data Feed (25C)'!$A$1:$A$10, 0) + 1, +1), VLOOKUP($A302,'Data Feed (25C)'!$A$1:$G$10,7,FALSE))))</f>
        <v>1</v>
      </c>
      <c r="F302" s="7">
        <v>45478.50277777778</v>
      </c>
      <c r="G302" s="8">
        <v>0.38</v>
      </c>
    </row>
    <row r="303">
      <c r="A303" s="9" t="str">
        <f t="shared" ref="A303:A307" si="352">A302</f>
        <v>PROREP (L)</v>
      </c>
      <c r="B303" s="9" t="str">
        <f>IF(ISBLANK(A302),"",LEFT(B302,27)&amp;VALUE(RIGHT(B302,1)+1))</f>
        <v>JKL240702PROREP_25C_sample_2</v>
      </c>
      <c r="C303" s="6" t="str">
        <f t="shared" ref="C303:D303" si="351">C302</f>
        <v>Protea repens</v>
      </c>
      <c r="D303" s="6" t="str">
        <f t="shared" si="351"/>
        <v>25C</v>
      </c>
      <c r="E303" s="10">
        <f>IF(ISBLANK(A302),"",E302+1)</f>
        <v>2</v>
      </c>
      <c r="F303" s="11">
        <f t="shared" ref="F303:F307" si="354">F302</f>
        <v>45478.50278</v>
      </c>
      <c r="G303" s="8">
        <v>0.52</v>
      </c>
    </row>
    <row r="304">
      <c r="A304" s="9" t="str">
        <f t="shared" si="352"/>
        <v>PROREP (L)</v>
      </c>
      <c r="B304" s="9" t="str">
        <f>IF(ISBLANK(A302),"",LEFT(B303,27)&amp;VALUE(RIGHT(B303,1)+1))</f>
        <v>JKL240702PROREP_25C_sample_3</v>
      </c>
      <c r="C304" s="6" t="str">
        <f t="shared" ref="C304:D304" si="353">C303</f>
        <v>Protea repens</v>
      </c>
      <c r="D304" s="6" t="str">
        <f t="shared" si="353"/>
        <v>25C</v>
      </c>
      <c r="E304" s="10">
        <f>IF(ISBLANK(A302),"",E303+1)</f>
        <v>3</v>
      </c>
      <c r="F304" s="11">
        <f t="shared" si="354"/>
        <v>45478.50278</v>
      </c>
      <c r="G304" s="8">
        <v>0.47</v>
      </c>
    </row>
    <row r="305">
      <c r="A305" s="9" t="str">
        <f t="shared" si="352"/>
        <v>PROREP (L)</v>
      </c>
      <c r="B305" s="9" t="str">
        <f>IF(ISBLANK(A302),"",LEFT(B304,27)&amp;VALUE(RIGHT(B304,1)+1))</f>
        <v>JKL240702PROREP_25C_sample_4</v>
      </c>
      <c r="C305" s="6" t="str">
        <f t="shared" ref="C305:D305" si="355">C304</f>
        <v>Protea repens</v>
      </c>
      <c r="D305" s="6" t="str">
        <f t="shared" si="355"/>
        <v>25C</v>
      </c>
      <c r="E305" s="10">
        <f>IF(ISBLANK(A302),"",E304+1)</f>
        <v>4</v>
      </c>
      <c r="F305" s="11">
        <f t="shared" si="354"/>
        <v>45478.50278</v>
      </c>
      <c r="G305" s="8">
        <v>0.43</v>
      </c>
    </row>
    <row r="306">
      <c r="A306" s="9" t="str">
        <f t="shared" si="352"/>
        <v>PROREP (L)</v>
      </c>
      <c r="B306" s="9" t="str">
        <f>IF(ISBLANK(A302),"",LEFT(B305,27)&amp;VALUE(RIGHT(B305,1)+1))</f>
        <v>JKL240702PROREP_25C_sample_5</v>
      </c>
      <c r="C306" s="6" t="str">
        <f t="shared" ref="C306:D306" si="356">C305</f>
        <v>Protea repens</v>
      </c>
      <c r="D306" s="6" t="str">
        <f t="shared" si="356"/>
        <v>25C</v>
      </c>
      <c r="E306" s="10">
        <f>IF(ISBLANK(A302),"",E305+1)</f>
        <v>5</v>
      </c>
      <c r="F306" s="11">
        <f t="shared" si="354"/>
        <v>45478.50278</v>
      </c>
      <c r="G306" s="8">
        <v>0.42</v>
      </c>
    </row>
    <row r="307">
      <c r="A307" s="12" t="str">
        <f t="shared" si="352"/>
        <v>PROREP (L)</v>
      </c>
      <c r="B307" s="12" t="str">
        <f>IF(ISBLANK(A302),"",LEFT(B306,27)&amp;VALUE(RIGHT(B306,1)+1))</f>
        <v>JKL240702PROREP_25C_sample_6</v>
      </c>
      <c r="C307" s="13" t="str">
        <f t="shared" ref="C307:D307" si="357">C306</f>
        <v>Protea repens</v>
      </c>
      <c r="D307" s="13" t="str">
        <f t="shared" si="357"/>
        <v>25C</v>
      </c>
      <c r="E307" s="14">
        <f>IF(ISBLANK(A302),"",E306+1)</f>
        <v>6</v>
      </c>
      <c r="F307" s="15">
        <f t="shared" si="354"/>
        <v>45478.50278</v>
      </c>
      <c r="G307" s="16">
        <v>0.46</v>
      </c>
    </row>
    <row r="308">
      <c r="A308" s="5" t="s">
        <v>9</v>
      </c>
      <c r="B308" s="6" t="str">
        <f t="array" ref="B308">IF(ISBLANK(A308),"",IF(A308="PROREP (L)",VLOOKUP(LEFT($A308,6),'Data Feed (25C)'!$A$1:$G$10,2,FALSE),IF(A308="PROREP (S)", INDEX('Data Feed (25C)'!B:B, MATCH(LEFT($A308,6), 'Data Feed (25C)'!$A$1:$A$10, 0) + 1), VLOOKUP($A308,'Data Feed (25C)'!$A$1:$G$10,2,FALSE))))</f>
        <v>JKS240702PROREP_25C_sample_1</v>
      </c>
      <c r="C308" s="6" t="str">
        <f t="array" ref="C308">IF(ISBLANK(A308),"",IF(A308="PROREP (L)",VLOOKUP(LEFT($A308,6),'Data Feed (25C)'!$A$1:$G$10,3,FALSE),IF(A308="PROREP (S)", INDEX('Data Feed (25C)'!C:C, MATCH(LEFT($A308,6), 'Data Feed (25C)'!$A$1:$A$10, 0) + 1, +1), VLOOKUP($A308,'Data Feed (25C)'!$A$1:$G$10,3,FALSE))))</f>
        <v>Protea repens</v>
      </c>
      <c r="D308" s="6" t="str">
        <f t="array" ref="D308">IF(ISBLANK(A308),"",IF(A308="PROREP (L)",VLOOKUP(LEFT($A308,6),'Data Feed (25C)'!$A$1:$G$10,4,FALSE),IF(A308="PROREP (S)", INDEX('Data Feed (25C)'!D:D, MATCH(LEFT($A308,6), 'Data Feed (25C)'!$A$1:$A$10, 0) + 1, +1), VLOOKUP($A308,'Data Feed (25C)'!$A$1:$G$10,4,FALSE))))</f>
        <v>25C</v>
      </c>
      <c r="E308" s="6">
        <f t="array" ref="E308">IF(ISBLANK(A308),"",IF(A308="PROREP (L)",VLOOKUP(LEFT($A308,6),'Data Feed (25C)'!$A$1:$G$10,7,FALSE),IF(A308="PROREP (S)", INDEX('Data Feed (25C)'!G:G, MATCH(LEFT($A308,6), 'Data Feed (25C)'!$A$1:$A$10, 0) + 1, +1), VLOOKUP($A308,'Data Feed (25C)'!$A$1:$G$10,7,FALSE))))</f>
        <v>1</v>
      </c>
      <c r="F308" s="7">
        <v>45478.50347222222</v>
      </c>
      <c r="G308" s="8">
        <v>11.34</v>
      </c>
    </row>
    <row r="309">
      <c r="A309" s="9" t="str">
        <f t="shared" ref="A309:A313" si="359">A308</f>
        <v>PROREP (S)</v>
      </c>
      <c r="B309" s="9" t="str">
        <f>IF(ISBLANK(A308),"",LEFT(B308,27)&amp;VALUE(RIGHT(B308,1)+1))</f>
        <v>JKS240702PROREP_25C_sample_2</v>
      </c>
      <c r="C309" s="6" t="str">
        <f t="shared" ref="C309:D309" si="358">C308</f>
        <v>Protea repens</v>
      </c>
      <c r="D309" s="6" t="str">
        <f t="shared" si="358"/>
        <v>25C</v>
      </c>
      <c r="E309" s="10">
        <f>IF(ISBLANK(A308),"",E308+1)</f>
        <v>2</v>
      </c>
      <c r="F309" s="11">
        <f t="shared" ref="F309:F313" si="361">F308</f>
        <v>45478.50347</v>
      </c>
      <c r="G309" s="8">
        <v>9.33</v>
      </c>
    </row>
    <row r="310">
      <c r="A310" s="9" t="str">
        <f t="shared" si="359"/>
        <v>PROREP (S)</v>
      </c>
      <c r="B310" s="9" t="str">
        <f>IF(ISBLANK(A308),"",LEFT(B309,27)&amp;VALUE(RIGHT(B309,1)+1))</f>
        <v>JKS240702PROREP_25C_sample_3</v>
      </c>
      <c r="C310" s="6" t="str">
        <f t="shared" ref="C310:D310" si="360">C309</f>
        <v>Protea repens</v>
      </c>
      <c r="D310" s="6" t="str">
        <f t="shared" si="360"/>
        <v>25C</v>
      </c>
      <c r="E310" s="10">
        <f>IF(ISBLANK(A308),"",E309+1)</f>
        <v>3</v>
      </c>
      <c r="F310" s="11">
        <f t="shared" si="361"/>
        <v>45478.50347</v>
      </c>
      <c r="G310" s="8">
        <v>6.41</v>
      </c>
    </row>
    <row r="311">
      <c r="A311" s="9" t="str">
        <f t="shared" si="359"/>
        <v>PROREP (S)</v>
      </c>
      <c r="B311" s="9" t="str">
        <f>IF(ISBLANK(A308),"",LEFT(B310,27)&amp;VALUE(RIGHT(B310,1)+1))</f>
        <v>JKS240702PROREP_25C_sample_4</v>
      </c>
      <c r="C311" s="6" t="str">
        <f t="shared" ref="C311:D311" si="362">C310</f>
        <v>Protea repens</v>
      </c>
      <c r="D311" s="6" t="str">
        <f t="shared" si="362"/>
        <v>25C</v>
      </c>
      <c r="E311" s="10">
        <f>IF(ISBLANK(A308),"",E310+1)</f>
        <v>4</v>
      </c>
      <c r="F311" s="11">
        <f t="shared" si="361"/>
        <v>45478.50347</v>
      </c>
      <c r="G311" s="8">
        <v>2.33</v>
      </c>
    </row>
    <row r="312">
      <c r="A312" s="9" t="str">
        <f t="shared" si="359"/>
        <v>PROREP (S)</v>
      </c>
      <c r="B312" s="9" t="str">
        <f>IF(ISBLANK(A308),"",LEFT(B311,27)&amp;VALUE(RIGHT(B311,1)+1))</f>
        <v>JKS240702PROREP_25C_sample_5</v>
      </c>
      <c r="C312" s="6" t="str">
        <f t="shared" ref="C312:D312" si="363">C311</f>
        <v>Protea repens</v>
      </c>
      <c r="D312" s="6" t="str">
        <f t="shared" si="363"/>
        <v>25C</v>
      </c>
      <c r="E312" s="10">
        <f>IF(ISBLANK(A308),"",E311+1)</f>
        <v>5</v>
      </c>
      <c r="F312" s="11">
        <f t="shared" si="361"/>
        <v>45478.50347</v>
      </c>
      <c r="G312" s="8">
        <v>9.27</v>
      </c>
    </row>
    <row r="313">
      <c r="A313" s="12" t="str">
        <f t="shared" si="359"/>
        <v>PROREP (S)</v>
      </c>
      <c r="B313" s="12" t="str">
        <f>IF(ISBLANK(A308),"",LEFT(B312,27)&amp;VALUE(RIGHT(B312,1)+1))</f>
        <v>JKS240702PROREP_25C_sample_6</v>
      </c>
      <c r="C313" s="13" t="str">
        <f t="shared" ref="C313:D313" si="364">C312</f>
        <v>Protea repens</v>
      </c>
      <c r="D313" s="13" t="str">
        <f t="shared" si="364"/>
        <v>25C</v>
      </c>
      <c r="E313" s="14">
        <f>IF(ISBLANK(A308),"",E312+1)</f>
        <v>6</v>
      </c>
      <c r="F313" s="15">
        <f t="shared" si="361"/>
        <v>45478.50347</v>
      </c>
      <c r="G313" s="16">
        <v>4.39</v>
      </c>
    </row>
    <row r="314">
      <c r="A314" s="5" t="s">
        <v>10</v>
      </c>
      <c r="B314" s="6" t="str">
        <f t="array" ref="B314">IF(ISBLANK(A314),"",IF(A314="PROREP (L)",VLOOKUP(LEFT($A314,6),'Data Feed (25C)'!$A$1:$G$10,2,FALSE),IF(A314="PROREP (S)", INDEX('Data Feed (25C)'!B:B, MATCH(LEFT($A314,6), 'Data Feed (25C)'!$A$1:$A$10, 0) + 1), VLOOKUP($A314,'Data Feed (25C)'!$A$1:$G$10,2,FALSE))))</f>
        <v>JKS240702CANCON_25C_sample_1</v>
      </c>
      <c r="C314" s="6" t="str">
        <f t="array" ref="C314">IF(ISBLANK(A314),"",IF(A314="PROREP (L)",VLOOKUP(LEFT($A314,6),'Data Feed (25C)'!$A$1:$G$10,3,FALSE),IF(A314="PROREP (S)", INDEX('Data Feed (25C)'!C:C, MATCH(LEFT($A314,6), 'Data Feed (25C)'!$A$1:$A$10, 0) + 1, +1), VLOOKUP($A314,'Data Feed (25C)'!$A$1:$G$10,3,FALSE))))</f>
        <v>Cannomois congesta</v>
      </c>
      <c r="D314" s="6" t="str">
        <f t="array" ref="D314">IF(ISBLANK(A314),"",IF(A314="PROREP (L)",VLOOKUP(LEFT($A314,6),'Data Feed (25C)'!$A$1:$G$10,4,FALSE),IF(A314="PROREP (S)", INDEX('Data Feed (25C)'!D:D, MATCH(LEFT($A314,6), 'Data Feed (25C)'!$A$1:$A$10, 0) + 1, +1), VLOOKUP($A314,'Data Feed (25C)'!$A$1:$G$10,4,FALSE))))</f>
        <v>25C</v>
      </c>
      <c r="E314" s="6">
        <f t="array" ref="E314">IF(ISBLANK(A314),"",IF(A314="PROREP (L)",VLOOKUP(LEFT($A314,6),'Data Feed (25C)'!$A$1:$G$10,7,FALSE),IF(A314="PROREP (S)", INDEX('Data Feed (25C)'!G:G, MATCH(LEFT($A314,6), 'Data Feed (25C)'!$A$1:$A$10, 0) + 1, +1), VLOOKUP($A314,'Data Feed (25C)'!$A$1:$G$10,7,FALSE))))</f>
        <v>1</v>
      </c>
      <c r="F314" s="7">
        <v>45478.50486111111</v>
      </c>
      <c r="G314" s="8">
        <v>0.65</v>
      </c>
    </row>
    <row r="315">
      <c r="A315" s="9" t="str">
        <f t="shared" ref="A315:A319" si="366">A314</f>
        <v>CANCON</v>
      </c>
      <c r="B315" s="9" t="str">
        <f>IF(ISBLANK(A314),"",LEFT(B314,27)&amp;VALUE(RIGHT(B314,1)+1))</f>
        <v>JKS240702CANCON_25C_sample_2</v>
      </c>
      <c r="C315" s="6" t="str">
        <f t="shared" ref="C315:D315" si="365">C314</f>
        <v>Cannomois congesta</v>
      </c>
      <c r="D315" s="6" t="str">
        <f t="shared" si="365"/>
        <v>25C</v>
      </c>
      <c r="E315" s="10">
        <f>IF(ISBLANK(A314),"",E314+1)</f>
        <v>2</v>
      </c>
      <c r="F315" s="11">
        <f t="shared" ref="F315:F319" si="368">F314</f>
        <v>45478.50486</v>
      </c>
      <c r="G315" s="8">
        <v>1.07</v>
      </c>
    </row>
    <row r="316">
      <c r="A316" s="9" t="str">
        <f t="shared" si="366"/>
        <v>CANCON</v>
      </c>
      <c r="B316" s="9" t="str">
        <f>IF(ISBLANK(A314),"",LEFT(B315,27)&amp;VALUE(RIGHT(B315,1)+1))</f>
        <v>JKS240702CANCON_25C_sample_3</v>
      </c>
      <c r="C316" s="6" t="str">
        <f t="shared" ref="C316:D316" si="367">C315</f>
        <v>Cannomois congesta</v>
      </c>
      <c r="D316" s="6" t="str">
        <f t="shared" si="367"/>
        <v>25C</v>
      </c>
      <c r="E316" s="10">
        <f>IF(ISBLANK(A314),"",E315+1)</f>
        <v>3</v>
      </c>
      <c r="F316" s="11">
        <f t="shared" si="368"/>
        <v>45478.50486</v>
      </c>
      <c r="G316" s="8">
        <v>1.83</v>
      </c>
    </row>
    <row r="317">
      <c r="A317" s="9" t="str">
        <f t="shared" si="366"/>
        <v>CANCON</v>
      </c>
      <c r="B317" s="9" t="str">
        <f>IF(ISBLANK(A314),"",LEFT(B316,27)&amp;VALUE(RIGHT(B316,1)+1))</f>
        <v>JKS240702CANCON_25C_sample_4</v>
      </c>
      <c r="C317" s="6" t="str">
        <f t="shared" ref="C317:D317" si="369">C316</f>
        <v>Cannomois congesta</v>
      </c>
      <c r="D317" s="6" t="str">
        <f t="shared" si="369"/>
        <v>25C</v>
      </c>
      <c r="E317" s="10">
        <f>IF(ISBLANK(A314),"",E316+1)</f>
        <v>4</v>
      </c>
      <c r="F317" s="11">
        <f t="shared" si="368"/>
        <v>45478.50486</v>
      </c>
      <c r="G317" s="8">
        <v>0.94</v>
      </c>
    </row>
    <row r="318">
      <c r="A318" s="9" t="str">
        <f t="shared" si="366"/>
        <v>CANCON</v>
      </c>
      <c r="B318" s="9" t="str">
        <f>IF(ISBLANK(A314),"",LEFT(B317,27)&amp;VALUE(RIGHT(B317,1)+1))</f>
        <v>JKS240702CANCON_25C_sample_5</v>
      </c>
      <c r="C318" s="6" t="str">
        <f t="shared" ref="C318:D318" si="370">C317</f>
        <v>Cannomois congesta</v>
      </c>
      <c r="D318" s="6" t="str">
        <f t="shared" si="370"/>
        <v>25C</v>
      </c>
      <c r="E318" s="10">
        <f>IF(ISBLANK(A314),"",E317+1)</f>
        <v>5</v>
      </c>
      <c r="F318" s="11">
        <f t="shared" si="368"/>
        <v>45478.50486</v>
      </c>
      <c r="G318" s="8">
        <v>2.61</v>
      </c>
    </row>
    <row r="319">
      <c r="A319" s="12" t="str">
        <f t="shared" si="366"/>
        <v>CANCON</v>
      </c>
      <c r="B319" s="12" t="str">
        <f>IF(ISBLANK(A314),"",LEFT(B318,27)&amp;VALUE(RIGHT(B318,1)+1))</f>
        <v>JKS240702CANCON_25C_sample_6</v>
      </c>
      <c r="C319" s="13" t="str">
        <f t="shared" ref="C319:D319" si="371">C318</f>
        <v>Cannomois congesta</v>
      </c>
      <c r="D319" s="13" t="str">
        <f t="shared" si="371"/>
        <v>25C</v>
      </c>
      <c r="E319" s="14">
        <f>IF(ISBLANK(A314),"",E318+1)</f>
        <v>6</v>
      </c>
      <c r="F319" s="15">
        <f t="shared" si="368"/>
        <v>45478.50486</v>
      </c>
      <c r="G319" s="16">
        <v>2.25</v>
      </c>
    </row>
    <row r="320">
      <c r="A320" s="5" t="s">
        <v>7</v>
      </c>
      <c r="B320" s="6" t="str">
        <f t="array" ref="B320">IF(ISBLANK(A320),"",IF(A320="PROREP (L)",VLOOKUP(LEFT($A320,6),'Data Feed (25C)'!$A$1:$G$10,2,FALSE),IF(A320="PROREP (S)", INDEX('Data Feed (25C)'!B:B, MATCH(LEFT($A320,6), 'Data Feed (25C)'!$A$1:$A$10, 0) + 1), VLOOKUP($A320,'Data Feed (25C)'!$A$1:$G$10,2,FALSE))))</f>
        <v>JKS240702ERIMON_25C_sample_1</v>
      </c>
      <c r="C320" s="6" t="str">
        <f t="array" ref="C320">IF(ISBLANK(A320),"",IF(A320="PROREP (L)",VLOOKUP(LEFT($A320,6),'Data Feed (25C)'!$A$1:$G$10,3,FALSE),IF(A320="PROREP (S)", INDEX('Data Feed (25C)'!C:C, MATCH(LEFT($A320,6), 'Data Feed (25C)'!$A$1:$A$10, 0) + 1, +1), VLOOKUP($A320,'Data Feed (25C)'!$A$1:$G$10,3,FALSE))))</f>
        <v>Erica monsoniana</v>
      </c>
      <c r="D320" s="6" t="str">
        <f t="array" ref="D320">IF(ISBLANK(A320),"",IF(A320="PROREP (L)",VLOOKUP(LEFT($A320,6),'Data Feed (25C)'!$A$1:$G$10,4,FALSE),IF(A320="PROREP (S)", INDEX('Data Feed (25C)'!D:D, MATCH(LEFT($A320,6), 'Data Feed (25C)'!$A$1:$A$10, 0) + 1, +1), VLOOKUP($A320,'Data Feed (25C)'!$A$1:$G$10,4,FALSE))))</f>
        <v>25C</v>
      </c>
      <c r="E320" s="6">
        <f t="array" ref="E320">IF(ISBLANK(A320),"",IF(A320="PROREP (L)",VLOOKUP(LEFT($A320,6),'Data Feed (25C)'!$A$1:$G$10,7,FALSE),IF(A320="PROREP (S)", INDEX('Data Feed (25C)'!G:G, MATCH(LEFT($A320,6), 'Data Feed (25C)'!$A$1:$A$10, 0) + 1, +1), VLOOKUP($A320,'Data Feed (25C)'!$A$1:$G$10,7,FALSE))))</f>
        <v>1</v>
      </c>
      <c r="F320" s="7">
        <v>45478.6125</v>
      </c>
      <c r="G320" s="8">
        <v>0.52</v>
      </c>
    </row>
    <row r="321">
      <c r="A321" s="9" t="str">
        <f t="shared" ref="A321:A325" si="373">A320</f>
        <v>ERIMON</v>
      </c>
      <c r="B321" s="9" t="str">
        <f>IF(ISBLANK(A320),"",LEFT(B320,27)&amp;VALUE(RIGHT(B320,1)+1))</f>
        <v>JKS240702ERIMON_25C_sample_2</v>
      </c>
      <c r="C321" s="6" t="str">
        <f t="shared" ref="C321:D321" si="372">C320</f>
        <v>Erica monsoniana</v>
      </c>
      <c r="D321" s="6" t="str">
        <f t="shared" si="372"/>
        <v>25C</v>
      </c>
      <c r="E321" s="10">
        <f>IF(ISBLANK(A320),"",E320+1)</f>
        <v>2</v>
      </c>
      <c r="F321" s="11">
        <f t="shared" ref="F321:F325" si="375">F320</f>
        <v>45478.6125</v>
      </c>
      <c r="G321" s="8">
        <v>2.17</v>
      </c>
    </row>
    <row r="322">
      <c r="A322" s="9" t="str">
        <f t="shared" si="373"/>
        <v>ERIMON</v>
      </c>
      <c r="B322" s="9" t="str">
        <f>IF(ISBLANK(A320),"",LEFT(B321,27)&amp;VALUE(RIGHT(B321,1)+1))</f>
        <v>JKS240702ERIMON_25C_sample_3</v>
      </c>
      <c r="C322" s="6" t="str">
        <f t="shared" ref="C322:D322" si="374">C321</f>
        <v>Erica monsoniana</v>
      </c>
      <c r="D322" s="6" t="str">
        <f t="shared" si="374"/>
        <v>25C</v>
      </c>
      <c r="E322" s="10">
        <f>IF(ISBLANK(A320),"",E321+1)</f>
        <v>3</v>
      </c>
      <c r="F322" s="11">
        <f t="shared" si="375"/>
        <v>45478.6125</v>
      </c>
      <c r="G322" s="8">
        <v>0.84</v>
      </c>
    </row>
    <row r="323">
      <c r="A323" s="9" t="str">
        <f t="shared" si="373"/>
        <v>ERIMON</v>
      </c>
      <c r="B323" s="9" t="str">
        <f>IF(ISBLANK(A320),"",LEFT(B322,27)&amp;VALUE(RIGHT(B322,1)+1))</f>
        <v>JKS240702ERIMON_25C_sample_4</v>
      </c>
      <c r="C323" s="6" t="str">
        <f t="shared" ref="C323:D323" si="376">C322</f>
        <v>Erica monsoniana</v>
      </c>
      <c r="D323" s="6" t="str">
        <f t="shared" si="376"/>
        <v>25C</v>
      </c>
      <c r="E323" s="10">
        <f>IF(ISBLANK(A320),"",E322+1)</f>
        <v>4</v>
      </c>
      <c r="F323" s="11">
        <f t="shared" si="375"/>
        <v>45478.6125</v>
      </c>
      <c r="G323" s="8">
        <v>1.57</v>
      </c>
    </row>
    <row r="324">
      <c r="A324" s="9" t="str">
        <f t="shared" si="373"/>
        <v>ERIMON</v>
      </c>
      <c r="B324" s="9" t="str">
        <f>IF(ISBLANK(A320),"",LEFT(B323,27)&amp;VALUE(RIGHT(B323,1)+1))</f>
        <v>JKS240702ERIMON_25C_sample_5</v>
      </c>
      <c r="C324" s="6" t="str">
        <f t="shared" ref="C324:D324" si="377">C323</f>
        <v>Erica monsoniana</v>
      </c>
      <c r="D324" s="6" t="str">
        <f t="shared" si="377"/>
        <v>25C</v>
      </c>
      <c r="E324" s="10">
        <f>IF(ISBLANK(A320),"",E323+1)</f>
        <v>5</v>
      </c>
      <c r="F324" s="11">
        <f t="shared" si="375"/>
        <v>45478.6125</v>
      </c>
      <c r="G324" s="8">
        <v>1.17</v>
      </c>
    </row>
    <row r="325">
      <c r="A325" s="12" t="str">
        <f t="shared" si="373"/>
        <v>ERIMON</v>
      </c>
      <c r="B325" s="12" t="str">
        <f>IF(ISBLANK(A320),"",LEFT(B324,27)&amp;VALUE(RIGHT(B324,1)+1))</f>
        <v>JKS240702ERIMON_25C_sample_6</v>
      </c>
      <c r="C325" s="13" t="str">
        <f t="shared" ref="C325:D325" si="378">C324</f>
        <v>Erica monsoniana</v>
      </c>
      <c r="D325" s="13" t="str">
        <f t="shared" si="378"/>
        <v>25C</v>
      </c>
      <c r="E325" s="14">
        <f>IF(ISBLANK(A320),"",E324+1)</f>
        <v>6</v>
      </c>
      <c r="F325" s="15">
        <f t="shared" si="375"/>
        <v>45478.6125</v>
      </c>
      <c r="G325" s="16">
        <v>3.35</v>
      </c>
    </row>
    <row r="326">
      <c r="A326" s="5" t="s">
        <v>8</v>
      </c>
      <c r="B326" s="6" t="str">
        <f t="array" ref="B326">IF(ISBLANK(A326),"",IF(A326="PROREP (L)",VLOOKUP(LEFT($A326,6),'Data Feed (25C)'!$A$1:$G$10,2,FALSE),IF(A326="PROREP (S)", INDEX('Data Feed (25C)'!B:B, MATCH(LEFT($A326,6), 'Data Feed (25C)'!$A$1:$A$10, 0) + 1), VLOOKUP($A326,'Data Feed (25C)'!$A$1:$G$10,2,FALSE))))</f>
        <v>JKL240702PROREP_25C_sample_1</v>
      </c>
      <c r="C326" s="6" t="str">
        <f t="array" ref="C326">IF(ISBLANK(A326),"",IF(A326="PROREP (L)",VLOOKUP(LEFT($A326,6),'Data Feed (25C)'!$A$1:$G$10,3,FALSE),IF(A326="PROREP (S)", INDEX('Data Feed (25C)'!C:C, MATCH(LEFT($A326,6), 'Data Feed (25C)'!$A$1:$A$10, 0) + 1, +1), VLOOKUP($A326,'Data Feed (25C)'!$A$1:$G$10,3,FALSE))))</f>
        <v>Protea repens</v>
      </c>
      <c r="D326" s="6" t="str">
        <f t="array" ref="D326">IF(ISBLANK(A326),"",IF(A326="PROREP (L)",VLOOKUP(LEFT($A326,6),'Data Feed (25C)'!$A$1:$G$10,4,FALSE),IF(A326="PROREP (S)", INDEX('Data Feed (25C)'!D:D, MATCH(LEFT($A326,6), 'Data Feed (25C)'!$A$1:$A$10, 0) + 1, +1), VLOOKUP($A326,'Data Feed (25C)'!$A$1:$G$10,4,FALSE))))</f>
        <v>25C</v>
      </c>
      <c r="E326" s="6">
        <f t="array" ref="E326">IF(ISBLANK(A326),"",IF(A326="PROREP (L)",VLOOKUP(LEFT($A326,6),'Data Feed (25C)'!$A$1:$G$10,7,FALSE),IF(A326="PROREP (S)", INDEX('Data Feed (25C)'!G:G, MATCH(LEFT($A326,6), 'Data Feed (25C)'!$A$1:$A$10, 0) + 1, +1), VLOOKUP($A326,'Data Feed (25C)'!$A$1:$G$10,7,FALSE))))</f>
        <v>1</v>
      </c>
      <c r="F326" s="7">
        <v>45478.61388888889</v>
      </c>
      <c r="G326" s="8">
        <v>0.34</v>
      </c>
    </row>
    <row r="327">
      <c r="A327" s="9" t="str">
        <f t="shared" ref="A327:A331" si="380">A326</f>
        <v>PROREP (L)</v>
      </c>
      <c r="B327" s="9" t="str">
        <f>IF(ISBLANK(A326),"",LEFT(B326,27)&amp;VALUE(RIGHT(B326,1)+1))</f>
        <v>JKL240702PROREP_25C_sample_2</v>
      </c>
      <c r="C327" s="6" t="str">
        <f t="shared" ref="C327:D327" si="379">C326</f>
        <v>Protea repens</v>
      </c>
      <c r="D327" s="6" t="str">
        <f t="shared" si="379"/>
        <v>25C</v>
      </c>
      <c r="E327" s="10">
        <f>IF(ISBLANK(A326),"",E326+1)</f>
        <v>2</v>
      </c>
      <c r="F327" s="11">
        <f t="shared" ref="F327:F331" si="382">F326</f>
        <v>45478.61389</v>
      </c>
      <c r="G327" s="8">
        <v>0.48</v>
      </c>
    </row>
    <row r="328">
      <c r="A328" s="9" t="str">
        <f t="shared" si="380"/>
        <v>PROREP (L)</v>
      </c>
      <c r="B328" s="9" t="str">
        <f>IF(ISBLANK(A326),"",LEFT(B327,27)&amp;VALUE(RIGHT(B327,1)+1))</f>
        <v>JKL240702PROREP_25C_sample_3</v>
      </c>
      <c r="C328" s="6" t="str">
        <f t="shared" ref="C328:D328" si="381">C327</f>
        <v>Protea repens</v>
      </c>
      <c r="D328" s="6" t="str">
        <f t="shared" si="381"/>
        <v>25C</v>
      </c>
      <c r="E328" s="10">
        <f>IF(ISBLANK(A326),"",E327+1)</f>
        <v>3</v>
      </c>
      <c r="F328" s="11">
        <f t="shared" si="382"/>
        <v>45478.61389</v>
      </c>
      <c r="G328" s="8">
        <v>0.46</v>
      </c>
    </row>
    <row r="329">
      <c r="A329" s="9" t="str">
        <f t="shared" si="380"/>
        <v>PROREP (L)</v>
      </c>
      <c r="B329" s="9" t="str">
        <f>IF(ISBLANK(A326),"",LEFT(B328,27)&amp;VALUE(RIGHT(B328,1)+1))</f>
        <v>JKL240702PROREP_25C_sample_4</v>
      </c>
      <c r="C329" s="6" t="str">
        <f t="shared" ref="C329:D329" si="383">C328</f>
        <v>Protea repens</v>
      </c>
      <c r="D329" s="6" t="str">
        <f t="shared" si="383"/>
        <v>25C</v>
      </c>
      <c r="E329" s="10">
        <f>IF(ISBLANK(A326),"",E328+1)</f>
        <v>4</v>
      </c>
      <c r="F329" s="11">
        <f t="shared" si="382"/>
        <v>45478.61389</v>
      </c>
      <c r="G329" s="8">
        <v>0.45</v>
      </c>
    </row>
    <row r="330">
      <c r="A330" s="9" t="str">
        <f t="shared" si="380"/>
        <v>PROREP (L)</v>
      </c>
      <c r="B330" s="9" t="str">
        <f>IF(ISBLANK(A326),"",LEFT(B329,27)&amp;VALUE(RIGHT(B329,1)+1))</f>
        <v>JKL240702PROREP_25C_sample_5</v>
      </c>
      <c r="C330" s="6" t="str">
        <f t="shared" ref="C330:D330" si="384">C329</f>
        <v>Protea repens</v>
      </c>
      <c r="D330" s="6" t="str">
        <f t="shared" si="384"/>
        <v>25C</v>
      </c>
      <c r="E330" s="10">
        <f>IF(ISBLANK(A326),"",E329+1)</f>
        <v>5</v>
      </c>
      <c r="F330" s="11">
        <f t="shared" si="382"/>
        <v>45478.61389</v>
      </c>
      <c r="G330" s="8">
        <v>0.44</v>
      </c>
    </row>
    <row r="331">
      <c r="A331" s="12" t="str">
        <f t="shared" si="380"/>
        <v>PROREP (L)</v>
      </c>
      <c r="B331" s="12" t="str">
        <f>IF(ISBLANK(A326),"",LEFT(B330,27)&amp;VALUE(RIGHT(B330,1)+1))</f>
        <v>JKL240702PROREP_25C_sample_6</v>
      </c>
      <c r="C331" s="13" t="str">
        <f t="shared" ref="C331:D331" si="385">C330</f>
        <v>Protea repens</v>
      </c>
      <c r="D331" s="13" t="str">
        <f t="shared" si="385"/>
        <v>25C</v>
      </c>
      <c r="E331" s="14">
        <f>IF(ISBLANK(A326),"",E330+1)</f>
        <v>6</v>
      </c>
      <c r="F331" s="15">
        <f t="shared" si="382"/>
        <v>45478.61389</v>
      </c>
      <c r="G331" s="16">
        <v>0.48</v>
      </c>
    </row>
    <row r="332">
      <c r="A332" s="5" t="s">
        <v>9</v>
      </c>
      <c r="B332" s="6" t="str">
        <f t="array" ref="B332">IF(ISBLANK(A332),"",IF(A332="PROREP (L)",VLOOKUP(LEFT($A332,6),'Data Feed (25C)'!$A$1:$G$10,2,FALSE),IF(A332="PROREP (S)", INDEX('Data Feed (25C)'!B:B, MATCH(LEFT($A332,6), 'Data Feed (25C)'!$A$1:$A$10, 0) + 1), VLOOKUP($A332,'Data Feed (25C)'!$A$1:$G$10,2,FALSE))))</f>
        <v>JKS240702PROREP_25C_sample_1</v>
      </c>
      <c r="C332" s="6" t="str">
        <f t="array" ref="C332">IF(ISBLANK(A332),"",IF(A332="PROREP (L)",VLOOKUP(LEFT($A332,6),'Data Feed (25C)'!$A$1:$G$10,3,FALSE),IF(A332="PROREP (S)", INDEX('Data Feed (25C)'!C:C, MATCH(LEFT($A332,6), 'Data Feed (25C)'!$A$1:$A$10, 0) + 1, +1), VLOOKUP($A332,'Data Feed (25C)'!$A$1:$G$10,3,FALSE))))</f>
        <v>Protea repens</v>
      </c>
      <c r="D332" s="6" t="str">
        <f t="array" ref="D332">IF(ISBLANK(A332),"",IF(A332="PROREP (L)",VLOOKUP(LEFT($A332,6),'Data Feed (25C)'!$A$1:$G$10,4,FALSE),IF(A332="PROREP (S)", INDEX('Data Feed (25C)'!D:D, MATCH(LEFT($A332,6), 'Data Feed (25C)'!$A$1:$A$10, 0) + 1, +1), VLOOKUP($A332,'Data Feed (25C)'!$A$1:$G$10,4,FALSE))))</f>
        <v>25C</v>
      </c>
      <c r="E332" s="6">
        <f t="array" ref="E332">IF(ISBLANK(A332),"",IF(A332="PROREP (L)",VLOOKUP(LEFT($A332,6),'Data Feed (25C)'!$A$1:$G$10,7,FALSE),IF(A332="PROREP (S)", INDEX('Data Feed (25C)'!G:G, MATCH(LEFT($A332,6), 'Data Feed (25C)'!$A$1:$A$10, 0) + 1, +1), VLOOKUP($A332,'Data Feed (25C)'!$A$1:$G$10,7,FALSE))))</f>
        <v>1</v>
      </c>
      <c r="F332" s="7">
        <v>45478.614583333336</v>
      </c>
      <c r="G332" s="8">
        <v>11.16</v>
      </c>
    </row>
    <row r="333">
      <c r="A333" s="9" t="str">
        <f t="shared" ref="A333:A337" si="387">A332</f>
        <v>PROREP (S)</v>
      </c>
      <c r="B333" s="9" t="str">
        <f>IF(ISBLANK(A332),"",LEFT(B332,27)&amp;VALUE(RIGHT(B332,1)+1))</f>
        <v>JKS240702PROREP_25C_sample_2</v>
      </c>
      <c r="C333" s="6" t="str">
        <f t="shared" ref="C333:D333" si="386">C332</f>
        <v>Protea repens</v>
      </c>
      <c r="D333" s="6" t="str">
        <f t="shared" si="386"/>
        <v>25C</v>
      </c>
      <c r="E333" s="10">
        <f>IF(ISBLANK(A332),"",E332+1)</f>
        <v>2</v>
      </c>
      <c r="F333" s="11">
        <f t="shared" ref="F333:F337" si="389">F332</f>
        <v>45478.61458</v>
      </c>
      <c r="G333" s="8">
        <v>9.25</v>
      </c>
    </row>
    <row r="334">
      <c r="A334" s="9" t="str">
        <f t="shared" si="387"/>
        <v>PROREP (S)</v>
      </c>
      <c r="B334" s="9" t="str">
        <f>IF(ISBLANK(A332),"",LEFT(B333,27)&amp;VALUE(RIGHT(B333,1)+1))</f>
        <v>JKS240702PROREP_25C_sample_3</v>
      </c>
      <c r="C334" s="6" t="str">
        <f t="shared" ref="C334:D334" si="388">C333</f>
        <v>Protea repens</v>
      </c>
      <c r="D334" s="6" t="str">
        <f t="shared" si="388"/>
        <v>25C</v>
      </c>
      <c r="E334" s="10">
        <f>IF(ISBLANK(A332),"",E333+1)</f>
        <v>3</v>
      </c>
      <c r="F334" s="11">
        <f t="shared" si="389"/>
        <v>45478.61458</v>
      </c>
      <c r="G334" s="8">
        <v>6.07</v>
      </c>
    </row>
    <row r="335">
      <c r="A335" s="9" t="str">
        <f t="shared" si="387"/>
        <v>PROREP (S)</v>
      </c>
      <c r="B335" s="9" t="str">
        <f>IF(ISBLANK(A332),"",LEFT(B334,27)&amp;VALUE(RIGHT(B334,1)+1))</f>
        <v>JKS240702PROREP_25C_sample_4</v>
      </c>
      <c r="C335" s="6" t="str">
        <f t="shared" ref="C335:D335" si="390">C334</f>
        <v>Protea repens</v>
      </c>
      <c r="D335" s="6" t="str">
        <f t="shared" si="390"/>
        <v>25C</v>
      </c>
      <c r="E335" s="10">
        <f>IF(ISBLANK(A332),"",E334+1)</f>
        <v>4</v>
      </c>
      <c r="F335" s="11">
        <f t="shared" si="389"/>
        <v>45478.61458</v>
      </c>
      <c r="G335" s="8">
        <v>2.3</v>
      </c>
    </row>
    <row r="336">
      <c r="A336" s="9" t="str">
        <f t="shared" si="387"/>
        <v>PROREP (S)</v>
      </c>
      <c r="B336" s="9" t="str">
        <f>IF(ISBLANK(A332),"",LEFT(B335,27)&amp;VALUE(RIGHT(B335,1)+1))</f>
        <v>JKS240702PROREP_25C_sample_5</v>
      </c>
      <c r="C336" s="6" t="str">
        <f t="shared" ref="C336:D336" si="391">C335</f>
        <v>Protea repens</v>
      </c>
      <c r="D336" s="6" t="str">
        <f t="shared" si="391"/>
        <v>25C</v>
      </c>
      <c r="E336" s="10">
        <f>IF(ISBLANK(A332),"",E335+1)</f>
        <v>5</v>
      </c>
      <c r="F336" s="11">
        <f t="shared" si="389"/>
        <v>45478.61458</v>
      </c>
      <c r="G336" s="8">
        <v>9.12</v>
      </c>
    </row>
    <row r="337">
      <c r="A337" s="12" t="str">
        <f t="shared" si="387"/>
        <v>PROREP (S)</v>
      </c>
      <c r="B337" s="12" t="str">
        <f>IF(ISBLANK(A332),"",LEFT(B336,27)&amp;VALUE(RIGHT(B336,1)+1))</f>
        <v>JKS240702PROREP_25C_sample_6</v>
      </c>
      <c r="C337" s="13" t="str">
        <f t="shared" ref="C337:D337" si="392">C336</f>
        <v>Protea repens</v>
      </c>
      <c r="D337" s="13" t="str">
        <f t="shared" si="392"/>
        <v>25C</v>
      </c>
      <c r="E337" s="14">
        <f>IF(ISBLANK(A332),"",E336+1)</f>
        <v>6</v>
      </c>
      <c r="F337" s="15">
        <f t="shared" si="389"/>
        <v>45478.61458</v>
      </c>
      <c r="G337" s="16">
        <v>4.33</v>
      </c>
    </row>
    <row r="338">
      <c r="A338" s="5" t="s">
        <v>10</v>
      </c>
      <c r="B338" s="6" t="str">
        <f t="array" ref="B338">IF(ISBLANK(A338),"",IF(A338="PROREP (L)",VLOOKUP(LEFT($A338,6),'Data Feed (25C)'!$A$1:$G$10,2,FALSE),IF(A338="PROREP (S)", INDEX('Data Feed (25C)'!B:B, MATCH(LEFT($A338,6), 'Data Feed (25C)'!$A$1:$A$10, 0) + 1), VLOOKUP($A338,'Data Feed (25C)'!$A$1:$G$10,2,FALSE))))</f>
        <v>JKS240702CANCON_25C_sample_1</v>
      </c>
      <c r="C338" s="6" t="str">
        <f t="array" ref="C338">IF(ISBLANK(A338),"",IF(A338="PROREP (L)",VLOOKUP(LEFT($A338,6),'Data Feed (25C)'!$A$1:$G$10,3,FALSE),IF(A338="PROREP (S)", INDEX('Data Feed (25C)'!C:C, MATCH(LEFT($A338,6), 'Data Feed (25C)'!$A$1:$A$10, 0) + 1, +1), VLOOKUP($A338,'Data Feed (25C)'!$A$1:$G$10,3,FALSE))))</f>
        <v>Cannomois congesta</v>
      </c>
      <c r="D338" s="6" t="str">
        <f t="array" ref="D338">IF(ISBLANK(A338),"",IF(A338="PROREP (L)",VLOOKUP(LEFT($A338,6),'Data Feed (25C)'!$A$1:$G$10,4,FALSE),IF(A338="PROREP (S)", INDEX('Data Feed (25C)'!D:D, MATCH(LEFT($A338,6), 'Data Feed (25C)'!$A$1:$A$10, 0) + 1, +1), VLOOKUP($A338,'Data Feed (25C)'!$A$1:$G$10,4,FALSE))))</f>
        <v>25C</v>
      </c>
      <c r="E338" s="6">
        <f t="array" ref="E338">IF(ISBLANK(A338),"",IF(A338="PROREP (L)",VLOOKUP(LEFT($A338,6),'Data Feed (25C)'!$A$1:$G$10,7,FALSE),IF(A338="PROREP (S)", INDEX('Data Feed (25C)'!G:G, MATCH(LEFT($A338,6), 'Data Feed (25C)'!$A$1:$A$10, 0) + 1, +1), VLOOKUP($A338,'Data Feed (25C)'!$A$1:$G$10,7,FALSE))))</f>
        <v>1</v>
      </c>
      <c r="F338" s="7">
        <v>45478.615277777775</v>
      </c>
      <c r="G338" s="8">
        <v>0.67</v>
      </c>
    </row>
    <row r="339">
      <c r="A339" s="9" t="str">
        <f t="shared" ref="A339:A343" si="394">A338</f>
        <v>CANCON</v>
      </c>
      <c r="B339" s="9" t="str">
        <f>IF(ISBLANK(A338),"",LEFT(B338,27)&amp;VALUE(RIGHT(B338,1)+1))</f>
        <v>JKS240702CANCON_25C_sample_2</v>
      </c>
      <c r="C339" s="6" t="str">
        <f t="shared" ref="C339:D339" si="393">C338</f>
        <v>Cannomois congesta</v>
      </c>
      <c r="D339" s="6" t="str">
        <f t="shared" si="393"/>
        <v>25C</v>
      </c>
      <c r="E339" s="10">
        <f>IF(ISBLANK(A338),"",E338+1)</f>
        <v>2</v>
      </c>
      <c r="F339" s="11">
        <f t="shared" ref="F339:F343" si="396">F338</f>
        <v>45478.61528</v>
      </c>
      <c r="G339" s="8">
        <v>1.05</v>
      </c>
    </row>
    <row r="340">
      <c r="A340" s="9" t="str">
        <f t="shared" si="394"/>
        <v>CANCON</v>
      </c>
      <c r="B340" s="9" t="str">
        <f>IF(ISBLANK(A338),"",LEFT(B339,27)&amp;VALUE(RIGHT(B339,1)+1))</f>
        <v>JKS240702CANCON_25C_sample_3</v>
      </c>
      <c r="C340" s="6" t="str">
        <f t="shared" ref="C340:D340" si="395">C339</f>
        <v>Cannomois congesta</v>
      </c>
      <c r="D340" s="6" t="str">
        <f t="shared" si="395"/>
        <v>25C</v>
      </c>
      <c r="E340" s="10">
        <f>IF(ISBLANK(A338),"",E339+1)</f>
        <v>3</v>
      </c>
      <c r="F340" s="11">
        <f t="shared" si="396"/>
        <v>45478.61528</v>
      </c>
      <c r="G340" s="8">
        <v>1.79</v>
      </c>
    </row>
    <row r="341">
      <c r="A341" s="9" t="str">
        <f t="shared" si="394"/>
        <v>CANCON</v>
      </c>
      <c r="B341" s="9" t="str">
        <f>IF(ISBLANK(A338),"",LEFT(B340,27)&amp;VALUE(RIGHT(B340,1)+1))</f>
        <v>JKS240702CANCON_25C_sample_4</v>
      </c>
      <c r="C341" s="6" t="str">
        <f t="shared" ref="C341:D341" si="397">C340</f>
        <v>Cannomois congesta</v>
      </c>
      <c r="D341" s="6" t="str">
        <f t="shared" si="397"/>
        <v>25C</v>
      </c>
      <c r="E341" s="10">
        <f>IF(ISBLANK(A338),"",E340+1)</f>
        <v>4</v>
      </c>
      <c r="F341" s="11">
        <f t="shared" si="396"/>
        <v>45478.61528</v>
      </c>
      <c r="G341" s="8">
        <v>0.95</v>
      </c>
    </row>
    <row r="342">
      <c r="A342" s="9" t="str">
        <f t="shared" si="394"/>
        <v>CANCON</v>
      </c>
      <c r="B342" s="9" t="str">
        <f>IF(ISBLANK(A338),"",LEFT(B341,27)&amp;VALUE(RIGHT(B341,1)+1))</f>
        <v>JKS240702CANCON_25C_sample_5</v>
      </c>
      <c r="C342" s="6" t="str">
        <f t="shared" ref="C342:D342" si="398">C341</f>
        <v>Cannomois congesta</v>
      </c>
      <c r="D342" s="6" t="str">
        <f t="shared" si="398"/>
        <v>25C</v>
      </c>
      <c r="E342" s="10">
        <f>IF(ISBLANK(A338),"",E341+1)</f>
        <v>5</v>
      </c>
      <c r="F342" s="11">
        <f t="shared" si="396"/>
        <v>45478.61528</v>
      </c>
      <c r="G342" s="8">
        <v>2.52</v>
      </c>
    </row>
    <row r="343">
      <c r="A343" s="12" t="str">
        <f t="shared" si="394"/>
        <v>CANCON</v>
      </c>
      <c r="B343" s="12" t="str">
        <f>IF(ISBLANK(A338),"",LEFT(B342,27)&amp;VALUE(RIGHT(B342,1)+1))</f>
        <v>JKS240702CANCON_25C_sample_6</v>
      </c>
      <c r="C343" s="13" t="str">
        <f t="shared" ref="C343:D343" si="399">C342</f>
        <v>Cannomois congesta</v>
      </c>
      <c r="D343" s="13" t="str">
        <f t="shared" si="399"/>
        <v>25C</v>
      </c>
      <c r="E343" s="14">
        <f>IF(ISBLANK(A338),"",E342+1)</f>
        <v>6</v>
      </c>
      <c r="F343" s="15">
        <f t="shared" si="396"/>
        <v>45478.61528</v>
      </c>
      <c r="G343" s="16">
        <v>2.2</v>
      </c>
    </row>
    <row r="344">
      <c r="A344" s="5" t="s">
        <v>7</v>
      </c>
      <c r="B344" s="6" t="str">
        <f t="array" ref="B344">IF(ISBLANK(A344),"",IF(A344="PROREP (L)",VLOOKUP(LEFT($A344,6),'Data Feed (25C)'!$A$1:$G$10,2,FALSE),IF(A344="PROREP (S)", INDEX('Data Feed (25C)'!B:B, MATCH(LEFT($A344,6), 'Data Feed (25C)'!$A$1:$A$10, 0) + 1), VLOOKUP($A344,'Data Feed (25C)'!$A$1:$G$10,2,FALSE))))</f>
        <v>JKS240702ERIMON_25C_sample_1</v>
      </c>
      <c r="C344" s="6" t="str">
        <f t="array" ref="C344">IF(ISBLANK(A344),"",IF(A344="PROREP (L)",VLOOKUP(LEFT($A344,6),'Data Feed (25C)'!$A$1:$G$10,3,FALSE),IF(A344="PROREP (S)", INDEX('Data Feed (25C)'!C:C, MATCH(LEFT($A344,6), 'Data Feed (25C)'!$A$1:$A$10, 0) + 1, +1), VLOOKUP($A344,'Data Feed (25C)'!$A$1:$G$10,3,FALSE))))</f>
        <v>Erica monsoniana</v>
      </c>
      <c r="D344" s="6" t="str">
        <f t="array" ref="D344">IF(ISBLANK(A344),"",IF(A344="PROREP (L)",VLOOKUP(LEFT($A344,6),'Data Feed (25C)'!$A$1:$G$10,4,FALSE),IF(A344="PROREP (S)", INDEX('Data Feed (25C)'!D:D, MATCH(LEFT($A344,6), 'Data Feed (25C)'!$A$1:$A$10, 0) + 1, +1), VLOOKUP($A344,'Data Feed (25C)'!$A$1:$G$10,4,FALSE))))</f>
        <v>25C</v>
      </c>
      <c r="E344" s="6">
        <f t="array" ref="E344">IF(ISBLANK(A344),"",IF(A344="PROREP (L)",VLOOKUP(LEFT($A344,6),'Data Feed (25C)'!$A$1:$G$10,7,FALSE),IF(A344="PROREP (S)", INDEX('Data Feed (25C)'!G:G, MATCH(LEFT($A344,6), 'Data Feed (25C)'!$A$1:$A$10, 0) + 1, +1), VLOOKUP($A344,'Data Feed (25C)'!$A$1:$G$10,7,FALSE))))</f>
        <v>1</v>
      </c>
      <c r="F344" s="7">
        <v>45478.71388888889</v>
      </c>
      <c r="G344" s="8">
        <v>0.49</v>
      </c>
    </row>
    <row r="345">
      <c r="A345" s="9" t="str">
        <f t="shared" ref="A345:A349" si="401">A344</f>
        <v>ERIMON</v>
      </c>
      <c r="B345" s="9" t="str">
        <f>IF(ISBLANK(A344),"",LEFT(B344,27)&amp;VALUE(RIGHT(B344,1)+1))</f>
        <v>JKS240702ERIMON_25C_sample_2</v>
      </c>
      <c r="C345" s="6" t="str">
        <f t="shared" ref="C345:D345" si="400">C344</f>
        <v>Erica monsoniana</v>
      </c>
      <c r="D345" s="6" t="str">
        <f t="shared" si="400"/>
        <v>25C</v>
      </c>
      <c r="E345" s="10">
        <f>IF(ISBLANK(A344),"",E344+1)</f>
        <v>2</v>
      </c>
      <c r="F345" s="11">
        <f t="shared" ref="F345:F349" si="403">F344</f>
        <v>45478.71389</v>
      </c>
      <c r="G345" s="8">
        <v>2.14</v>
      </c>
    </row>
    <row r="346">
      <c r="A346" s="9" t="str">
        <f t="shared" si="401"/>
        <v>ERIMON</v>
      </c>
      <c r="B346" s="9" t="str">
        <f>IF(ISBLANK(A344),"",LEFT(B345,27)&amp;VALUE(RIGHT(B345,1)+1))</f>
        <v>JKS240702ERIMON_25C_sample_3</v>
      </c>
      <c r="C346" s="6" t="str">
        <f t="shared" ref="C346:D346" si="402">C345</f>
        <v>Erica monsoniana</v>
      </c>
      <c r="D346" s="6" t="str">
        <f t="shared" si="402"/>
        <v>25C</v>
      </c>
      <c r="E346" s="10">
        <f>IF(ISBLANK(A344),"",E345+1)</f>
        <v>3</v>
      </c>
      <c r="F346" s="11">
        <f t="shared" si="403"/>
        <v>45478.71389</v>
      </c>
      <c r="G346" s="8">
        <v>0.85</v>
      </c>
    </row>
    <row r="347">
      <c r="A347" s="9" t="str">
        <f t="shared" si="401"/>
        <v>ERIMON</v>
      </c>
      <c r="B347" s="9" t="str">
        <f>IF(ISBLANK(A344),"",LEFT(B346,27)&amp;VALUE(RIGHT(B346,1)+1))</f>
        <v>JKS240702ERIMON_25C_sample_4</v>
      </c>
      <c r="C347" s="6" t="str">
        <f t="shared" ref="C347:D347" si="404">C346</f>
        <v>Erica monsoniana</v>
      </c>
      <c r="D347" s="6" t="str">
        <f t="shared" si="404"/>
        <v>25C</v>
      </c>
      <c r="E347" s="10">
        <f>IF(ISBLANK(A344),"",E346+1)</f>
        <v>4</v>
      </c>
      <c r="F347" s="11">
        <f t="shared" si="403"/>
        <v>45478.71389</v>
      </c>
      <c r="G347" s="8">
        <v>1.55</v>
      </c>
    </row>
    <row r="348">
      <c r="A348" s="9" t="str">
        <f t="shared" si="401"/>
        <v>ERIMON</v>
      </c>
      <c r="B348" s="9" t="str">
        <f>IF(ISBLANK(A344),"",LEFT(B347,27)&amp;VALUE(RIGHT(B347,1)+1))</f>
        <v>JKS240702ERIMON_25C_sample_5</v>
      </c>
      <c r="C348" s="6" t="str">
        <f t="shared" ref="C348:D348" si="405">C347</f>
        <v>Erica monsoniana</v>
      </c>
      <c r="D348" s="6" t="str">
        <f t="shared" si="405"/>
        <v>25C</v>
      </c>
      <c r="E348" s="10">
        <f>IF(ISBLANK(A344),"",E347+1)</f>
        <v>5</v>
      </c>
      <c r="F348" s="11">
        <f t="shared" si="403"/>
        <v>45478.71389</v>
      </c>
      <c r="G348" s="8">
        <v>1.15</v>
      </c>
    </row>
    <row r="349">
      <c r="A349" s="12" t="str">
        <f t="shared" si="401"/>
        <v>ERIMON</v>
      </c>
      <c r="B349" s="12" t="str">
        <f>IF(ISBLANK(A344),"",LEFT(B348,27)&amp;VALUE(RIGHT(B348,1)+1))</f>
        <v>JKS240702ERIMON_25C_sample_6</v>
      </c>
      <c r="C349" s="13" t="str">
        <f t="shared" ref="C349:D349" si="406">C348</f>
        <v>Erica monsoniana</v>
      </c>
      <c r="D349" s="13" t="str">
        <f t="shared" si="406"/>
        <v>25C</v>
      </c>
      <c r="E349" s="14">
        <f>IF(ISBLANK(A344),"",E348+1)</f>
        <v>6</v>
      </c>
      <c r="F349" s="15">
        <f t="shared" si="403"/>
        <v>45478.71389</v>
      </c>
      <c r="G349" s="16">
        <v>3.31</v>
      </c>
    </row>
    <row r="350">
      <c r="A350" s="5" t="s">
        <v>9</v>
      </c>
      <c r="B350" s="6" t="str">
        <f t="array" ref="B350">IF(ISBLANK(A350),"",IF(A350="PROREP (L)",VLOOKUP(LEFT($A350,6),'Data Feed (25C)'!$A$1:$G$10,2,FALSE),IF(A350="PROREP (S)", INDEX('Data Feed (25C)'!B:B, MATCH(LEFT($A350,6), 'Data Feed (25C)'!$A$1:$A$10, 0) + 1), VLOOKUP($A350,'Data Feed (25C)'!$A$1:$G$10,2,FALSE))))</f>
        <v>JKS240702PROREP_25C_sample_1</v>
      </c>
      <c r="C350" s="6" t="str">
        <f t="array" ref="C350">IF(ISBLANK(A350),"",IF(A350="PROREP (L)",VLOOKUP(LEFT($A350,6),'Data Feed (25C)'!$A$1:$G$10,3,FALSE),IF(A350="PROREP (S)", INDEX('Data Feed (25C)'!C:C, MATCH(LEFT($A350,6), 'Data Feed (25C)'!$A$1:$A$10, 0) + 1, +1), VLOOKUP($A350,'Data Feed (25C)'!$A$1:$G$10,3,FALSE))))</f>
        <v>Protea repens</v>
      </c>
      <c r="D350" s="6" t="str">
        <f t="array" ref="D350">IF(ISBLANK(A350),"",IF(A350="PROREP (L)",VLOOKUP(LEFT($A350,6),'Data Feed (25C)'!$A$1:$G$10,4,FALSE),IF(A350="PROREP (S)", INDEX('Data Feed (25C)'!D:D, MATCH(LEFT($A350,6), 'Data Feed (25C)'!$A$1:$A$10, 0) + 1, +1), VLOOKUP($A350,'Data Feed (25C)'!$A$1:$G$10,4,FALSE))))</f>
        <v>25C</v>
      </c>
      <c r="E350" s="6">
        <f t="array" ref="E350">IF(ISBLANK(A350),"",IF(A350="PROREP (L)",VLOOKUP(LEFT($A350,6),'Data Feed (25C)'!$A$1:$G$10,7,FALSE),IF(A350="PROREP (S)", INDEX('Data Feed (25C)'!G:G, MATCH(LEFT($A350,6), 'Data Feed (25C)'!$A$1:$A$10, 0) + 1, +1), VLOOKUP($A350,'Data Feed (25C)'!$A$1:$G$10,7,FALSE))))</f>
        <v>1</v>
      </c>
      <c r="F350" s="7">
        <v>45478.71527777778</v>
      </c>
      <c r="G350" s="8">
        <v>10.92</v>
      </c>
    </row>
    <row r="351">
      <c r="A351" s="9" t="str">
        <f t="shared" ref="A351:A355" si="408">A350</f>
        <v>PROREP (S)</v>
      </c>
      <c r="B351" s="9" t="str">
        <f>IF(ISBLANK(A350),"",LEFT(B350,27)&amp;VALUE(RIGHT(B350,1)+1))</f>
        <v>JKS240702PROREP_25C_sample_2</v>
      </c>
      <c r="C351" s="6" t="str">
        <f t="shared" ref="C351:D351" si="407">C350</f>
        <v>Protea repens</v>
      </c>
      <c r="D351" s="6" t="str">
        <f t="shared" si="407"/>
        <v>25C</v>
      </c>
      <c r="E351" s="10">
        <f>IF(ISBLANK(A350),"",E350+1)</f>
        <v>2</v>
      </c>
      <c r="F351" s="11">
        <f t="shared" ref="F351:F355" si="410">F350</f>
        <v>45478.71528</v>
      </c>
      <c r="G351" s="8">
        <v>9.13</v>
      </c>
    </row>
    <row r="352">
      <c r="A352" s="9" t="str">
        <f t="shared" si="408"/>
        <v>PROREP (S)</v>
      </c>
      <c r="B352" s="9" t="str">
        <f>IF(ISBLANK(A350),"",LEFT(B351,27)&amp;VALUE(RIGHT(B351,1)+1))</f>
        <v>JKS240702PROREP_25C_sample_3</v>
      </c>
      <c r="C352" s="6" t="str">
        <f t="shared" ref="C352:D352" si="409">C351</f>
        <v>Protea repens</v>
      </c>
      <c r="D352" s="6" t="str">
        <f t="shared" si="409"/>
        <v>25C</v>
      </c>
      <c r="E352" s="10">
        <f>IF(ISBLANK(A350),"",E351+1)</f>
        <v>3</v>
      </c>
      <c r="F352" s="11">
        <f t="shared" si="410"/>
        <v>45478.71528</v>
      </c>
      <c r="G352" s="8">
        <v>5.81</v>
      </c>
    </row>
    <row r="353">
      <c r="A353" s="9" t="str">
        <f t="shared" si="408"/>
        <v>PROREP (S)</v>
      </c>
      <c r="B353" s="9" t="str">
        <f>IF(ISBLANK(A350),"",LEFT(B352,27)&amp;VALUE(RIGHT(B352,1)+1))</f>
        <v>JKS240702PROREP_25C_sample_4</v>
      </c>
      <c r="C353" s="6" t="str">
        <f t="shared" ref="C353:D353" si="411">C352</f>
        <v>Protea repens</v>
      </c>
      <c r="D353" s="6" t="str">
        <f t="shared" si="411"/>
        <v>25C</v>
      </c>
      <c r="E353" s="10">
        <f>IF(ISBLANK(A350),"",E352+1)</f>
        <v>4</v>
      </c>
      <c r="F353" s="11">
        <f t="shared" si="410"/>
        <v>45478.71528</v>
      </c>
      <c r="G353" s="8">
        <v>2.21</v>
      </c>
    </row>
    <row r="354">
      <c r="A354" s="9" t="str">
        <f t="shared" si="408"/>
        <v>PROREP (S)</v>
      </c>
      <c r="B354" s="9" t="str">
        <f>IF(ISBLANK(A350),"",LEFT(B353,27)&amp;VALUE(RIGHT(B353,1)+1))</f>
        <v>JKS240702PROREP_25C_sample_5</v>
      </c>
      <c r="C354" s="6" t="str">
        <f t="shared" ref="C354:D354" si="412">C353</f>
        <v>Protea repens</v>
      </c>
      <c r="D354" s="6" t="str">
        <f t="shared" si="412"/>
        <v>25C</v>
      </c>
      <c r="E354" s="10">
        <f>IF(ISBLANK(A350),"",E353+1)</f>
        <v>5</v>
      </c>
      <c r="F354" s="11">
        <f t="shared" si="410"/>
        <v>45478.71528</v>
      </c>
      <c r="G354" s="8">
        <v>8.96</v>
      </c>
    </row>
    <row r="355">
      <c r="A355" s="12" t="str">
        <f t="shared" si="408"/>
        <v>PROREP (S)</v>
      </c>
      <c r="B355" s="12" t="str">
        <f>IF(ISBLANK(A350),"",LEFT(B354,27)&amp;VALUE(RIGHT(B354,1)+1))</f>
        <v>JKS240702PROREP_25C_sample_6</v>
      </c>
      <c r="C355" s="13" t="str">
        <f t="shared" ref="C355:D355" si="413">C354</f>
        <v>Protea repens</v>
      </c>
      <c r="D355" s="13" t="str">
        <f t="shared" si="413"/>
        <v>25C</v>
      </c>
      <c r="E355" s="14">
        <f>IF(ISBLANK(A350),"",E354+1)</f>
        <v>6</v>
      </c>
      <c r="F355" s="15">
        <f t="shared" si="410"/>
        <v>45478.71528</v>
      </c>
      <c r="G355" s="16">
        <v>4.27</v>
      </c>
    </row>
    <row r="356">
      <c r="A356" s="5" t="s">
        <v>10</v>
      </c>
      <c r="B356" s="6" t="str">
        <f t="array" ref="B356">IF(ISBLANK(A356),"",IF(A356="PROREP (L)",VLOOKUP(LEFT($A356,6),'Data Feed (25C)'!$A$1:$G$10,2,FALSE),IF(A356="PROREP (S)", INDEX('Data Feed (25C)'!B:B, MATCH(LEFT($A356,6), 'Data Feed (25C)'!$A$1:$A$10, 0) + 1), VLOOKUP($A356,'Data Feed (25C)'!$A$1:$G$10,2,FALSE))))</f>
        <v>JKS240702CANCON_25C_sample_1</v>
      </c>
      <c r="C356" s="6" t="str">
        <f t="array" ref="C356">IF(ISBLANK(A356),"",IF(A356="PROREP (L)",VLOOKUP(LEFT($A356,6),'Data Feed (25C)'!$A$1:$G$10,3,FALSE),IF(A356="PROREP (S)", INDEX('Data Feed (25C)'!C:C, MATCH(LEFT($A356,6), 'Data Feed (25C)'!$A$1:$A$10, 0) + 1, +1), VLOOKUP($A356,'Data Feed (25C)'!$A$1:$G$10,3,FALSE))))</f>
        <v>Cannomois congesta</v>
      </c>
      <c r="D356" s="6" t="str">
        <f t="array" ref="D356">IF(ISBLANK(A356),"",IF(A356="PROREP (L)",VLOOKUP(LEFT($A356,6),'Data Feed (25C)'!$A$1:$G$10,4,FALSE),IF(A356="PROREP (S)", INDEX('Data Feed (25C)'!D:D, MATCH(LEFT($A356,6), 'Data Feed (25C)'!$A$1:$A$10, 0) + 1, +1), VLOOKUP($A356,'Data Feed (25C)'!$A$1:$G$10,4,FALSE))))</f>
        <v>25C</v>
      </c>
      <c r="E356" s="6">
        <f t="array" ref="E356">IF(ISBLANK(A356),"",IF(A356="PROREP (L)",VLOOKUP(LEFT($A356,6),'Data Feed (25C)'!$A$1:$G$10,7,FALSE),IF(A356="PROREP (S)", INDEX('Data Feed (25C)'!G:G, MATCH(LEFT($A356,6), 'Data Feed (25C)'!$A$1:$A$10, 0) + 1, +1), VLOOKUP($A356,'Data Feed (25C)'!$A$1:$G$10,7,FALSE))))</f>
        <v>1</v>
      </c>
      <c r="F356" s="7">
        <v>45478.717361111114</v>
      </c>
      <c r="G356" s="8">
        <v>0.63</v>
      </c>
    </row>
    <row r="357">
      <c r="A357" s="9" t="str">
        <f t="shared" ref="A357:A361" si="415">A356</f>
        <v>CANCON</v>
      </c>
      <c r="B357" s="9" t="str">
        <f>IF(ISBLANK(A356),"",LEFT(B356,27)&amp;VALUE(RIGHT(B356,1)+1))</f>
        <v>JKS240702CANCON_25C_sample_2</v>
      </c>
      <c r="C357" s="6" t="str">
        <f t="shared" ref="C357:D357" si="414">C356</f>
        <v>Cannomois congesta</v>
      </c>
      <c r="D357" s="6" t="str">
        <f t="shared" si="414"/>
        <v>25C</v>
      </c>
      <c r="E357" s="10">
        <f>IF(ISBLANK(A356),"",E356+1)</f>
        <v>2</v>
      </c>
      <c r="F357" s="11">
        <f t="shared" ref="F357:F361" si="417">F356</f>
        <v>45478.71736</v>
      </c>
      <c r="G357" s="8">
        <v>1.02</v>
      </c>
    </row>
    <row r="358">
      <c r="A358" s="9" t="str">
        <f t="shared" si="415"/>
        <v>CANCON</v>
      </c>
      <c r="B358" s="9" t="str">
        <f>IF(ISBLANK(A356),"",LEFT(B357,27)&amp;VALUE(RIGHT(B357,1)+1))</f>
        <v>JKS240702CANCON_25C_sample_3</v>
      </c>
      <c r="C358" s="6" t="str">
        <f t="shared" ref="C358:D358" si="416">C357</f>
        <v>Cannomois congesta</v>
      </c>
      <c r="D358" s="6" t="str">
        <f t="shared" si="416"/>
        <v>25C</v>
      </c>
      <c r="E358" s="10">
        <f>IF(ISBLANK(A356),"",E357+1)</f>
        <v>3</v>
      </c>
      <c r="F358" s="11">
        <f t="shared" si="417"/>
        <v>45478.71736</v>
      </c>
      <c r="G358" s="8">
        <v>1.72</v>
      </c>
    </row>
    <row r="359">
      <c r="A359" s="9" t="str">
        <f t="shared" si="415"/>
        <v>CANCON</v>
      </c>
      <c r="B359" s="9" t="str">
        <f>IF(ISBLANK(A356),"",LEFT(B358,27)&amp;VALUE(RIGHT(B358,1)+1))</f>
        <v>JKS240702CANCON_25C_sample_4</v>
      </c>
      <c r="C359" s="6" t="str">
        <f t="shared" ref="C359:D359" si="418">C358</f>
        <v>Cannomois congesta</v>
      </c>
      <c r="D359" s="6" t="str">
        <f t="shared" si="418"/>
        <v>25C</v>
      </c>
      <c r="E359" s="10">
        <f>IF(ISBLANK(A356),"",E358+1)</f>
        <v>4</v>
      </c>
      <c r="F359" s="11">
        <f t="shared" si="417"/>
        <v>45478.71736</v>
      </c>
      <c r="G359" s="8">
        <v>0.9</v>
      </c>
    </row>
    <row r="360">
      <c r="A360" s="9" t="str">
        <f t="shared" si="415"/>
        <v>CANCON</v>
      </c>
      <c r="B360" s="9" t="str">
        <f>IF(ISBLANK(A356),"",LEFT(B359,27)&amp;VALUE(RIGHT(B359,1)+1))</f>
        <v>JKS240702CANCON_25C_sample_5</v>
      </c>
      <c r="C360" s="6" t="str">
        <f t="shared" ref="C360:D360" si="419">C359</f>
        <v>Cannomois congesta</v>
      </c>
      <c r="D360" s="6" t="str">
        <f t="shared" si="419"/>
        <v>25C</v>
      </c>
      <c r="E360" s="10">
        <f>IF(ISBLANK(A356),"",E359+1)</f>
        <v>5</v>
      </c>
      <c r="F360" s="11">
        <f t="shared" si="417"/>
        <v>45478.71736</v>
      </c>
      <c r="G360" s="8">
        <v>2.43</v>
      </c>
    </row>
    <row r="361">
      <c r="A361" s="12" t="str">
        <f t="shared" si="415"/>
        <v>CANCON</v>
      </c>
      <c r="B361" s="12" t="str">
        <f>IF(ISBLANK(A356),"",LEFT(B360,27)&amp;VALUE(RIGHT(B360,1)+1))</f>
        <v>JKS240702CANCON_25C_sample_6</v>
      </c>
      <c r="C361" s="13" t="str">
        <f t="shared" ref="C361:D361" si="420">C360</f>
        <v>Cannomois congesta</v>
      </c>
      <c r="D361" s="13" t="str">
        <f t="shared" si="420"/>
        <v>25C</v>
      </c>
      <c r="E361" s="14">
        <f>IF(ISBLANK(A356),"",E360+1)</f>
        <v>6</v>
      </c>
      <c r="F361" s="15">
        <f t="shared" si="417"/>
        <v>45478.71736</v>
      </c>
      <c r="G361" s="16">
        <v>2.12</v>
      </c>
    </row>
    <row r="362">
      <c r="A362" s="5" t="s">
        <v>7</v>
      </c>
      <c r="B362" s="6" t="str">
        <f t="array" ref="B362">IF(ISBLANK(A362),"",IF(A362="PROREP (L)",VLOOKUP(LEFT($A362,6),'Data Feed (25C)'!$A$1:$G$10,2,FALSE),IF(A362="PROREP (S)", INDEX('Data Feed (25C)'!B:B, MATCH(LEFT($A362,6), 'Data Feed (25C)'!$A$1:$A$10, 0) + 1), VLOOKUP($A362,'Data Feed (25C)'!$A$1:$G$10,2,FALSE))))</f>
        <v>JKS240702ERIMON_25C_sample_1</v>
      </c>
      <c r="C362" s="6" t="str">
        <f t="array" ref="C362">IF(ISBLANK(A362),"",IF(A362="PROREP (L)",VLOOKUP(LEFT($A362,6),'Data Feed (25C)'!$A$1:$G$10,3,FALSE),IF(A362="PROREP (S)", INDEX('Data Feed (25C)'!C:C, MATCH(LEFT($A362,6), 'Data Feed (25C)'!$A$1:$A$10, 0) + 1, +1), VLOOKUP($A362,'Data Feed (25C)'!$A$1:$G$10,3,FALSE))))</f>
        <v>Erica monsoniana</v>
      </c>
      <c r="D362" s="6" t="str">
        <f t="array" ref="D362">IF(ISBLANK(A362),"",IF(A362="PROREP (L)",VLOOKUP(LEFT($A362,6),'Data Feed (25C)'!$A$1:$G$10,4,FALSE),IF(A362="PROREP (S)", INDEX('Data Feed (25C)'!D:D, MATCH(LEFT($A362,6), 'Data Feed (25C)'!$A$1:$A$10, 0) + 1, +1), VLOOKUP($A362,'Data Feed (25C)'!$A$1:$G$10,4,FALSE))))</f>
        <v>25C</v>
      </c>
      <c r="E362" s="6">
        <f t="array" ref="E362">IF(ISBLANK(A362),"",IF(A362="PROREP (L)",VLOOKUP(LEFT($A362,6),'Data Feed (25C)'!$A$1:$G$10,7,FALSE),IF(A362="PROREP (S)", INDEX('Data Feed (25C)'!G:G, MATCH(LEFT($A362,6), 'Data Feed (25C)'!$A$1:$A$10, 0) + 1, +1), VLOOKUP($A362,'Data Feed (25C)'!$A$1:$G$10,7,FALSE))))</f>
        <v>1</v>
      </c>
      <c r="F362" s="7">
        <v>45478.81597222222</v>
      </c>
      <c r="G362" s="8">
        <v>0.5</v>
      </c>
    </row>
    <row r="363">
      <c r="A363" s="9" t="str">
        <f t="shared" ref="A363:A367" si="422">A362</f>
        <v>ERIMON</v>
      </c>
      <c r="B363" s="9" t="str">
        <f>IF(ISBLANK(A362),"",LEFT(B362,27)&amp;VALUE(RIGHT(B362,1)+1))</f>
        <v>JKS240702ERIMON_25C_sample_2</v>
      </c>
      <c r="C363" s="6" t="str">
        <f t="shared" ref="C363:D363" si="421">C362</f>
        <v>Erica monsoniana</v>
      </c>
      <c r="D363" s="6" t="str">
        <f t="shared" si="421"/>
        <v>25C</v>
      </c>
      <c r="E363" s="10">
        <f>IF(ISBLANK(A362),"",E362+1)</f>
        <v>2</v>
      </c>
      <c r="F363" s="11">
        <f t="shared" ref="F363:F367" si="424">F362</f>
        <v>45478.81597</v>
      </c>
      <c r="G363" s="8">
        <v>2.11</v>
      </c>
    </row>
    <row r="364">
      <c r="A364" s="9" t="str">
        <f t="shared" si="422"/>
        <v>ERIMON</v>
      </c>
      <c r="B364" s="9" t="str">
        <f>IF(ISBLANK(A362),"",LEFT(B363,27)&amp;VALUE(RIGHT(B363,1)+1))</f>
        <v>JKS240702ERIMON_25C_sample_3</v>
      </c>
      <c r="C364" s="6" t="str">
        <f t="shared" ref="C364:D364" si="423">C363</f>
        <v>Erica monsoniana</v>
      </c>
      <c r="D364" s="6" t="str">
        <f t="shared" si="423"/>
        <v>25C</v>
      </c>
      <c r="E364" s="10">
        <f>IF(ISBLANK(A362),"",E363+1)</f>
        <v>3</v>
      </c>
      <c r="F364" s="11">
        <f t="shared" si="424"/>
        <v>45478.81597</v>
      </c>
      <c r="G364" s="8">
        <v>0.82</v>
      </c>
    </row>
    <row r="365">
      <c r="A365" s="9" t="str">
        <f t="shared" si="422"/>
        <v>ERIMON</v>
      </c>
      <c r="B365" s="9" t="str">
        <f>IF(ISBLANK(A362),"",LEFT(B364,27)&amp;VALUE(RIGHT(B364,1)+1))</f>
        <v>JKS240702ERIMON_25C_sample_4</v>
      </c>
      <c r="C365" s="6" t="str">
        <f t="shared" ref="C365:D365" si="425">C364</f>
        <v>Erica monsoniana</v>
      </c>
      <c r="D365" s="6" t="str">
        <f t="shared" si="425"/>
        <v>25C</v>
      </c>
      <c r="E365" s="10">
        <f>IF(ISBLANK(A362),"",E364+1)</f>
        <v>4</v>
      </c>
      <c r="F365" s="11">
        <f t="shared" si="424"/>
        <v>45478.81597</v>
      </c>
      <c r="G365" s="8">
        <v>1.54</v>
      </c>
    </row>
    <row r="366">
      <c r="A366" s="9" t="str">
        <f t="shared" si="422"/>
        <v>ERIMON</v>
      </c>
      <c r="B366" s="9" t="str">
        <f>IF(ISBLANK(A362),"",LEFT(B365,27)&amp;VALUE(RIGHT(B365,1)+1))</f>
        <v>JKS240702ERIMON_25C_sample_5</v>
      </c>
      <c r="C366" s="6" t="str">
        <f t="shared" ref="C366:D366" si="426">C365</f>
        <v>Erica monsoniana</v>
      </c>
      <c r="D366" s="6" t="str">
        <f t="shared" si="426"/>
        <v>25C</v>
      </c>
      <c r="E366" s="10">
        <f>IF(ISBLANK(A362),"",E365+1)</f>
        <v>5</v>
      </c>
      <c r="F366" s="11">
        <f t="shared" si="424"/>
        <v>45478.81597</v>
      </c>
      <c r="G366" s="8">
        <v>1.16</v>
      </c>
    </row>
    <row r="367">
      <c r="A367" s="12" t="str">
        <f t="shared" si="422"/>
        <v>ERIMON</v>
      </c>
      <c r="B367" s="12" t="str">
        <f>IF(ISBLANK(A362),"",LEFT(B366,27)&amp;VALUE(RIGHT(B366,1)+1))</f>
        <v>JKS240702ERIMON_25C_sample_6</v>
      </c>
      <c r="C367" s="13" t="str">
        <f t="shared" ref="C367:D367" si="427">C366</f>
        <v>Erica monsoniana</v>
      </c>
      <c r="D367" s="13" t="str">
        <f t="shared" si="427"/>
        <v>25C</v>
      </c>
      <c r="E367" s="14">
        <f>IF(ISBLANK(A362),"",E366+1)</f>
        <v>6</v>
      </c>
      <c r="F367" s="15">
        <f t="shared" si="424"/>
        <v>45478.81597</v>
      </c>
      <c r="G367" s="16">
        <v>3.27</v>
      </c>
    </row>
    <row r="368">
      <c r="A368" s="5" t="s">
        <v>9</v>
      </c>
      <c r="B368" s="6" t="str">
        <f t="array" ref="B368">IF(ISBLANK(A368),"",IF(A368="PROREP (L)",VLOOKUP(LEFT($A368,6),'Data Feed (25C)'!$A$1:$G$10,2,FALSE),IF(A368="PROREP (S)", INDEX('Data Feed (25C)'!B:B, MATCH(LEFT($A368,6), 'Data Feed (25C)'!$A$1:$A$10, 0) + 1), VLOOKUP($A368,'Data Feed (25C)'!$A$1:$G$10,2,FALSE))))</f>
        <v>JKS240702PROREP_25C_sample_1</v>
      </c>
      <c r="C368" s="6" t="str">
        <f t="array" ref="C368">IF(ISBLANK(A368),"",IF(A368="PROREP (L)",VLOOKUP(LEFT($A368,6),'Data Feed (25C)'!$A$1:$G$10,3,FALSE),IF(A368="PROREP (S)", INDEX('Data Feed (25C)'!C:C, MATCH(LEFT($A368,6), 'Data Feed (25C)'!$A$1:$A$10, 0) + 1, +1), VLOOKUP($A368,'Data Feed (25C)'!$A$1:$G$10,3,FALSE))))</f>
        <v>Protea repens</v>
      </c>
      <c r="D368" s="6" t="str">
        <f t="array" ref="D368">IF(ISBLANK(A368),"",IF(A368="PROREP (L)",VLOOKUP(LEFT($A368,6),'Data Feed (25C)'!$A$1:$G$10,4,FALSE),IF(A368="PROREP (S)", INDEX('Data Feed (25C)'!D:D, MATCH(LEFT($A368,6), 'Data Feed (25C)'!$A$1:$A$10, 0) + 1, +1), VLOOKUP($A368,'Data Feed (25C)'!$A$1:$G$10,4,FALSE))))</f>
        <v>25C</v>
      </c>
      <c r="E368" s="6">
        <f t="array" ref="E368">IF(ISBLANK(A368),"",IF(A368="PROREP (L)",VLOOKUP(LEFT($A368,6),'Data Feed (25C)'!$A$1:$G$10,7,FALSE),IF(A368="PROREP (S)", INDEX('Data Feed (25C)'!G:G, MATCH(LEFT($A368,6), 'Data Feed (25C)'!$A$1:$A$10, 0) + 1, +1), VLOOKUP($A368,'Data Feed (25C)'!$A$1:$G$10,7,FALSE))))</f>
        <v>1</v>
      </c>
      <c r="F368" s="7">
        <v>45478.81805555556</v>
      </c>
      <c r="G368" s="8">
        <v>10.83</v>
      </c>
    </row>
    <row r="369">
      <c r="A369" s="9" t="str">
        <f t="shared" ref="A369:A373" si="429">A368</f>
        <v>PROREP (S)</v>
      </c>
      <c r="B369" s="9" t="str">
        <f>IF(ISBLANK(A368),"",LEFT(B368,27)&amp;VALUE(RIGHT(B368,1)+1))</f>
        <v>JKS240702PROREP_25C_sample_2</v>
      </c>
      <c r="C369" s="6" t="str">
        <f t="shared" ref="C369:D369" si="428">C368</f>
        <v>Protea repens</v>
      </c>
      <c r="D369" s="6" t="str">
        <f t="shared" si="428"/>
        <v>25C</v>
      </c>
      <c r="E369" s="10">
        <f>IF(ISBLANK(A368),"",E368+1)</f>
        <v>2</v>
      </c>
      <c r="F369" s="11">
        <f t="shared" ref="F369:F373" si="431">F368</f>
        <v>45478.81806</v>
      </c>
      <c r="G369" s="8">
        <v>9.0</v>
      </c>
    </row>
    <row r="370">
      <c r="A370" s="9" t="str">
        <f t="shared" si="429"/>
        <v>PROREP (S)</v>
      </c>
      <c r="B370" s="9" t="str">
        <f>IF(ISBLANK(A368),"",LEFT(B369,27)&amp;VALUE(RIGHT(B369,1)+1))</f>
        <v>JKS240702PROREP_25C_sample_3</v>
      </c>
      <c r="C370" s="6" t="str">
        <f t="shared" ref="C370:D370" si="430">C369</f>
        <v>Protea repens</v>
      </c>
      <c r="D370" s="6" t="str">
        <f t="shared" si="430"/>
        <v>25C</v>
      </c>
      <c r="E370" s="10">
        <f>IF(ISBLANK(A368),"",E369+1)</f>
        <v>3</v>
      </c>
      <c r="F370" s="11">
        <f t="shared" si="431"/>
        <v>45478.81806</v>
      </c>
      <c r="G370" s="8">
        <v>5.64</v>
      </c>
    </row>
    <row r="371">
      <c r="A371" s="9" t="str">
        <f t="shared" si="429"/>
        <v>PROREP (S)</v>
      </c>
      <c r="B371" s="9" t="str">
        <f>IF(ISBLANK(A368),"",LEFT(B370,27)&amp;VALUE(RIGHT(B370,1)+1))</f>
        <v>JKS240702PROREP_25C_sample_4</v>
      </c>
      <c r="C371" s="6" t="str">
        <f t="shared" ref="C371:D371" si="432">C370</f>
        <v>Protea repens</v>
      </c>
      <c r="D371" s="6" t="str">
        <f t="shared" si="432"/>
        <v>25C</v>
      </c>
      <c r="E371" s="10">
        <f>IF(ISBLANK(A368),"",E370+1)</f>
        <v>4</v>
      </c>
      <c r="F371" s="11">
        <f t="shared" si="431"/>
        <v>45478.81806</v>
      </c>
      <c r="G371" s="8">
        <v>2.21</v>
      </c>
    </row>
    <row r="372">
      <c r="A372" s="9" t="str">
        <f t="shared" si="429"/>
        <v>PROREP (S)</v>
      </c>
      <c r="B372" s="9" t="str">
        <f>IF(ISBLANK(A368),"",LEFT(B371,27)&amp;VALUE(RIGHT(B371,1)+1))</f>
        <v>JKS240702PROREP_25C_sample_5</v>
      </c>
      <c r="C372" s="6" t="str">
        <f t="shared" ref="C372:D372" si="433">C371</f>
        <v>Protea repens</v>
      </c>
      <c r="D372" s="6" t="str">
        <f t="shared" si="433"/>
        <v>25C</v>
      </c>
      <c r="E372" s="10">
        <f>IF(ISBLANK(A368),"",E371+1)</f>
        <v>5</v>
      </c>
      <c r="F372" s="11">
        <f t="shared" si="431"/>
        <v>45478.81806</v>
      </c>
      <c r="G372" s="8">
        <v>8.78</v>
      </c>
    </row>
    <row r="373">
      <c r="A373" s="12" t="str">
        <f t="shared" si="429"/>
        <v>PROREP (S)</v>
      </c>
      <c r="B373" s="12" t="str">
        <f>IF(ISBLANK(A368),"",LEFT(B372,27)&amp;VALUE(RIGHT(B372,1)+1))</f>
        <v>JKS240702PROREP_25C_sample_6</v>
      </c>
      <c r="C373" s="13" t="str">
        <f t="shared" ref="C373:D373" si="434">C372</f>
        <v>Protea repens</v>
      </c>
      <c r="D373" s="13" t="str">
        <f t="shared" si="434"/>
        <v>25C</v>
      </c>
      <c r="E373" s="14">
        <f>IF(ISBLANK(A368),"",E372+1)</f>
        <v>6</v>
      </c>
      <c r="F373" s="15">
        <f t="shared" si="431"/>
        <v>45478.81806</v>
      </c>
      <c r="G373" s="16">
        <v>4.19</v>
      </c>
    </row>
    <row r="374">
      <c r="A374" s="5" t="s">
        <v>10</v>
      </c>
      <c r="B374" s="6" t="str">
        <f t="array" ref="B374">IF(ISBLANK(A374),"",IF(A374="PROREP (L)",VLOOKUP(LEFT($A374,6),'Data Feed (25C)'!$A$1:$G$10,2,FALSE),IF(A374="PROREP (S)", INDEX('Data Feed (25C)'!B:B, MATCH(LEFT($A374,6), 'Data Feed (25C)'!$A$1:$A$10, 0) + 1), VLOOKUP($A374,'Data Feed (25C)'!$A$1:$G$10,2,FALSE))))</f>
        <v>JKS240702CANCON_25C_sample_1</v>
      </c>
      <c r="C374" s="6" t="str">
        <f t="array" ref="C374">IF(ISBLANK(A374),"",IF(A374="PROREP (L)",VLOOKUP(LEFT($A374,6),'Data Feed (25C)'!$A$1:$G$10,3,FALSE),IF(A374="PROREP (S)", INDEX('Data Feed (25C)'!C:C, MATCH(LEFT($A374,6), 'Data Feed (25C)'!$A$1:$A$10, 0) + 1, +1), VLOOKUP($A374,'Data Feed (25C)'!$A$1:$G$10,3,FALSE))))</f>
        <v>Cannomois congesta</v>
      </c>
      <c r="D374" s="6" t="str">
        <f t="array" ref="D374">IF(ISBLANK(A374),"",IF(A374="PROREP (L)",VLOOKUP(LEFT($A374,6),'Data Feed (25C)'!$A$1:$G$10,4,FALSE),IF(A374="PROREP (S)", INDEX('Data Feed (25C)'!D:D, MATCH(LEFT($A374,6), 'Data Feed (25C)'!$A$1:$A$10, 0) + 1, +1), VLOOKUP($A374,'Data Feed (25C)'!$A$1:$G$10,4,FALSE))))</f>
        <v>25C</v>
      </c>
      <c r="E374" s="6">
        <f t="array" ref="E374">IF(ISBLANK(A374),"",IF(A374="PROREP (L)",VLOOKUP(LEFT($A374,6),'Data Feed (25C)'!$A$1:$G$10,7,FALSE),IF(A374="PROREP (S)", INDEX('Data Feed (25C)'!G:G, MATCH(LEFT($A374,6), 'Data Feed (25C)'!$A$1:$A$10, 0) + 1, +1), VLOOKUP($A374,'Data Feed (25C)'!$A$1:$G$10,7,FALSE))))</f>
        <v>1</v>
      </c>
      <c r="F374" s="7">
        <v>45478.81875</v>
      </c>
      <c r="G374" s="8">
        <v>0.61</v>
      </c>
    </row>
    <row r="375">
      <c r="A375" s="9" t="str">
        <f t="shared" ref="A375:A379" si="436">A374</f>
        <v>CANCON</v>
      </c>
      <c r="B375" s="9" t="str">
        <f>IF(ISBLANK(A374),"",LEFT(B374,27)&amp;VALUE(RIGHT(B374,1)+1))</f>
        <v>JKS240702CANCON_25C_sample_2</v>
      </c>
      <c r="C375" s="6" t="str">
        <f t="shared" ref="C375:D375" si="435">C374</f>
        <v>Cannomois congesta</v>
      </c>
      <c r="D375" s="6" t="str">
        <f t="shared" si="435"/>
        <v>25C</v>
      </c>
      <c r="E375" s="10">
        <f>IF(ISBLANK(A374),"",E374+1)</f>
        <v>2</v>
      </c>
      <c r="F375" s="11">
        <f t="shared" ref="F375:F379" si="438">F374</f>
        <v>45478.81875</v>
      </c>
      <c r="G375" s="8">
        <v>0.99</v>
      </c>
    </row>
    <row r="376">
      <c r="A376" s="9" t="str">
        <f t="shared" si="436"/>
        <v>CANCON</v>
      </c>
      <c r="B376" s="9" t="str">
        <f>IF(ISBLANK(A374),"",LEFT(B375,27)&amp;VALUE(RIGHT(B375,1)+1))</f>
        <v>JKS240702CANCON_25C_sample_3</v>
      </c>
      <c r="C376" s="6" t="str">
        <f t="shared" ref="C376:D376" si="437">C375</f>
        <v>Cannomois congesta</v>
      </c>
      <c r="D376" s="6" t="str">
        <f t="shared" si="437"/>
        <v>25C</v>
      </c>
      <c r="E376" s="10">
        <f>IF(ISBLANK(A374),"",E375+1)</f>
        <v>3</v>
      </c>
      <c r="F376" s="11">
        <f t="shared" si="438"/>
        <v>45478.81875</v>
      </c>
      <c r="G376" s="8">
        <v>1.66</v>
      </c>
    </row>
    <row r="377">
      <c r="A377" s="9" t="str">
        <f t="shared" si="436"/>
        <v>CANCON</v>
      </c>
      <c r="B377" s="9" t="str">
        <f>IF(ISBLANK(A374),"",LEFT(B376,27)&amp;VALUE(RIGHT(B376,1)+1))</f>
        <v>JKS240702CANCON_25C_sample_4</v>
      </c>
      <c r="C377" s="6" t="str">
        <f t="shared" ref="C377:D377" si="439">C376</f>
        <v>Cannomois congesta</v>
      </c>
      <c r="D377" s="6" t="str">
        <f t="shared" si="439"/>
        <v>25C</v>
      </c>
      <c r="E377" s="10">
        <f>IF(ISBLANK(A374),"",E376+1)</f>
        <v>4</v>
      </c>
      <c r="F377" s="11">
        <f t="shared" si="438"/>
        <v>45478.81875</v>
      </c>
      <c r="G377" s="8">
        <v>0.87</v>
      </c>
    </row>
    <row r="378">
      <c r="A378" s="9" t="str">
        <f t="shared" si="436"/>
        <v>CANCON</v>
      </c>
      <c r="B378" s="9" t="str">
        <f>IF(ISBLANK(A374),"",LEFT(B377,27)&amp;VALUE(RIGHT(B377,1)+1))</f>
        <v>JKS240702CANCON_25C_sample_5</v>
      </c>
      <c r="C378" s="6" t="str">
        <f t="shared" ref="C378:D378" si="440">C377</f>
        <v>Cannomois congesta</v>
      </c>
      <c r="D378" s="6" t="str">
        <f t="shared" si="440"/>
        <v>25C</v>
      </c>
      <c r="E378" s="10">
        <f>IF(ISBLANK(A374),"",E377+1)</f>
        <v>5</v>
      </c>
      <c r="F378" s="11">
        <f t="shared" si="438"/>
        <v>45478.81875</v>
      </c>
      <c r="G378" s="8">
        <v>2.34</v>
      </c>
    </row>
    <row r="379">
      <c r="A379" s="12" t="str">
        <f t="shared" si="436"/>
        <v>CANCON</v>
      </c>
      <c r="B379" s="12" t="str">
        <f>IF(ISBLANK(A374),"",LEFT(B378,27)&amp;VALUE(RIGHT(B378,1)+1))</f>
        <v>JKS240702CANCON_25C_sample_6</v>
      </c>
      <c r="C379" s="13" t="str">
        <f t="shared" ref="C379:D379" si="441">C378</f>
        <v>Cannomois congesta</v>
      </c>
      <c r="D379" s="13" t="str">
        <f t="shared" si="441"/>
        <v>25C</v>
      </c>
      <c r="E379" s="14">
        <f>IF(ISBLANK(A374),"",E378+1)</f>
        <v>6</v>
      </c>
      <c r="F379" s="15">
        <f t="shared" si="438"/>
        <v>45478.81875</v>
      </c>
      <c r="G379" s="16">
        <v>2.06</v>
      </c>
    </row>
    <row r="380">
      <c r="A380" s="5" t="s">
        <v>7</v>
      </c>
      <c r="B380" s="6" t="str">
        <f t="array" ref="B380">IF(ISBLANK(A380),"",IF(A380="PROREP (L)",VLOOKUP(LEFT($A380,6),'Data Feed (25C)'!$A$1:$G$10,2,FALSE),IF(A380="PROREP (S)", INDEX('Data Feed (25C)'!B:B, MATCH(LEFT($A380,6), 'Data Feed (25C)'!$A$1:$A$10, 0) + 1), VLOOKUP($A380,'Data Feed (25C)'!$A$1:$G$10,2,FALSE))))</f>
        <v>JKS240702ERIMON_25C_sample_1</v>
      </c>
      <c r="C380" s="6" t="str">
        <f t="array" ref="C380">IF(ISBLANK(A380),"",IF(A380="PROREP (L)",VLOOKUP(LEFT($A380,6),'Data Feed (25C)'!$A$1:$G$10,3,FALSE),IF(A380="PROREP (S)", INDEX('Data Feed (25C)'!C:C, MATCH(LEFT($A380,6), 'Data Feed (25C)'!$A$1:$A$10, 0) + 1, +1), VLOOKUP($A380,'Data Feed (25C)'!$A$1:$G$10,3,FALSE))))</f>
        <v>Erica monsoniana</v>
      </c>
      <c r="D380" s="6" t="str">
        <f t="array" ref="D380">IF(ISBLANK(A380),"",IF(A380="PROREP (L)",VLOOKUP(LEFT($A380,6),'Data Feed (25C)'!$A$1:$G$10,4,FALSE),IF(A380="PROREP (S)", INDEX('Data Feed (25C)'!D:D, MATCH(LEFT($A380,6), 'Data Feed (25C)'!$A$1:$A$10, 0) + 1, +1), VLOOKUP($A380,'Data Feed (25C)'!$A$1:$G$10,4,FALSE))))</f>
        <v>25C</v>
      </c>
      <c r="E380" s="6">
        <f t="array" ref="E380">IF(ISBLANK(A380),"",IF(A380="PROREP (L)",VLOOKUP(LEFT($A380,6),'Data Feed (25C)'!$A$1:$G$10,7,FALSE),IF(A380="PROREP (S)", INDEX('Data Feed (25C)'!G:G, MATCH(LEFT($A380,6), 'Data Feed (25C)'!$A$1:$A$10, 0) + 1, +1), VLOOKUP($A380,'Data Feed (25C)'!$A$1:$G$10,7,FALSE))))</f>
        <v>1</v>
      </c>
      <c r="F380" s="7">
        <v>45478.9375</v>
      </c>
      <c r="G380" s="8">
        <v>0.49</v>
      </c>
    </row>
    <row r="381">
      <c r="A381" s="9" t="str">
        <f t="shared" ref="A381:A385" si="443">A380</f>
        <v>ERIMON</v>
      </c>
      <c r="B381" s="9" t="str">
        <f>IF(ISBLANK(A380),"",LEFT(B380,27)&amp;VALUE(RIGHT(B380,1)+1))</f>
        <v>JKS240702ERIMON_25C_sample_2</v>
      </c>
      <c r="C381" s="6" t="str">
        <f t="shared" ref="C381:D381" si="442">C380</f>
        <v>Erica monsoniana</v>
      </c>
      <c r="D381" s="6" t="str">
        <f t="shared" si="442"/>
        <v>25C</v>
      </c>
      <c r="E381" s="10">
        <f>IF(ISBLANK(A380),"",E380+1)</f>
        <v>2</v>
      </c>
      <c r="F381" s="11">
        <f t="shared" ref="F381:F385" si="445">F380</f>
        <v>45478.9375</v>
      </c>
      <c r="G381" s="8">
        <v>2.04</v>
      </c>
    </row>
    <row r="382">
      <c r="A382" s="9" t="str">
        <f t="shared" si="443"/>
        <v>ERIMON</v>
      </c>
      <c r="B382" s="9" t="str">
        <f>IF(ISBLANK(A380),"",LEFT(B381,27)&amp;VALUE(RIGHT(B381,1)+1))</f>
        <v>JKS240702ERIMON_25C_sample_3</v>
      </c>
      <c r="C382" s="6" t="str">
        <f t="shared" ref="C382:D382" si="444">C381</f>
        <v>Erica monsoniana</v>
      </c>
      <c r="D382" s="6" t="str">
        <f t="shared" si="444"/>
        <v>25C</v>
      </c>
      <c r="E382" s="10">
        <f>IF(ISBLANK(A380),"",E381+1)</f>
        <v>3</v>
      </c>
      <c r="F382" s="11">
        <f t="shared" si="445"/>
        <v>45478.9375</v>
      </c>
      <c r="G382" s="8">
        <v>0.82</v>
      </c>
    </row>
    <row r="383">
      <c r="A383" s="9" t="str">
        <f t="shared" si="443"/>
        <v>ERIMON</v>
      </c>
      <c r="B383" s="9" t="str">
        <f>IF(ISBLANK(A380),"",LEFT(B382,27)&amp;VALUE(RIGHT(B382,1)+1))</f>
        <v>JKS240702ERIMON_25C_sample_4</v>
      </c>
      <c r="C383" s="6" t="str">
        <f t="shared" ref="C383:D383" si="446">C382</f>
        <v>Erica monsoniana</v>
      </c>
      <c r="D383" s="6" t="str">
        <f t="shared" si="446"/>
        <v>25C</v>
      </c>
      <c r="E383" s="10">
        <f>IF(ISBLANK(A380),"",E382+1)</f>
        <v>4</v>
      </c>
      <c r="F383" s="11">
        <f t="shared" si="445"/>
        <v>45478.9375</v>
      </c>
      <c r="G383" s="8">
        <v>1.53</v>
      </c>
    </row>
    <row r="384">
      <c r="A384" s="9" t="str">
        <f t="shared" si="443"/>
        <v>ERIMON</v>
      </c>
      <c r="B384" s="9" t="str">
        <f>IF(ISBLANK(A380),"",LEFT(B383,27)&amp;VALUE(RIGHT(B383,1)+1))</f>
        <v>JKS240702ERIMON_25C_sample_5</v>
      </c>
      <c r="C384" s="6" t="str">
        <f t="shared" ref="C384:D384" si="447">C383</f>
        <v>Erica monsoniana</v>
      </c>
      <c r="D384" s="6" t="str">
        <f t="shared" si="447"/>
        <v>25C</v>
      </c>
      <c r="E384" s="10">
        <f>IF(ISBLANK(A380),"",E383+1)</f>
        <v>5</v>
      </c>
      <c r="F384" s="11">
        <f t="shared" si="445"/>
        <v>45478.9375</v>
      </c>
      <c r="G384" s="8">
        <v>1.15</v>
      </c>
    </row>
    <row r="385">
      <c r="A385" s="12" t="str">
        <f t="shared" si="443"/>
        <v>ERIMON</v>
      </c>
      <c r="B385" s="12" t="str">
        <f>IF(ISBLANK(A380),"",LEFT(B384,27)&amp;VALUE(RIGHT(B384,1)+1))</f>
        <v>JKS240702ERIMON_25C_sample_6</v>
      </c>
      <c r="C385" s="13" t="str">
        <f t="shared" ref="C385:D385" si="448">C384</f>
        <v>Erica monsoniana</v>
      </c>
      <c r="D385" s="13" t="str">
        <f t="shared" si="448"/>
        <v>25C</v>
      </c>
      <c r="E385" s="14">
        <f>IF(ISBLANK(A380),"",E384+1)</f>
        <v>6</v>
      </c>
      <c r="F385" s="15">
        <f t="shared" si="445"/>
        <v>45478.9375</v>
      </c>
      <c r="G385" s="16">
        <v>3.21</v>
      </c>
    </row>
    <row r="386">
      <c r="A386" s="5" t="s">
        <v>9</v>
      </c>
      <c r="B386" s="6" t="str">
        <f t="array" ref="B386">IF(ISBLANK(A386),"",IF(A386="PROREP (L)",VLOOKUP(LEFT($A386,6),'Data Feed (25C)'!$A$1:$G$10,2,FALSE),IF(A386="PROREP (S)", INDEX('Data Feed (25C)'!B:B, MATCH(LEFT($A386,6), 'Data Feed (25C)'!$A$1:$A$10, 0) + 1), VLOOKUP($A386,'Data Feed (25C)'!$A$1:$G$10,2,FALSE))))</f>
        <v>JKS240702PROREP_25C_sample_1</v>
      </c>
      <c r="C386" s="6" t="str">
        <f t="array" ref="C386">IF(ISBLANK(A386),"",IF(A386="PROREP (L)",VLOOKUP(LEFT($A386,6),'Data Feed (25C)'!$A$1:$G$10,3,FALSE),IF(A386="PROREP (S)", INDEX('Data Feed (25C)'!C:C, MATCH(LEFT($A386,6), 'Data Feed (25C)'!$A$1:$A$10, 0) + 1, +1), VLOOKUP($A386,'Data Feed (25C)'!$A$1:$G$10,3,FALSE))))</f>
        <v>Protea repens</v>
      </c>
      <c r="D386" s="6" t="str">
        <f t="array" ref="D386">IF(ISBLANK(A386),"",IF(A386="PROREP (L)",VLOOKUP(LEFT($A386,6),'Data Feed (25C)'!$A$1:$G$10,4,FALSE),IF(A386="PROREP (S)", INDEX('Data Feed (25C)'!D:D, MATCH(LEFT($A386,6), 'Data Feed (25C)'!$A$1:$A$10, 0) + 1, +1), VLOOKUP($A386,'Data Feed (25C)'!$A$1:$G$10,4,FALSE))))</f>
        <v>25C</v>
      </c>
      <c r="E386" s="6">
        <f t="array" ref="E386">IF(ISBLANK(A386),"",IF(A386="PROREP (L)",VLOOKUP(LEFT($A386,6),'Data Feed (25C)'!$A$1:$G$10,7,FALSE),IF(A386="PROREP (S)", INDEX('Data Feed (25C)'!G:G, MATCH(LEFT($A386,6), 'Data Feed (25C)'!$A$1:$A$10, 0) + 1, +1), VLOOKUP($A386,'Data Feed (25C)'!$A$1:$G$10,7,FALSE))))</f>
        <v>1</v>
      </c>
      <c r="F386" s="7">
        <v>45478.93819444445</v>
      </c>
      <c r="G386" s="8">
        <v>10.6</v>
      </c>
    </row>
    <row r="387">
      <c r="A387" s="9" t="str">
        <f t="shared" ref="A387:A391" si="450">A386</f>
        <v>PROREP (S)</v>
      </c>
      <c r="B387" s="9" t="str">
        <f>IF(ISBLANK(A386),"",LEFT(B386,27)&amp;VALUE(RIGHT(B386,1)+1))</f>
        <v>JKS240702PROREP_25C_sample_2</v>
      </c>
      <c r="C387" s="6" t="str">
        <f t="shared" ref="C387:D387" si="449">C386</f>
        <v>Protea repens</v>
      </c>
      <c r="D387" s="6" t="str">
        <f t="shared" si="449"/>
        <v>25C</v>
      </c>
      <c r="E387" s="10">
        <f>IF(ISBLANK(A386),"",E386+1)</f>
        <v>2</v>
      </c>
      <c r="F387" s="11">
        <f t="shared" ref="F387:F391" si="452">F386</f>
        <v>45478.93819</v>
      </c>
      <c r="G387" s="8">
        <v>8.85</v>
      </c>
    </row>
    <row r="388">
      <c r="A388" s="9" t="str">
        <f t="shared" si="450"/>
        <v>PROREP (S)</v>
      </c>
      <c r="B388" s="9" t="str">
        <f>IF(ISBLANK(A386),"",LEFT(B387,27)&amp;VALUE(RIGHT(B387,1)+1))</f>
        <v>JKS240702PROREP_25C_sample_3</v>
      </c>
      <c r="C388" s="6" t="str">
        <f t="shared" ref="C388:D388" si="451">C387</f>
        <v>Protea repens</v>
      </c>
      <c r="D388" s="6" t="str">
        <f t="shared" si="451"/>
        <v>25C</v>
      </c>
      <c r="E388" s="10">
        <f>IF(ISBLANK(A386),"",E387+1)</f>
        <v>3</v>
      </c>
      <c r="F388" s="11">
        <f t="shared" si="452"/>
        <v>45478.93819</v>
      </c>
      <c r="G388" s="8">
        <v>5.48</v>
      </c>
    </row>
    <row r="389">
      <c r="A389" s="9" t="str">
        <f t="shared" si="450"/>
        <v>PROREP (S)</v>
      </c>
      <c r="B389" s="9" t="str">
        <f>IF(ISBLANK(A386),"",LEFT(B388,27)&amp;VALUE(RIGHT(B388,1)+1))</f>
        <v>JKS240702PROREP_25C_sample_4</v>
      </c>
      <c r="C389" s="6" t="str">
        <f t="shared" ref="C389:D389" si="453">C388</f>
        <v>Protea repens</v>
      </c>
      <c r="D389" s="6" t="str">
        <f t="shared" si="453"/>
        <v>25C</v>
      </c>
      <c r="E389" s="10">
        <f>IF(ISBLANK(A386),"",E388+1)</f>
        <v>4</v>
      </c>
      <c r="F389" s="11">
        <f t="shared" si="452"/>
        <v>45478.93819</v>
      </c>
      <c r="G389" s="8">
        <v>2.12</v>
      </c>
    </row>
    <row r="390">
      <c r="A390" s="9" t="str">
        <f t="shared" si="450"/>
        <v>PROREP (S)</v>
      </c>
      <c r="B390" s="9" t="str">
        <f>IF(ISBLANK(A386),"",LEFT(B389,27)&amp;VALUE(RIGHT(B389,1)+1))</f>
        <v>JKS240702PROREP_25C_sample_5</v>
      </c>
      <c r="C390" s="6" t="str">
        <f t="shared" ref="C390:D390" si="454">C389</f>
        <v>Protea repens</v>
      </c>
      <c r="D390" s="6" t="str">
        <f t="shared" si="454"/>
        <v>25C</v>
      </c>
      <c r="E390" s="10">
        <f>IF(ISBLANK(A386),"",E389+1)</f>
        <v>5</v>
      </c>
      <c r="F390" s="11">
        <f t="shared" si="452"/>
        <v>45478.93819</v>
      </c>
      <c r="G390" s="8">
        <v>8.53</v>
      </c>
    </row>
    <row r="391">
      <c r="A391" s="12" t="str">
        <f t="shared" si="450"/>
        <v>PROREP (S)</v>
      </c>
      <c r="B391" s="12" t="str">
        <f>IF(ISBLANK(A386),"",LEFT(B390,27)&amp;VALUE(RIGHT(B390,1)+1))</f>
        <v>JKS240702PROREP_25C_sample_6</v>
      </c>
      <c r="C391" s="13" t="str">
        <f t="shared" ref="C391:D391" si="455">C390</f>
        <v>Protea repens</v>
      </c>
      <c r="D391" s="13" t="str">
        <f t="shared" si="455"/>
        <v>25C</v>
      </c>
      <c r="E391" s="14">
        <f>IF(ISBLANK(A386),"",E390+1)</f>
        <v>6</v>
      </c>
      <c r="F391" s="15">
        <f t="shared" si="452"/>
        <v>45478.93819</v>
      </c>
      <c r="G391" s="16">
        <v>4.09</v>
      </c>
    </row>
    <row r="392">
      <c r="A392" s="5" t="s">
        <v>10</v>
      </c>
      <c r="B392" s="6" t="str">
        <f t="array" ref="B392">IF(ISBLANK(A392),"",IF(A392="PROREP (L)",VLOOKUP(LEFT($A392,6),'Data Feed (25C)'!$A$1:$G$10,2,FALSE),IF(A392="PROREP (S)", INDEX('Data Feed (25C)'!B:B, MATCH(LEFT($A392,6), 'Data Feed (25C)'!$A$1:$A$10, 0) + 1), VLOOKUP($A392,'Data Feed (25C)'!$A$1:$G$10,2,FALSE))))</f>
        <v>JKS240702CANCON_25C_sample_1</v>
      </c>
      <c r="C392" s="6" t="str">
        <f t="array" ref="C392">IF(ISBLANK(A392),"",IF(A392="PROREP (L)",VLOOKUP(LEFT($A392,6),'Data Feed (25C)'!$A$1:$G$10,3,FALSE),IF(A392="PROREP (S)", INDEX('Data Feed (25C)'!C:C, MATCH(LEFT($A392,6), 'Data Feed (25C)'!$A$1:$A$10, 0) + 1, +1), VLOOKUP($A392,'Data Feed (25C)'!$A$1:$G$10,3,FALSE))))</f>
        <v>Cannomois congesta</v>
      </c>
      <c r="D392" s="6" t="str">
        <f t="array" ref="D392">IF(ISBLANK(A392),"",IF(A392="PROREP (L)",VLOOKUP(LEFT($A392,6),'Data Feed (25C)'!$A$1:$G$10,4,FALSE),IF(A392="PROREP (S)", INDEX('Data Feed (25C)'!D:D, MATCH(LEFT($A392,6), 'Data Feed (25C)'!$A$1:$A$10, 0) + 1, +1), VLOOKUP($A392,'Data Feed (25C)'!$A$1:$G$10,4,FALSE))))</f>
        <v>25C</v>
      </c>
      <c r="E392" s="6">
        <f t="array" ref="E392">IF(ISBLANK(A392),"",IF(A392="PROREP (L)",VLOOKUP(LEFT($A392,6),'Data Feed (25C)'!$A$1:$G$10,7,FALSE),IF(A392="PROREP (S)", INDEX('Data Feed (25C)'!G:G, MATCH(LEFT($A392,6), 'Data Feed (25C)'!$A$1:$A$10, 0) + 1, +1), VLOOKUP($A392,'Data Feed (25C)'!$A$1:$G$10,7,FALSE))))</f>
        <v>1</v>
      </c>
      <c r="F392" s="7">
        <v>45478.93958333333</v>
      </c>
      <c r="G392" s="8">
        <v>0.57</v>
      </c>
    </row>
    <row r="393">
      <c r="A393" s="9" t="str">
        <f t="shared" ref="A393:A397" si="457">A392</f>
        <v>CANCON</v>
      </c>
      <c r="B393" s="9" t="str">
        <f>IF(ISBLANK(A392),"",LEFT(B392,27)&amp;VALUE(RIGHT(B392,1)+1))</f>
        <v>JKS240702CANCON_25C_sample_2</v>
      </c>
      <c r="C393" s="6" t="str">
        <f t="shared" ref="C393:D393" si="456">C392</f>
        <v>Cannomois congesta</v>
      </c>
      <c r="D393" s="6" t="str">
        <f t="shared" si="456"/>
        <v>25C</v>
      </c>
      <c r="E393" s="10">
        <f>IF(ISBLANK(A392),"",E392+1)</f>
        <v>2</v>
      </c>
      <c r="F393" s="11">
        <f t="shared" ref="F393:F397" si="459">F392</f>
        <v>45478.93958</v>
      </c>
      <c r="G393" s="8">
        <v>0.93</v>
      </c>
    </row>
    <row r="394">
      <c r="A394" s="9" t="str">
        <f t="shared" si="457"/>
        <v>CANCON</v>
      </c>
      <c r="B394" s="9" t="str">
        <f>IF(ISBLANK(A392),"",LEFT(B393,27)&amp;VALUE(RIGHT(B393,1)+1))</f>
        <v>JKS240702CANCON_25C_sample_3</v>
      </c>
      <c r="C394" s="6" t="str">
        <f t="shared" ref="C394:D394" si="458">C393</f>
        <v>Cannomois congesta</v>
      </c>
      <c r="D394" s="6" t="str">
        <f t="shared" si="458"/>
        <v>25C</v>
      </c>
      <c r="E394" s="10">
        <f>IF(ISBLANK(A392),"",E393+1)</f>
        <v>3</v>
      </c>
      <c r="F394" s="11">
        <f t="shared" si="459"/>
        <v>45478.93958</v>
      </c>
      <c r="G394" s="8">
        <v>1.61</v>
      </c>
    </row>
    <row r="395">
      <c r="A395" s="9" t="str">
        <f t="shared" si="457"/>
        <v>CANCON</v>
      </c>
      <c r="B395" s="9" t="str">
        <f>IF(ISBLANK(A392),"",LEFT(B394,27)&amp;VALUE(RIGHT(B394,1)+1))</f>
        <v>JKS240702CANCON_25C_sample_4</v>
      </c>
      <c r="C395" s="6" t="str">
        <f t="shared" ref="C395:D395" si="460">C394</f>
        <v>Cannomois congesta</v>
      </c>
      <c r="D395" s="6" t="str">
        <f t="shared" si="460"/>
        <v>25C</v>
      </c>
      <c r="E395" s="10">
        <f>IF(ISBLANK(A392),"",E394+1)</f>
        <v>4</v>
      </c>
      <c r="F395" s="11">
        <f t="shared" si="459"/>
        <v>45478.93958</v>
      </c>
      <c r="G395" s="8">
        <v>0.83</v>
      </c>
    </row>
    <row r="396">
      <c r="A396" s="9" t="str">
        <f t="shared" si="457"/>
        <v>CANCON</v>
      </c>
      <c r="B396" s="9" t="str">
        <f>IF(ISBLANK(A392),"",LEFT(B395,27)&amp;VALUE(RIGHT(B395,1)+1))</f>
        <v>JKS240702CANCON_25C_sample_5</v>
      </c>
      <c r="C396" s="6" t="str">
        <f t="shared" ref="C396:D396" si="461">C395</f>
        <v>Cannomois congesta</v>
      </c>
      <c r="D396" s="6" t="str">
        <f t="shared" si="461"/>
        <v>25C</v>
      </c>
      <c r="E396" s="10">
        <f>IF(ISBLANK(A392),"",E395+1)</f>
        <v>5</v>
      </c>
      <c r="F396" s="11">
        <f t="shared" si="459"/>
        <v>45478.93958</v>
      </c>
      <c r="G396" s="8">
        <v>2.25</v>
      </c>
    </row>
    <row r="397">
      <c r="A397" s="12" t="str">
        <f t="shared" si="457"/>
        <v>CANCON</v>
      </c>
      <c r="B397" s="12" t="str">
        <f>IF(ISBLANK(A392),"",LEFT(B396,27)&amp;VALUE(RIGHT(B396,1)+1))</f>
        <v>JKS240702CANCON_25C_sample_6</v>
      </c>
      <c r="C397" s="13" t="str">
        <f t="shared" ref="C397:D397" si="462">C396</f>
        <v>Cannomois congesta</v>
      </c>
      <c r="D397" s="13" t="str">
        <f t="shared" si="462"/>
        <v>25C</v>
      </c>
      <c r="E397" s="14">
        <f>IF(ISBLANK(A392),"",E396+1)</f>
        <v>6</v>
      </c>
      <c r="F397" s="15">
        <f t="shared" si="459"/>
        <v>45478.93958</v>
      </c>
      <c r="G397" s="16">
        <v>1.99</v>
      </c>
    </row>
    <row r="398">
      <c r="A398" s="5" t="s">
        <v>7</v>
      </c>
      <c r="B398" s="6" t="str">
        <f t="array" ref="B398">IF(ISBLANK(A398),"",IF(A398="PROREP (L)",VLOOKUP(LEFT($A398,6),'Data Feed (25C)'!$A$1:$G$10,2,FALSE),IF(A398="PROREP (S)", INDEX('Data Feed (25C)'!B:B, MATCH(LEFT($A398,6), 'Data Feed (25C)'!$A$1:$A$10, 0) + 1), VLOOKUP($A398,'Data Feed (25C)'!$A$1:$G$10,2,FALSE))))</f>
        <v>JKS240702ERIMON_25C_sample_1</v>
      </c>
      <c r="C398" s="6" t="str">
        <f t="array" ref="C398">IF(ISBLANK(A398),"",IF(A398="PROREP (L)",VLOOKUP(LEFT($A398,6),'Data Feed (25C)'!$A$1:$G$10,3,FALSE),IF(A398="PROREP (S)", INDEX('Data Feed (25C)'!C:C, MATCH(LEFT($A398,6), 'Data Feed (25C)'!$A$1:$A$10, 0) + 1, +1), VLOOKUP($A398,'Data Feed (25C)'!$A$1:$G$10,3,FALSE))))</f>
        <v>Erica monsoniana</v>
      </c>
      <c r="D398" s="6" t="str">
        <f t="array" ref="D398">IF(ISBLANK(A398),"",IF(A398="PROREP (L)",VLOOKUP(LEFT($A398,6),'Data Feed (25C)'!$A$1:$G$10,4,FALSE),IF(A398="PROREP (S)", INDEX('Data Feed (25C)'!D:D, MATCH(LEFT($A398,6), 'Data Feed (25C)'!$A$1:$A$10, 0) + 1, +1), VLOOKUP($A398,'Data Feed (25C)'!$A$1:$G$10,4,FALSE))))</f>
        <v>25C</v>
      </c>
      <c r="E398" s="6">
        <f t="array" ref="E398">IF(ISBLANK(A398),"",IF(A398="PROREP (L)",VLOOKUP(LEFT($A398,6),'Data Feed (25C)'!$A$1:$G$10,7,FALSE),IF(A398="PROREP (S)", INDEX('Data Feed (25C)'!G:G, MATCH(LEFT($A398,6), 'Data Feed (25C)'!$A$1:$A$10, 0) + 1, +1), VLOOKUP($A398,'Data Feed (25C)'!$A$1:$G$10,7,FALSE))))</f>
        <v>1</v>
      </c>
      <c r="F398" s="7">
        <v>45479.447916666664</v>
      </c>
      <c r="G398" s="8">
        <v>0.47</v>
      </c>
    </row>
    <row r="399">
      <c r="A399" s="9" t="str">
        <f t="shared" ref="A399:A403" si="464">A398</f>
        <v>ERIMON</v>
      </c>
      <c r="B399" s="9" t="str">
        <f>IF(ISBLANK(A398),"",LEFT(B398,27)&amp;VALUE(RIGHT(B398,1)+1))</f>
        <v>JKS240702ERIMON_25C_sample_2</v>
      </c>
      <c r="C399" s="6" t="str">
        <f t="shared" ref="C399:D399" si="463">C398</f>
        <v>Erica monsoniana</v>
      </c>
      <c r="D399" s="6" t="str">
        <f t="shared" si="463"/>
        <v>25C</v>
      </c>
      <c r="E399" s="10">
        <f>IF(ISBLANK(A398),"",E398+1)</f>
        <v>2</v>
      </c>
      <c r="F399" s="11">
        <f t="shared" ref="F399:F403" si="466">F398</f>
        <v>45479.44792</v>
      </c>
      <c r="G399" s="8">
        <v>1.97</v>
      </c>
    </row>
    <row r="400">
      <c r="A400" s="9" t="str">
        <f t="shared" si="464"/>
        <v>ERIMON</v>
      </c>
      <c r="B400" s="9" t="str">
        <f>IF(ISBLANK(A398),"",LEFT(B399,27)&amp;VALUE(RIGHT(B399,1)+1))</f>
        <v>JKS240702ERIMON_25C_sample_3</v>
      </c>
      <c r="C400" s="6" t="str">
        <f t="shared" ref="C400:D400" si="465">C399</f>
        <v>Erica monsoniana</v>
      </c>
      <c r="D400" s="6" t="str">
        <f t="shared" si="465"/>
        <v>25C</v>
      </c>
      <c r="E400" s="10">
        <f>IF(ISBLANK(A398),"",E399+1)</f>
        <v>3</v>
      </c>
      <c r="F400" s="11">
        <f t="shared" si="466"/>
        <v>45479.44792</v>
      </c>
      <c r="G400" s="8">
        <v>0.81</v>
      </c>
    </row>
    <row r="401">
      <c r="A401" s="9" t="str">
        <f t="shared" si="464"/>
        <v>ERIMON</v>
      </c>
      <c r="B401" s="9" t="str">
        <f>IF(ISBLANK(A398),"",LEFT(B400,27)&amp;VALUE(RIGHT(B400,1)+1))</f>
        <v>JKS240702ERIMON_25C_sample_4</v>
      </c>
      <c r="C401" s="6" t="str">
        <f t="shared" ref="C401:D401" si="467">C400</f>
        <v>Erica monsoniana</v>
      </c>
      <c r="D401" s="6" t="str">
        <f t="shared" si="467"/>
        <v>25C</v>
      </c>
      <c r="E401" s="10">
        <f>IF(ISBLANK(A398),"",E400+1)</f>
        <v>4</v>
      </c>
      <c r="F401" s="11">
        <f t="shared" si="466"/>
        <v>45479.44792</v>
      </c>
      <c r="G401" s="8">
        <v>1.49</v>
      </c>
    </row>
    <row r="402">
      <c r="A402" s="9" t="str">
        <f t="shared" si="464"/>
        <v>ERIMON</v>
      </c>
      <c r="B402" s="9" t="str">
        <f>IF(ISBLANK(A398),"",LEFT(B401,27)&amp;VALUE(RIGHT(B401,1)+1))</f>
        <v>JKS240702ERIMON_25C_sample_5</v>
      </c>
      <c r="C402" s="6" t="str">
        <f t="shared" ref="C402:D402" si="468">C401</f>
        <v>Erica monsoniana</v>
      </c>
      <c r="D402" s="6" t="str">
        <f t="shared" si="468"/>
        <v>25C</v>
      </c>
      <c r="E402" s="10">
        <f>IF(ISBLANK(A398),"",E401+1)</f>
        <v>5</v>
      </c>
      <c r="F402" s="11">
        <f t="shared" si="466"/>
        <v>45479.44792</v>
      </c>
      <c r="G402" s="8">
        <v>1.11</v>
      </c>
    </row>
    <row r="403">
      <c r="A403" s="12" t="str">
        <f t="shared" si="464"/>
        <v>ERIMON</v>
      </c>
      <c r="B403" s="12" t="str">
        <f>IF(ISBLANK(A398),"",LEFT(B402,27)&amp;VALUE(RIGHT(B402,1)+1))</f>
        <v>JKS240702ERIMON_25C_sample_6</v>
      </c>
      <c r="C403" s="13" t="str">
        <f t="shared" ref="C403:D403" si="469">C402</f>
        <v>Erica monsoniana</v>
      </c>
      <c r="D403" s="13" t="str">
        <f t="shared" si="469"/>
        <v>25C</v>
      </c>
      <c r="E403" s="14">
        <f>IF(ISBLANK(A398),"",E402+1)</f>
        <v>6</v>
      </c>
      <c r="F403" s="15">
        <f t="shared" si="466"/>
        <v>45479.44792</v>
      </c>
      <c r="G403" s="16">
        <v>3.07</v>
      </c>
    </row>
    <row r="404">
      <c r="A404" s="5" t="s">
        <v>9</v>
      </c>
      <c r="B404" s="6" t="str">
        <f t="array" ref="B404">IF(ISBLANK(A404),"",IF(A404="PROREP (L)",VLOOKUP(LEFT($A404,6),'Data Feed (25C)'!$A$1:$G$10,2,FALSE),IF(A404="PROREP (S)", INDEX('Data Feed (25C)'!B:B, MATCH(LEFT($A404,6), 'Data Feed (25C)'!$A$1:$A$10, 0) + 1), VLOOKUP($A404,'Data Feed (25C)'!$A$1:$G$10,2,FALSE))))</f>
        <v>JKS240702PROREP_25C_sample_1</v>
      </c>
      <c r="C404" s="6" t="str">
        <f t="array" ref="C404">IF(ISBLANK(A404),"",IF(A404="PROREP (L)",VLOOKUP(LEFT($A404,6),'Data Feed (25C)'!$A$1:$G$10,3,FALSE),IF(A404="PROREP (S)", INDEX('Data Feed (25C)'!C:C, MATCH(LEFT($A404,6), 'Data Feed (25C)'!$A$1:$A$10, 0) + 1, +1), VLOOKUP($A404,'Data Feed (25C)'!$A$1:$G$10,3,FALSE))))</f>
        <v>Protea repens</v>
      </c>
      <c r="D404" s="6" t="str">
        <f t="array" ref="D404">IF(ISBLANK(A404),"",IF(A404="PROREP (L)",VLOOKUP(LEFT($A404,6),'Data Feed (25C)'!$A$1:$G$10,4,FALSE),IF(A404="PROREP (S)", INDEX('Data Feed (25C)'!D:D, MATCH(LEFT($A404,6), 'Data Feed (25C)'!$A$1:$A$10, 0) + 1, +1), VLOOKUP($A404,'Data Feed (25C)'!$A$1:$G$10,4,FALSE))))</f>
        <v>25C</v>
      </c>
      <c r="E404" s="6">
        <f t="array" ref="E404">IF(ISBLANK(A404),"",IF(A404="PROREP (L)",VLOOKUP(LEFT($A404,6),'Data Feed (25C)'!$A$1:$G$10,7,FALSE),IF(A404="PROREP (S)", INDEX('Data Feed (25C)'!G:G, MATCH(LEFT($A404,6), 'Data Feed (25C)'!$A$1:$A$10, 0) + 1, +1), VLOOKUP($A404,'Data Feed (25C)'!$A$1:$G$10,7,FALSE))))</f>
        <v>1</v>
      </c>
      <c r="F404" s="7">
        <v>45479.44930555556</v>
      </c>
      <c r="G404" s="8">
        <v>9.68</v>
      </c>
    </row>
    <row r="405">
      <c r="A405" s="9" t="str">
        <f t="shared" ref="A405:A409" si="471">A404</f>
        <v>PROREP (S)</v>
      </c>
      <c r="B405" s="9" t="str">
        <f>IF(ISBLANK(A404),"",LEFT(B404,27)&amp;VALUE(RIGHT(B404,1)+1))</f>
        <v>JKS240702PROREP_25C_sample_2</v>
      </c>
      <c r="C405" s="6" t="str">
        <f t="shared" ref="C405:D405" si="470">C404</f>
        <v>Protea repens</v>
      </c>
      <c r="D405" s="6" t="str">
        <f t="shared" si="470"/>
        <v>25C</v>
      </c>
      <c r="E405" s="10">
        <f>IF(ISBLANK(A404),"",E404+1)</f>
        <v>2</v>
      </c>
      <c r="F405" s="11">
        <f t="shared" ref="F405:F409" si="473">F404</f>
        <v>45479.44931</v>
      </c>
      <c r="G405" s="8">
        <v>8.23</v>
      </c>
    </row>
    <row r="406">
      <c r="A406" s="9" t="str">
        <f t="shared" si="471"/>
        <v>PROREP (S)</v>
      </c>
      <c r="B406" s="9" t="str">
        <f>IF(ISBLANK(A404),"",LEFT(B405,27)&amp;VALUE(RIGHT(B405,1)+1))</f>
        <v>JKS240702PROREP_25C_sample_3</v>
      </c>
      <c r="C406" s="6" t="str">
        <f t="shared" ref="C406:D406" si="472">C405</f>
        <v>Protea repens</v>
      </c>
      <c r="D406" s="6" t="str">
        <f t="shared" si="472"/>
        <v>25C</v>
      </c>
      <c r="E406" s="10">
        <f>IF(ISBLANK(A404),"",E405+1)</f>
        <v>3</v>
      </c>
      <c r="F406" s="11">
        <f t="shared" si="473"/>
        <v>45479.44931</v>
      </c>
      <c r="G406" s="8">
        <v>5.2</v>
      </c>
    </row>
    <row r="407">
      <c r="A407" s="9" t="str">
        <f t="shared" si="471"/>
        <v>PROREP (S)</v>
      </c>
      <c r="B407" s="9" t="str">
        <f>IF(ISBLANK(A404),"",LEFT(B406,27)&amp;VALUE(RIGHT(B406,1)+1))</f>
        <v>JKS240702PROREP_25C_sample_4</v>
      </c>
      <c r="C407" s="6" t="str">
        <f t="shared" ref="C407:D407" si="474">C406</f>
        <v>Protea repens</v>
      </c>
      <c r="D407" s="6" t="str">
        <f t="shared" si="474"/>
        <v>25C</v>
      </c>
      <c r="E407" s="10">
        <f>IF(ISBLANK(A404),"",E406+1)</f>
        <v>4</v>
      </c>
      <c r="F407" s="11">
        <f t="shared" si="473"/>
        <v>45479.44931</v>
      </c>
      <c r="G407" s="8">
        <v>1.98</v>
      </c>
    </row>
    <row r="408">
      <c r="A408" s="9" t="str">
        <f t="shared" si="471"/>
        <v>PROREP (S)</v>
      </c>
      <c r="B408" s="9" t="str">
        <f>IF(ISBLANK(A404),"",LEFT(B407,27)&amp;VALUE(RIGHT(B407,1)+1))</f>
        <v>JKS240702PROREP_25C_sample_5</v>
      </c>
      <c r="C408" s="6" t="str">
        <f t="shared" ref="C408:D408" si="475">C407</f>
        <v>Protea repens</v>
      </c>
      <c r="D408" s="6" t="str">
        <f t="shared" si="475"/>
        <v>25C</v>
      </c>
      <c r="E408" s="10">
        <f>IF(ISBLANK(A404),"",E407+1)</f>
        <v>5</v>
      </c>
      <c r="F408" s="11">
        <f t="shared" si="473"/>
        <v>45479.44931</v>
      </c>
      <c r="G408" s="8">
        <v>7.82</v>
      </c>
    </row>
    <row r="409">
      <c r="A409" s="12" t="str">
        <f t="shared" si="471"/>
        <v>PROREP (S)</v>
      </c>
      <c r="B409" s="12" t="str">
        <f>IF(ISBLANK(A404),"",LEFT(B408,27)&amp;VALUE(RIGHT(B408,1)+1))</f>
        <v>JKS240702PROREP_25C_sample_6</v>
      </c>
      <c r="C409" s="13" t="str">
        <f t="shared" ref="C409:D409" si="476">C408</f>
        <v>Protea repens</v>
      </c>
      <c r="D409" s="13" t="str">
        <f t="shared" si="476"/>
        <v>25C</v>
      </c>
      <c r="E409" s="14">
        <f>IF(ISBLANK(A404),"",E408+1)</f>
        <v>6</v>
      </c>
      <c r="F409" s="15">
        <f t="shared" si="473"/>
        <v>45479.44931</v>
      </c>
      <c r="G409" s="16">
        <v>3.78</v>
      </c>
    </row>
    <row r="410">
      <c r="A410" s="5" t="s">
        <v>10</v>
      </c>
      <c r="B410" s="6" t="str">
        <f t="array" ref="B410">IF(ISBLANK(A410),"",IF(A410="PROREP (L)",VLOOKUP(LEFT($A410,6),'Data Feed (25C)'!$A$1:$G$10,2,FALSE),IF(A410="PROREP (S)", INDEX('Data Feed (25C)'!B:B, MATCH(LEFT($A410,6), 'Data Feed (25C)'!$A$1:$A$10, 0) + 1), VLOOKUP($A410,'Data Feed (25C)'!$A$1:$G$10,2,FALSE))))</f>
        <v>JKS240702CANCON_25C_sample_1</v>
      </c>
      <c r="C410" s="6" t="str">
        <f t="array" ref="C410">IF(ISBLANK(A410),"",IF(A410="PROREP (L)",VLOOKUP(LEFT($A410,6),'Data Feed (25C)'!$A$1:$G$10,3,FALSE),IF(A410="PROREP (S)", INDEX('Data Feed (25C)'!C:C, MATCH(LEFT($A410,6), 'Data Feed (25C)'!$A$1:$A$10, 0) + 1, +1), VLOOKUP($A410,'Data Feed (25C)'!$A$1:$G$10,3,FALSE))))</f>
        <v>Cannomois congesta</v>
      </c>
      <c r="D410" s="6" t="str">
        <f t="array" ref="D410">IF(ISBLANK(A410),"",IF(A410="PROREP (L)",VLOOKUP(LEFT($A410,6),'Data Feed (25C)'!$A$1:$G$10,4,FALSE),IF(A410="PROREP (S)", INDEX('Data Feed (25C)'!D:D, MATCH(LEFT($A410,6), 'Data Feed (25C)'!$A$1:$A$10, 0) + 1, +1), VLOOKUP($A410,'Data Feed (25C)'!$A$1:$G$10,4,FALSE))))</f>
        <v>25C</v>
      </c>
      <c r="E410" s="6">
        <f t="array" ref="E410">IF(ISBLANK(A410),"",IF(A410="PROREP (L)",VLOOKUP(LEFT($A410,6),'Data Feed (25C)'!$A$1:$G$10,7,FALSE),IF(A410="PROREP (S)", INDEX('Data Feed (25C)'!G:G, MATCH(LEFT($A410,6), 'Data Feed (25C)'!$A$1:$A$10, 0) + 1, +1), VLOOKUP($A410,'Data Feed (25C)'!$A$1:$G$10,7,FALSE))))</f>
        <v>1</v>
      </c>
      <c r="F410" s="7">
        <v>45479.45138888889</v>
      </c>
      <c r="G410" s="8">
        <v>0.55</v>
      </c>
    </row>
    <row r="411">
      <c r="A411" s="9" t="str">
        <f t="shared" ref="A411:A415" si="478">A410</f>
        <v>CANCON</v>
      </c>
      <c r="B411" s="9" t="str">
        <f>IF(ISBLANK(A410),"",LEFT(B410,27)&amp;VALUE(RIGHT(B410,1)+1))</f>
        <v>JKS240702CANCON_25C_sample_2</v>
      </c>
      <c r="C411" s="6" t="str">
        <f t="shared" ref="C411:D411" si="477">C410</f>
        <v>Cannomois congesta</v>
      </c>
      <c r="D411" s="6" t="str">
        <f t="shared" si="477"/>
        <v>25C</v>
      </c>
      <c r="E411" s="10">
        <f>IF(ISBLANK(A410),"",E410+1)</f>
        <v>2</v>
      </c>
      <c r="F411" s="11">
        <f t="shared" ref="F411:F415" si="480">F410</f>
        <v>45479.45139</v>
      </c>
      <c r="G411" s="8">
        <v>0.88</v>
      </c>
    </row>
    <row r="412">
      <c r="A412" s="9" t="str">
        <f t="shared" si="478"/>
        <v>CANCON</v>
      </c>
      <c r="B412" s="9" t="str">
        <f>IF(ISBLANK(A410),"",LEFT(B411,27)&amp;VALUE(RIGHT(B411,1)+1))</f>
        <v>JKS240702CANCON_25C_sample_3</v>
      </c>
      <c r="C412" s="6" t="str">
        <f t="shared" ref="C412:D412" si="479">C411</f>
        <v>Cannomois congesta</v>
      </c>
      <c r="D412" s="6" t="str">
        <f t="shared" si="479"/>
        <v>25C</v>
      </c>
      <c r="E412" s="10">
        <f>IF(ISBLANK(A410),"",E411+1)</f>
        <v>3</v>
      </c>
      <c r="F412" s="11">
        <f t="shared" si="480"/>
        <v>45479.45139</v>
      </c>
      <c r="G412" s="8">
        <v>1.36</v>
      </c>
    </row>
    <row r="413">
      <c r="A413" s="9" t="str">
        <f t="shared" si="478"/>
        <v>CANCON</v>
      </c>
      <c r="B413" s="9" t="str">
        <f>IF(ISBLANK(A410),"",LEFT(B412,27)&amp;VALUE(RIGHT(B412,1)+1))</f>
        <v>JKS240702CANCON_25C_sample_4</v>
      </c>
      <c r="C413" s="6" t="str">
        <f t="shared" ref="C413:D413" si="481">C412</f>
        <v>Cannomois congesta</v>
      </c>
      <c r="D413" s="6" t="str">
        <f t="shared" si="481"/>
        <v>25C</v>
      </c>
      <c r="E413" s="10">
        <f>IF(ISBLANK(A410),"",E412+1)</f>
        <v>4</v>
      </c>
      <c r="F413" s="11">
        <f t="shared" si="480"/>
        <v>45479.45139</v>
      </c>
      <c r="G413" s="8">
        <v>0.73</v>
      </c>
    </row>
    <row r="414">
      <c r="A414" s="9" t="str">
        <f t="shared" si="478"/>
        <v>CANCON</v>
      </c>
      <c r="B414" s="9" t="str">
        <f>IF(ISBLANK(A410),"",LEFT(B413,27)&amp;VALUE(RIGHT(B413,1)+1))</f>
        <v>JKS240702CANCON_25C_sample_5</v>
      </c>
      <c r="C414" s="6" t="str">
        <f t="shared" ref="C414:D414" si="482">C413</f>
        <v>Cannomois congesta</v>
      </c>
      <c r="D414" s="6" t="str">
        <f t="shared" si="482"/>
        <v>25C</v>
      </c>
      <c r="E414" s="10">
        <f>IF(ISBLANK(A410),"",E413+1)</f>
        <v>5</v>
      </c>
      <c r="F414" s="11">
        <f t="shared" si="480"/>
        <v>45479.45139</v>
      </c>
      <c r="G414" s="8">
        <v>2.03</v>
      </c>
    </row>
    <row r="415">
      <c r="A415" s="12" t="str">
        <f t="shared" si="478"/>
        <v>CANCON</v>
      </c>
      <c r="B415" s="12" t="str">
        <f>IF(ISBLANK(A410),"",LEFT(B414,27)&amp;VALUE(RIGHT(B414,1)+1))</f>
        <v>JKS240702CANCON_25C_sample_6</v>
      </c>
      <c r="C415" s="13" t="str">
        <f t="shared" ref="C415:D415" si="483">C414</f>
        <v>Cannomois congesta</v>
      </c>
      <c r="D415" s="13" t="str">
        <f t="shared" si="483"/>
        <v>25C</v>
      </c>
      <c r="E415" s="14">
        <f>IF(ISBLANK(A410),"",E414+1)</f>
        <v>6</v>
      </c>
      <c r="F415" s="15">
        <f t="shared" si="480"/>
        <v>45479.45139</v>
      </c>
      <c r="G415" s="16">
        <v>1.83</v>
      </c>
    </row>
    <row r="416">
      <c r="A416" s="5" t="s">
        <v>7</v>
      </c>
      <c r="B416" s="6" t="str">
        <f t="array" ref="B416">IF(ISBLANK(A416),"",IF(A416="PROREP (L)",VLOOKUP(LEFT($A416,6),'Data Feed (25C)'!$A$1:$G$10,2,FALSE),IF(A416="PROREP (S)", INDEX('Data Feed (25C)'!B:B, MATCH(LEFT($A416,6), 'Data Feed (25C)'!$A$1:$A$10, 0) + 1), VLOOKUP($A416,'Data Feed (25C)'!$A$1:$G$10,2,FALSE))))</f>
        <v>JKS240702ERIMON_25C_sample_1</v>
      </c>
      <c r="C416" s="6" t="str">
        <f t="array" ref="C416">IF(ISBLANK(A416),"",IF(A416="PROREP (L)",VLOOKUP(LEFT($A416,6),'Data Feed (25C)'!$A$1:$G$10,3,FALSE),IF(A416="PROREP (S)", INDEX('Data Feed (25C)'!C:C, MATCH(LEFT($A416,6), 'Data Feed (25C)'!$A$1:$A$10, 0) + 1, +1), VLOOKUP($A416,'Data Feed (25C)'!$A$1:$G$10,3,FALSE))))</f>
        <v>Erica monsoniana</v>
      </c>
      <c r="D416" s="6" t="str">
        <f t="array" ref="D416">IF(ISBLANK(A416),"",IF(A416="PROREP (L)",VLOOKUP(LEFT($A416,6),'Data Feed (25C)'!$A$1:$G$10,4,FALSE),IF(A416="PROREP (S)", INDEX('Data Feed (25C)'!D:D, MATCH(LEFT($A416,6), 'Data Feed (25C)'!$A$1:$A$10, 0) + 1, +1), VLOOKUP($A416,'Data Feed (25C)'!$A$1:$G$10,4,FALSE))))</f>
        <v>25C</v>
      </c>
      <c r="E416" s="6">
        <f t="array" ref="E416">IF(ISBLANK(A416),"",IF(A416="PROREP (L)",VLOOKUP(LEFT($A416,6),'Data Feed (25C)'!$A$1:$G$10,7,FALSE),IF(A416="PROREP (S)", INDEX('Data Feed (25C)'!G:G, MATCH(LEFT($A416,6), 'Data Feed (25C)'!$A$1:$A$10, 0) + 1, +1), VLOOKUP($A416,'Data Feed (25C)'!$A$1:$G$10,7,FALSE))))</f>
        <v>1</v>
      </c>
      <c r="F416" s="7">
        <v>45479.78333333333</v>
      </c>
      <c r="G416" s="8">
        <v>0.48</v>
      </c>
    </row>
    <row r="417">
      <c r="A417" s="9" t="str">
        <f t="shared" ref="A417:A421" si="485">A416</f>
        <v>ERIMON</v>
      </c>
      <c r="B417" s="9" t="str">
        <f>IF(ISBLANK(A416),"",LEFT(B416,27)&amp;VALUE(RIGHT(B416,1)+1))</f>
        <v>JKS240702ERIMON_25C_sample_2</v>
      </c>
      <c r="C417" s="6" t="str">
        <f t="shared" ref="C417:D417" si="484">C416</f>
        <v>Erica monsoniana</v>
      </c>
      <c r="D417" s="6" t="str">
        <f t="shared" si="484"/>
        <v>25C</v>
      </c>
      <c r="E417" s="10">
        <f>IF(ISBLANK(A416),"",E416+1)</f>
        <v>2</v>
      </c>
      <c r="F417" s="11">
        <f t="shared" ref="F417:F421" si="487">F416</f>
        <v>45479.78333</v>
      </c>
      <c r="G417" s="8">
        <v>1.95</v>
      </c>
    </row>
    <row r="418">
      <c r="A418" s="9" t="str">
        <f t="shared" si="485"/>
        <v>ERIMON</v>
      </c>
      <c r="B418" s="9" t="str">
        <f>IF(ISBLANK(A416),"",LEFT(B417,27)&amp;VALUE(RIGHT(B417,1)+1))</f>
        <v>JKS240702ERIMON_25C_sample_3</v>
      </c>
      <c r="C418" s="6" t="str">
        <f t="shared" ref="C418:D418" si="486">C417</f>
        <v>Erica monsoniana</v>
      </c>
      <c r="D418" s="6" t="str">
        <f t="shared" si="486"/>
        <v>25C</v>
      </c>
      <c r="E418" s="10">
        <f>IF(ISBLANK(A416),"",E417+1)</f>
        <v>3</v>
      </c>
      <c r="F418" s="11">
        <f t="shared" si="487"/>
        <v>45479.78333</v>
      </c>
      <c r="G418" s="8">
        <v>0.81</v>
      </c>
    </row>
    <row r="419">
      <c r="A419" s="9" t="str">
        <f t="shared" si="485"/>
        <v>ERIMON</v>
      </c>
      <c r="B419" s="9" t="str">
        <f>IF(ISBLANK(A416),"",LEFT(B418,27)&amp;VALUE(RIGHT(B418,1)+1))</f>
        <v>JKS240702ERIMON_25C_sample_4</v>
      </c>
      <c r="C419" s="6" t="str">
        <f t="shared" ref="C419:D419" si="488">C418</f>
        <v>Erica monsoniana</v>
      </c>
      <c r="D419" s="6" t="str">
        <f t="shared" si="488"/>
        <v>25C</v>
      </c>
      <c r="E419" s="10">
        <f>IF(ISBLANK(A416),"",E418+1)</f>
        <v>4</v>
      </c>
      <c r="F419" s="11">
        <f t="shared" si="487"/>
        <v>45479.78333</v>
      </c>
      <c r="G419" s="8">
        <v>1.47</v>
      </c>
    </row>
    <row r="420">
      <c r="A420" s="9" t="str">
        <f t="shared" si="485"/>
        <v>ERIMON</v>
      </c>
      <c r="B420" s="9" t="str">
        <f>IF(ISBLANK(A416),"",LEFT(B419,27)&amp;VALUE(RIGHT(B419,1)+1))</f>
        <v>JKS240702ERIMON_25C_sample_5</v>
      </c>
      <c r="C420" s="6" t="str">
        <f t="shared" ref="C420:D420" si="489">C419</f>
        <v>Erica monsoniana</v>
      </c>
      <c r="D420" s="6" t="str">
        <f t="shared" si="489"/>
        <v>25C</v>
      </c>
      <c r="E420" s="10">
        <f>IF(ISBLANK(A416),"",E419+1)</f>
        <v>5</v>
      </c>
      <c r="F420" s="11">
        <f t="shared" si="487"/>
        <v>45479.78333</v>
      </c>
      <c r="G420" s="8">
        <v>1.12</v>
      </c>
    </row>
    <row r="421">
      <c r="A421" s="12" t="str">
        <f t="shared" si="485"/>
        <v>ERIMON</v>
      </c>
      <c r="B421" s="12" t="str">
        <f>IF(ISBLANK(A416),"",LEFT(B420,27)&amp;VALUE(RIGHT(B420,1)+1))</f>
        <v>JKS240702ERIMON_25C_sample_6</v>
      </c>
      <c r="C421" s="13" t="str">
        <f t="shared" ref="C421:D421" si="490">C420</f>
        <v>Erica monsoniana</v>
      </c>
      <c r="D421" s="13" t="str">
        <f t="shared" si="490"/>
        <v>25C</v>
      </c>
      <c r="E421" s="14">
        <f>IF(ISBLANK(A416),"",E420+1)</f>
        <v>6</v>
      </c>
      <c r="F421" s="15">
        <f t="shared" si="487"/>
        <v>45479.78333</v>
      </c>
      <c r="G421" s="16">
        <v>3.02</v>
      </c>
    </row>
    <row r="422">
      <c r="A422" s="5" t="s">
        <v>9</v>
      </c>
      <c r="B422" s="6" t="str">
        <f t="array" ref="B422">IF(ISBLANK(A422),"",IF(A422="PROREP (L)",VLOOKUP(LEFT($A422,6),'Data Feed (25C)'!$A$1:$G$10,2,FALSE),IF(A422="PROREP (S)", INDEX('Data Feed (25C)'!B:B, MATCH(LEFT($A422,6), 'Data Feed (25C)'!$A$1:$A$10, 0) + 1), VLOOKUP($A422,'Data Feed (25C)'!$A$1:$G$10,2,FALSE))))</f>
        <v>JKS240702PROREP_25C_sample_1</v>
      </c>
      <c r="C422" s="6" t="str">
        <f t="array" ref="C422">IF(ISBLANK(A422),"",IF(A422="PROREP (L)",VLOOKUP(LEFT($A422,6),'Data Feed (25C)'!$A$1:$G$10,3,FALSE),IF(A422="PROREP (S)", INDEX('Data Feed (25C)'!C:C, MATCH(LEFT($A422,6), 'Data Feed (25C)'!$A$1:$A$10, 0) + 1, +1), VLOOKUP($A422,'Data Feed (25C)'!$A$1:$G$10,3,FALSE))))</f>
        <v>Protea repens</v>
      </c>
      <c r="D422" s="6" t="str">
        <f t="array" ref="D422">IF(ISBLANK(A422),"",IF(A422="PROREP (L)",VLOOKUP(LEFT($A422,6),'Data Feed (25C)'!$A$1:$G$10,4,FALSE),IF(A422="PROREP (S)", INDEX('Data Feed (25C)'!D:D, MATCH(LEFT($A422,6), 'Data Feed (25C)'!$A$1:$A$10, 0) + 1, +1), VLOOKUP($A422,'Data Feed (25C)'!$A$1:$G$10,4,FALSE))))</f>
        <v>25C</v>
      </c>
      <c r="E422" s="6">
        <f t="array" ref="E422">IF(ISBLANK(A422),"",IF(A422="PROREP (L)",VLOOKUP(LEFT($A422,6),'Data Feed (25C)'!$A$1:$G$10,7,FALSE),IF(A422="PROREP (S)", INDEX('Data Feed (25C)'!G:G, MATCH(LEFT($A422,6), 'Data Feed (25C)'!$A$1:$A$10, 0) + 1, +1), VLOOKUP($A422,'Data Feed (25C)'!$A$1:$G$10,7,FALSE))))</f>
        <v>1</v>
      </c>
      <c r="F422" s="7">
        <v>45479.78472222222</v>
      </c>
      <c r="G422" s="8">
        <v>9.04</v>
      </c>
    </row>
    <row r="423">
      <c r="A423" s="9" t="str">
        <f t="shared" ref="A423:A427" si="492">A422</f>
        <v>PROREP (S)</v>
      </c>
      <c r="B423" s="9" t="str">
        <f>IF(ISBLANK(A422),"",LEFT(B422,27)&amp;VALUE(RIGHT(B422,1)+1))</f>
        <v>JKS240702PROREP_25C_sample_2</v>
      </c>
      <c r="C423" s="6" t="str">
        <f t="shared" ref="C423:D423" si="491">C422</f>
        <v>Protea repens</v>
      </c>
      <c r="D423" s="6" t="str">
        <f t="shared" si="491"/>
        <v>25C</v>
      </c>
      <c r="E423" s="10">
        <f>IF(ISBLANK(A422),"",E422+1)</f>
        <v>2</v>
      </c>
      <c r="F423" s="11">
        <f t="shared" ref="F423:F427" si="494">F422</f>
        <v>45479.78472</v>
      </c>
      <c r="G423" s="8">
        <v>7.86</v>
      </c>
    </row>
    <row r="424">
      <c r="A424" s="9" t="str">
        <f t="shared" si="492"/>
        <v>PROREP (S)</v>
      </c>
      <c r="B424" s="9" t="str">
        <f>IF(ISBLANK(A422),"",LEFT(B423,27)&amp;VALUE(RIGHT(B423,1)+1))</f>
        <v>JKS240702PROREP_25C_sample_3</v>
      </c>
      <c r="C424" s="6" t="str">
        <f t="shared" ref="C424:D424" si="493">C423</f>
        <v>Protea repens</v>
      </c>
      <c r="D424" s="6" t="str">
        <f t="shared" si="493"/>
        <v>25C</v>
      </c>
      <c r="E424" s="10">
        <f>IF(ISBLANK(A422),"",E423+1)</f>
        <v>3</v>
      </c>
      <c r="F424" s="11">
        <f t="shared" si="494"/>
        <v>45479.78472</v>
      </c>
      <c r="G424" s="8">
        <v>5.14</v>
      </c>
    </row>
    <row r="425">
      <c r="A425" s="9" t="str">
        <f t="shared" si="492"/>
        <v>PROREP (S)</v>
      </c>
      <c r="B425" s="9" t="str">
        <f>IF(ISBLANK(A422),"",LEFT(B424,27)&amp;VALUE(RIGHT(B424,1)+1))</f>
        <v>JKS240702PROREP_25C_sample_4</v>
      </c>
      <c r="C425" s="6" t="str">
        <f t="shared" ref="C425:D425" si="495">C424</f>
        <v>Protea repens</v>
      </c>
      <c r="D425" s="6" t="str">
        <f t="shared" si="495"/>
        <v>25C</v>
      </c>
      <c r="E425" s="10">
        <f>IF(ISBLANK(A422),"",E424+1)</f>
        <v>4</v>
      </c>
      <c r="F425" s="11">
        <f t="shared" si="494"/>
        <v>45479.78472</v>
      </c>
      <c r="G425" s="8">
        <v>1.89</v>
      </c>
    </row>
    <row r="426">
      <c r="A426" s="9" t="str">
        <f t="shared" si="492"/>
        <v>PROREP (S)</v>
      </c>
      <c r="B426" s="9" t="str">
        <f>IF(ISBLANK(A422),"",LEFT(B425,27)&amp;VALUE(RIGHT(B425,1)+1))</f>
        <v>JKS240702PROREP_25C_sample_5</v>
      </c>
      <c r="C426" s="6" t="str">
        <f t="shared" ref="C426:D426" si="496">C425</f>
        <v>Protea repens</v>
      </c>
      <c r="D426" s="6" t="str">
        <f t="shared" si="496"/>
        <v>25C</v>
      </c>
      <c r="E426" s="10">
        <f>IF(ISBLANK(A422),"",E425+1)</f>
        <v>5</v>
      </c>
      <c r="F426" s="11">
        <f t="shared" si="494"/>
        <v>45479.78472</v>
      </c>
      <c r="G426" s="8">
        <v>7.25</v>
      </c>
    </row>
    <row r="427">
      <c r="A427" s="12" t="str">
        <f t="shared" si="492"/>
        <v>PROREP (S)</v>
      </c>
      <c r="B427" s="12" t="str">
        <f>IF(ISBLANK(A422),"",LEFT(B426,27)&amp;VALUE(RIGHT(B426,1)+1))</f>
        <v>JKS240702PROREP_25C_sample_6</v>
      </c>
      <c r="C427" s="13" t="str">
        <f t="shared" ref="C427:D427" si="497">C426</f>
        <v>Protea repens</v>
      </c>
      <c r="D427" s="13" t="str">
        <f t="shared" si="497"/>
        <v>25C</v>
      </c>
      <c r="E427" s="14">
        <f>IF(ISBLANK(A422),"",E426+1)</f>
        <v>6</v>
      </c>
      <c r="F427" s="15">
        <f t="shared" si="494"/>
        <v>45479.78472</v>
      </c>
      <c r="G427" s="16">
        <v>3.59</v>
      </c>
    </row>
    <row r="428">
      <c r="A428" s="5" t="s">
        <v>10</v>
      </c>
      <c r="B428" s="6" t="str">
        <f t="array" ref="B428">IF(ISBLANK(A428),"",IF(A428="PROREP (L)",VLOOKUP(LEFT($A428,6),'Data Feed (25C)'!$A$1:$G$10,2,FALSE),IF(A428="PROREP (S)", INDEX('Data Feed (25C)'!B:B, MATCH(LEFT($A428,6), 'Data Feed (25C)'!$A$1:$A$10, 0) + 1), VLOOKUP($A428,'Data Feed (25C)'!$A$1:$G$10,2,FALSE))))</f>
        <v>JKS240702CANCON_25C_sample_1</v>
      </c>
      <c r="C428" s="6" t="str">
        <f t="array" ref="C428">IF(ISBLANK(A428),"",IF(A428="PROREP (L)",VLOOKUP(LEFT($A428,6),'Data Feed (25C)'!$A$1:$G$10,3,FALSE),IF(A428="PROREP (S)", INDEX('Data Feed (25C)'!C:C, MATCH(LEFT($A428,6), 'Data Feed (25C)'!$A$1:$A$10, 0) + 1, +1), VLOOKUP($A428,'Data Feed (25C)'!$A$1:$G$10,3,FALSE))))</f>
        <v>Cannomois congesta</v>
      </c>
      <c r="D428" s="6" t="str">
        <f t="array" ref="D428">IF(ISBLANK(A428),"",IF(A428="PROREP (L)",VLOOKUP(LEFT($A428,6),'Data Feed (25C)'!$A$1:$G$10,4,FALSE),IF(A428="PROREP (S)", INDEX('Data Feed (25C)'!D:D, MATCH(LEFT($A428,6), 'Data Feed (25C)'!$A$1:$A$10, 0) + 1, +1), VLOOKUP($A428,'Data Feed (25C)'!$A$1:$G$10,4,FALSE))))</f>
        <v>25C</v>
      </c>
      <c r="E428" s="6">
        <f t="array" ref="E428">IF(ISBLANK(A428),"",IF(A428="PROREP (L)",VLOOKUP(LEFT($A428,6),'Data Feed (25C)'!$A$1:$G$10,7,FALSE),IF(A428="PROREP (S)", INDEX('Data Feed (25C)'!G:G, MATCH(LEFT($A428,6), 'Data Feed (25C)'!$A$1:$A$10, 0) + 1, +1), VLOOKUP($A428,'Data Feed (25C)'!$A$1:$G$10,7,FALSE))))</f>
        <v>1</v>
      </c>
      <c r="F428" s="7">
        <v>45479.78611111111</v>
      </c>
      <c r="G428" s="8">
        <v>0.51</v>
      </c>
    </row>
    <row r="429">
      <c r="A429" s="9" t="str">
        <f t="shared" ref="A429:A433" si="499">A428</f>
        <v>CANCON</v>
      </c>
      <c r="B429" s="9" t="str">
        <f>IF(ISBLANK(A428),"",LEFT(B428,27)&amp;VALUE(RIGHT(B428,1)+1))</f>
        <v>JKS240702CANCON_25C_sample_2</v>
      </c>
      <c r="C429" s="6" t="str">
        <f t="shared" ref="C429:D429" si="498">C428</f>
        <v>Cannomois congesta</v>
      </c>
      <c r="D429" s="6" t="str">
        <f t="shared" si="498"/>
        <v>25C</v>
      </c>
      <c r="E429" s="10">
        <f>IF(ISBLANK(A428),"",E428+1)</f>
        <v>2</v>
      </c>
      <c r="F429" s="11">
        <f t="shared" ref="F429:F433" si="501">F428</f>
        <v>45479.78611</v>
      </c>
      <c r="G429" s="8">
        <v>0.8</v>
      </c>
    </row>
    <row r="430">
      <c r="A430" s="9" t="str">
        <f t="shared" si="499"/>
        <v>CANCON</v>
      </c>
      <c r="B430" s="9" t="str">
        <f>IF(ISBLANK(A428),"",LEFT(B429,27)&amp;VALUE(RIGHT(B429,1)+1))</f>
        <v>JKS240702CANCON_25C_sample_3</v>
      </c>
      <c r="C430" s="6" t="str">
        <f t="shared" ref="C430:D430" si="500">C429</f>
        <v>Cannomois congesta</v>
      </c>
      <c r="D430" s="6" t="str">
        <f t="shared" si="500"/>
        <v>25C</v>
      </c>
      <c r="E430" s="10">
        <f>IF(ISBLANK(A428),"",E429+1)</f>
        <v>3</v>
      </c>
      <c r="F430" s="11">
        <f t="shared" si="501"/>
        <v>45479.78611</v>
      </c>
      <c r="G430" s="8">
        <v>1.33</v>
      </c>
    </row>
    <row r="431">
      <c r="A431" s="9" t="str">
        <f t="shared" si="499"/>
        <v>CANCON</v>
      </c>
      <c r="B431" s="9" t="str">
        <f>IF(ISBLANK(A428),"",LEFT(B430,27)&amp;VALUE(RIGHT(B430,1)+1))</f>
        <v>JKS240702CANCON_25C_sample_4</v>
      </c>
      <c r="C431" s="6" t="str">
        <f t="shared" ref="C431:D431" si="502">C430</f>
        <v>Cannomois congesta</v>
      </c>
      <c r="D431" s="6" t="str">
        <f t="shared" si="502"/>
        <v>25C</v>
      </c>
      <c r="E431" s="10">
        <f>IF(ISBLANK(A428),"",E430+1)</f>
        <v>4</v>
      </c>
      <c r="F431" s="11">
        <f t="shared" si="501"/>
        <v>45479.78611</v>
      </c>
      <c r="G431" s="8">
        <v>0.6</v>
      </c>
    </row>
    <row r="432">
      <c r="A432" s="9" t="str">
        <f t="shared" si="499"/>
        <v>CANCON</v>
      </c>
      <c r="B432" s="9" t="str">
        <f>IF(ISBLANK(A428),"",LEFT(B431,27)&amp;VALUE(RIGHT(B431,1)+1))</f>
        <v>JKS240702CANCON_25C_sample_5</v>
      </c>
      <c r="C432" s="6" t="str">
        <f t="shared" ref="C432:D432" si="503">C431</f>
        <v>Cannomois congesta</v>
      </c>
      <c r="D432" s="6" t="str">
        <f t="shared" si="503"/>
        <v>25C</v>
      </c>
      <c r="E432" s="10">
        <f>IF(ISBLANK(A428),"",E431+1)</f>
        <v>5</v>
      </c>
      <c r="F432" s="11">
        <f t="shared" si="501"/>
        <v>45479.78611</v>
      </c>
      <c r="G432" s="8">
        <v>1.99</v>
      </c>
    </row>
    <row r="433">
      <c r="A433" s="12" t="str">
        <f t="shared" si="499"/>
        <v>CANCON</v>
      </c>
      <c r="B433" s="12" t="str">
        <f>IF(ISBLANK(A428),"",LEFT(B432,27)&amp;VALUE(RIGHT(B432,1)+1))</f>
        <v>JKS240702CANCON_25C_sample_6</v>
      </c>
      <c r="C433" s="13" t="str">
        <f t="shared" ref="C433:D433" si="504">C432</f>
        <v>Cannomois congesta</v>
      </c>
      <c r="D433" s="13" t="str">
        <f t="shared" si="504"/>
        <v>25C</v>
      </c>
      <c r="E433" s="14">
        <f>IF(ISBLANK(A428),"",E432+1)</f>
        <v>6</v>
      </c>
      <c r="F433" s="15">
        <f t="shared" si="501"/>
        <v>45479.78611</v>
      </c>
      <c r="G433" s="16">
        <v>1.73</v>
      </c>
    </row>
    <row r="434">
      <c r="A434" s="5" t="s">
        <v>9</v>
      </c>
      <c r="B434" s="6" t="str">
        <f t="array" ref="B434">IF(ISBLANK(A434),"",IF(A434="PROREP (L)",VLOOKUP(LEFT($A434,6),'Data Feed (25C)'!$A$1:$G$10,2,FALSE),IF(A434="PROREP (S)", INDEX('Data Feed (25C)'!B:B, MATCH(LEFT($A434,6), 'Data Feed (25C)'!$A$1:$A$10, 0) + 1), VLOOKUP($A434,'Data Feed (25C)'!$A$1:$G$10,2,FALSE))))</f>
        <v>JKS240702PROREP_25C_sample_1</v>
      </c>
      <c r="C434" s="6" t="str">
        <f t="array" ref="C434">IF(ISBLANK(A434),"",IF(A434="PROREP (L)",VLOOKUP(LEFT($A434,6),'Data Feed (25C)'!$A$1:$G$10,3,FALSE),IF(A434="PROREP (S)", INDEX('Data Feed (25C)'!C:C, MATCH(LEFT($A434,6), 'Data Feed (25C)'!$A$1:$A$10, 0) + 1, +1), VLOOKUP($A434,'Data Feed (25C)'!$A$1:$G$10,3,FALSE))))</f>
        <v>Protea repens</v>
      </c>
      <c r="D434" s="6" t="str">
        <f t="array" ref="D434">IF(ISBLANK(A434),"",IF(A434="PROREP (L)",VLOOKUP(LEFT($A434,6),'Data Feed (25C)'!$A$1:$G$10,4,FALSE),IF(A434="PROREP (S)", INDEX('Data Feed (25C)'!D:D, MATCH(LEFT($A434,6), 'Data Feed (25C)'!$A$1:$A$10, 0) + 1, +1), VLOOKUP($A434,'Data Feed (25C)'!$A$1:$G$10,4,FALSE))))</f>
        <v>25C</v>
      </c>
      <c r="E434" s="6">
        <f t="array" ref="E434">IF(ISBLANK(A434),"",IF(A434="PROREP (L)",VLOOKUP(LEFT($A434,6),'Data Feed (25C)'!$A$1:$G$10,7,FALSE),IF(A434="PROREP (S)", INDEX('Data Feed (25C)'!G:G, MATCH(LEFT($A434,6), 'Data Feed (25C)'!$A$1:$A$10, 0) + 1, +1), VLOOKUP($A434,'Data Feed (25C)'!$A$1:$G$10,7,FALSE))))</f>
        <v>1</v>
      </c>
      <c r="F434" s="7">
        <v>45480.48472222222</v>
      </c>
      <c r="G434" s="8">
        <v>7.76</v>
      </c>
    </row>
    <row r="435">
      <c r="A435" s="9" t="str">
        <f t="shared" ref="A435:A439" si="506">A434</f>
        <v>PROREP (S)</v>
      </c>
      <c r="B435" s="9" t="str">
        <f>IF(ISBLANK(A434),"",LEFT(B434,27)&amp;VALUE(RIGHT(B434,1)+1))</f>
        <v>JKS240702PROREP_25C_sample_2</v>
      </c>
      <c r="C435" s="6" t="str">
        <f t="shared" ref="C435:D435" si="505">C434</f>
        <v>Protea repens</v>
      </c>
      <c r="D435" s="6" t="str">
        <f t="shared" si="505"/>
        <v>25C</v>
      </c>
      <c r="E435" s="10">
        <f>IF(ISBLANK(A434),"",E434+1)</f>
        <v>2</v>
      </c>
      <c r="F435" s="11">
        <f t="shared" ref="F435:F439" si="508">F434</f>
        <v>45480.48472</v>
      </c>
      <c r="G435" s="8">
        <v>7.06</v>
      </c>
    </row>
    <row r="436">
      <c r="A436" s="9" t="str">
        <f t="shared" si="506"/>
        <v>PROREP (S)</v>
      </c>
      <c r="B436" s="9" t="str">
        <f>IF(ISBLANK(A434),"",LEFT(B435,27)&amp;VALUE(RIGHT(B435,1)+1))</f>
        <v>JKS240702PROREP_25C_sample_3</v>
      </c>
      <c r="C436" s="6" t="str">
        <f t="shared" ref="C436:D436" si="507">C435</f>
        <v>Protea repens</v>
      </c>
      <c r="D436" s="6" t="str">
        <f t="shared" si="507"/>
        <v>25C</v>
      </c>
      <c r="E436" s="10">
        <f>IF(ISBLANK(A434),"",E435+1)</f>
        <v>3</v>
      </c>
      <c r="F436" s="11">
        <f t="shared" si="508"/>
        <v>45480.48472</v>
      </c>
      <c r="G436" s="8">
        <v>5.02</v>
      </c>
    </row>
    <row r="437">
      <c r="A437" s="9" t="str">
        <f t="shared" si="506"/>
        <v>PROREP (S)</v>
      </c>
      <c r="B437" s="9" t="str">
        <f>IF(ISBLANK(A434),"",LEFT(B436,27)&amp;VALUE(RIGHT(B436,1)+1))</f>
        <v>JKS240702PROREP_25C_sample_4</v>
      </c>
      <c r="C437" s="6" t="str">
        <f t="shared" ref="C437:D437" si="509">C436</f>
        <v>Protea repens</v>
      </c>
      <c r="D437" s="6" t="str">
        <f t="shared" si="509"/>
        <v>25C</v>
      </c>
      <c r="E437" s="10">
        <f>IF(ISBLANK(A434),"",E436+1)</f>
        <v>4</v>
      </c>
      <c r="F437" s="11">
        <f t="shared" si="508"/>
        <v>45480.48472</v>
      </c>
      <c r="G437" s="8">
        <v>1.6</v>
      </c>
    </row>
    <row r="438">
      <c r="A438" s="9" t="str">
        <f t="shared" si="506"/>
        <v>PROREP (S)</v>
      </c>
      <c r="B438" s="9" t="str">
        <f>IF(ISBLANK(A434),"",LEFT(B437,27)&amp;VALUE(RIGHT(B437,1)+1))</f>
        <v>JKS240702PROREP_25C_sample_5</v>
      </c>
      <c r="C438" s="6" t="str">
        <f t="shared" ref="C438:D438" si="510">C437</f>
        <v>Protea repens</v>
      </c>
      <c r="D438" s="6" t="str">
        <f t="shared" si="510"/>
        <v>25C</v>
      </c>
      <c r="E438" s="10">
        <f>IF(ISBLANK(A434),"",E437+1)</f>
        <v>5</v>
      </c>
      <c r="F438" s="11">
        <f t="shared" si="508"/>
        <v>45480.48472</v>
      </c>
      <c r="G438" s="8">
        <v>5.61</v>
      </c>
    </row>
    <row r="439">
      <c r="A439" s="12" t="str">
        <f t="shared" si="506"/>
        <v>PROREP (S)</v>
      </c>
      <c r="B439" s="12" t="str">
        <f>IF(ISBLANK(A434),"",LEFT(B438,27)&amp;VALUE(RIGHT(B438,1)+1))</f>
        <v>JKS240702PROREP_25C_sample_6</v>
      </c>
      <c r="C439" s="13" t="str">
        <f t="shared" ref="C439:D439" si="511">C438</f>
        <v>Protea repens</v>
      </c>
      <c r="D439" s="13" t="str">
        <f t="shared" si="511"/>
        <v>25C</v>
      </c>
      <c r="E439" s="14">
        <f>IF(ISBLANK(A434),"",E438+1)</f>
        <v>6</v>
      </c>
      <c r="F439" s="15">
        <f t="shared" si="508"/>
        <v>45480.48472</v>
      </c>
      <c r="G439" s="16">
        <v>3.16</v>
      </c>
    </row>
    <row r="440">
      <c r="A440" s="5" t="s">
        <v>10</v>
      </c>
      <c r="B440" s="6" t="str">
        <f t="array" ref="B440">IF(ISBLANK(A440),"",IF(A440="PROREP (L)",VLOOKUP(LEFT($A440,6),'Data Feed (25C)'!$A$1:$G$10,2,FALSE),IF(A440="PROREP (S)", INDEX('Data Feed (25C)'!B:B, MATCH(LEFT($A440,6), 'Data Feed (25C)'!$A$1:$A$10, 0) + 1), VLOOKUP($A440,'Data Feed (25C)'!$A$1:$G$10,2,FALSE))))</f>
        <v>JKS240702CANCON_25C_sample_1</v>
      </c>
      <c r="C440" s="6" t="str">
        <f t="array" ref="C440">IF(ISBLANK(A440),"",IF(A440="PROREP (L)",VLOOKUP(LEFT($A440,6),'Data Feed (25C)'!$A$1:$G$10,3,FALSE),IF(A440="PROREP (S)", INDEX('Data Feed (25C)'!C:C, MATCH(LEFT($A440,6), 'Data Feed (25C)'!$A$1:$A$10, 0) + 1, +1), VLOOKUP($A440,'Data Feed (25C)'!$A$1:$G$10,3,FALSE))))</f>
        <v>Cannomois congesta</v>
      </c>
      <c r="D440" s="6" t="str">
        <f t="array" ref="D440">IF(ISBLANK(A440),"",IF(A440="PROREP (L)",VLOOKUP(LEFT($A440,6),'Data Feed (25C)'!$A$1:$G$10,4,FALSE),IF(A440="PROREP (S)", INDEX('Data Feed (25C)'!D:D, MATCH(LEFT($A440,6), 'Data Feed (25C)'!$A$1:$A$10, 0) + 1, +1), VLOOKUP($A440,'Data Feed (25C)'!$A$1:$G$10,4,FALSE))))</f>
        <v>25C</v>
      </c>
      <c r="E440" s="6">
        <f t="array" ref="E440">IF(ISBLANK(A440),"",IF(A440="PROREP (L)",VLOOKUP(LEFT($A440,6),'Data Feed (25C)'!$A$1:$G$10,7,FALSE),IF(A440="PROREP (S)", INDEX('Data Feed (25C)'!G:G, MATCH(LEFT($A440,6), 'Data Feed (25C)'!$A$1:$A$10, 0) + 1, +1), VLOOKUP($A440,'Data Feed (25C)'!$A$1:$G$10,7,FALSE))))</f>
        <v>1</v>
      </c>
      <c r="F440" s="7">
        <v>45480.48611111111</v>
      </c>
      <c r="G440" s="8">
        <v>0.5</v>
      </c>
    </row>
    <row r="441">
      <c r="A441" s="9" t="str">
        <f t="shared" ref="A441:A445" si="513">A440</f>
        <v>CANCON</v>
      </c>
      <c r="B441" s="9" t="str">
        <f>IF(ISBLANK(A440),"",LEFT(B440,27)&amp;VALUE(RIGHT(B440,1)+1))</f>
        <v>JKS240702CANCON_25C_sample_2</v>
      </c>
      <c r="C441" s="6" t="str">
        <f t="shared" ref="C441:D441" si="512">C440</f>
        <v>Cannomois congesta</v>
      </c>
      <c r="D441" s="6" t="str">
        <f t="shared" si="512"/>
        <v>25C</v>
      </c>
      <c r="E441" s="10">
        <f>IF(ISBLANK(A440),"",E440+1)</f>
        <v>2</v>
      </c>
      <c r="F441" s="11">
        <f t="shared" ref="F441:F445" si="515">F440</f>
        <v>45480.48611</v>
      </c>
      <c r="G441" s="8">
        <v>0.78</v>
      </c>
    </row>
    <row r="442">
      <c r="A442" s="9" t="str">
        <f t="shared" si="513"/>
        <v>CANCON</v>
      </c>
      <c r="B442" s="9" t="str">
        <f>IF(ISBLANK(A440),"",LEFT(B441,27)&amp;VALUE(RIGHT(B441,1)+1))</f>
        <v>JKS240702CANCON_25C_sample_3</v>
      </c>
      <c r="C442" s="6" t="str">
        <f t="shared" ref="C442:D442" si="514">C441</f>
        <v>Cannomois congesta</v>
      </c>
      <c r="D442" s="6" t="str">
        <f t="shared" si="514"/>
        <v>25C</v>
      </c>
      <c r="E442" s="10">
        <f>IF(ISBLANK(A440),"",E441+1)</f>
        <v>3</v>
      </c>
      <c r="F442" s="11">
        <f t="shared" si="515"/>
        <v>45480.48611</v>
      </c>
      <c r="G442" s="8">
        <v>1.3</v>
      </c>
    </row>
    <row r="443">
      <c r="A443" s="9" t="str">
        <f t="shared" si="513"/>
        <v>CANCON</v>
      </c>
      <c r="B443" s="9" t="str">
        <f>IF(ISBLANK(A440),"",LEFT(B442,27)&amp;VALUE(RIGHT(B442,1)+1))</f>
        <v>JKS240702CANCON_25C_sample_4</v>
      </c>
      <c r="C443" s="6" t="str">
        <f t="shared" ref="C443:D443" si="516">C442</f>
        <v>Cannomois congesta</v>
      </c>
      <c r="D443" s="6" t="str">
        <f t="shared" si="516"/>
        <v>25C</v>
      </c>
      <c r="E443" s="10">
        <f>IF(ISBLANK(A440),"",E442+1)</f>
        <v>4</v>
      </c>
      <c r="F443" s="11">
        <f t="shared" si="515"/>
        <v>45480.48611</v>
      </c>
      <c r="G443" s="8">
        <v>0.62</v>
      </c>
    </row>
    <row r="444">
      <c r="A444" s="9" t="str">
        <f t="shared" si="513"/>
        <v>CANCON</v>
      </c>
      <c r="B444" s="9" t="str">
        <f>IF(ISBLANK(A440),"",LEFT(B443,27)&amp;VALUE(RIGHT(B443,1)+1))</f>
        <v>JKS240702CANCON_25C_sample_5</v>
      </c>
      <c r="C444" s="6" t="str">
        <f t="shared" ref="C444:D444" si="517">C443</f>
        <v>Cannomois congesta</v>
      </c>
      <c r="D444" s="6" t="str">
        <f t="shared" si="517"/>
        <v>25C</v>
      </c>
      <c r="E444" s="10">
        <f>IF(ISBLANK(A440),"",E443+1)</f>
        <v>5</v>
      </c>
      <c r="F444" s="11">
        <f t="shared" si="515"/>
        <v>45480.48611</v>
      </c>
      <c r="G444" s="8">
        <v>1.95</v>
      </c>
    </row>
    <row r="445">
      <c r="A445" s="12" t="str">
        <f t="shared" si="513"/>
        <v>CANCON</v>
      </c>
      <c r="B445" s="12" t="str">
        <f>IF(ISBLANK(A440),"",LEFT(B444,27)&amp;VALUE(RIGHT(B444,1)+1))</f>
        <v>JKS240702CANCON_25C_sample_6</v>
      </c>
      <c r="C445" s="13" t="str">
        <f t="shared" ref="C445:D445" si="518">C444</f>
        <v>Cannomois congesta</v>
      </c>
      <c r="D445" s="13" t="str">
        <f t="shared" si="518"/>
        <v>25C</v>
      </c>
      <c r="E445" s="14">
        <f>IF(ISBLANK(A440),"",E444+1)</f>
        <v>6</v>
      </c>
      <c r="F445" s="15">
        <f t="shared" si="515"/>
        <v>45480.48611</v>
      </c>
      <c r="G445" s="16">
        <v>1.69</v>
      </c>
    </row>
    <row r="446">
      <c r="A446" s="5" t="s">
        <v>9</v>
      </c>
      <c r="B446" s="6" t="str">
        <f t="array" ref="B446">IF(ISBLANK(A446),"",IF(A446="PROREP (L)",VLOOKUP(LEFT($A446,6),'Data Feed (25C)'!$A$1:$G$10,2,FALSE),IF(A446="PROREP (S)", INDEX('Data Feed (25C)'!B:B, MATCH(LEFT($A446,6), 'Data Feed (25C)'!$A$1:$A$10, 0) + 1), VLOOKUP($A446,'Data Feed (25C)'!$A$1:$G$10,2,FALSE))))</f>
        <v>JKS240702PROREP_25C_sample_1</v>
      </c>
      <c r="C446" s="6" t="str">
        <f t="array" ref="C446">IF(ISBLANK(A446),"",IF(A446="PROREP (L)",VLOOKUP(LEFT($A446,6),'Data Feed (25C)'!$A$1:$G$10,3,FALSE),IF(A446="PROREP (S)", INDEX('Data Feed (25C)'!C:C, MATCH(LEFT($A446,6), 'Data Feed (25C)'!$A$1:$A$10, 0) + 1, +1), VLOOKUP($A446,'Data Feed (25C)'!$A$1:$G$10,3,FALSE))))</f>
        <v>Protea repens</v>
      </c>
      <c r="D446" s="6" t="str">
        <f t="array" ref="D446">IF(ISBLANK(A446),"",IF(A446="PROREP (L)",VLOOKUP(LEFT($A446,6),'Data Feed (25C)'!$A$1:$G$10,4,FALSE),IF(A446="PROREP (S)", INDEX('Data Feed (25C)'!D:D, MATCH(LEFT($A446,6), 'Data Feed (25C)'!$A$1:$A$10, 0) + 1, +1), VLOOKUP($A446,'Data Feed (25C)'!$A$1:$G$10,4,FALSE))))</f>
        <v>25C</v>
      </c>
      <c r="E446" s="6">
        <f t="array" ref="E446">IF(ISBLANK(A446),"",IF(A446="PROREP (L)",VLOOKUP(LEFT($A446,6),'Data Feed (25C)'!$A$1:$G$10,7,FALSE),IF(A446="PROREP (S)", INDEX('Data Feed (25C)'!G:G, MATCH(LEFT($A446,6), 'Data Feed (25C)'!$A$1:$A$10, 0) + 1, +1), VLOOKUP($A446,'Data Feed (25C)'!$A$1:$G$10,7,FALSE))))</f>
        <v>1</v>
      </c>
      <c r="F446" s="7">
        <v>45481.60833333333</v>
      </c>
      <c r="G446" s="8">
        <v>6.62</v>
      </c>
    </row>
    <row r="447">
      <c r="A447" s="9" t="str">
        <f t="shared" ref="A447:A451" si="520">A446</f>
        <v>PROREP (S)</v>
      </c>
      <c r="B447" s="9" t="str">
        <f>IF(ISBLANK(A446),"",LEFT(B446,27)&amp;VALUE(RIGHT(B446,1)+1))</f>
        <v>JKS240702PROREP_25C_sample_2</v>
      </c>
      <c r="C447" s="6" t="str">
        <f t="shared" ref="C447:D447" si="519">C446</f>
        <v>Protea repens</v>
      </c>
      <c r="D447" s="6" t="str">
        <f t="shared" si="519"/>
        <v>25C</v>
      </c>
      <c r="E447" s="10">
        <f>IF(ISBLANK(A446),"",E446+1)</f>
        <v>2</v>
      </c>
      <c r="F447" s="11">
        <f t="shared" ref="F447:F451" si="522">F446</f>
        <v>45481.60833</v>
      </c>
      <c r="G447" s="8">
        <v>5.85</v>
      </c>
    </row>
    <row r="448">
      <c r="A448" s="9" t="str">
        <f t="shared" si="520"/>
        <v>PROREP (S)</v>
      </c>
      <c r="B448" s="9" t="str">
        <f>IF(ISBLANK(A446),"",LEFT(B447,27)&amp;VALUE(RIGHT(B447,1)+1))</f>
        <v>JKS240702PROREP_25C_sample_3</v>
      </c>
      <c r="C448" s="6" t="str">
        <f t="shared" ref="C448:D448" si="521">C447</f>
        <v>Protea repens</v>
      </c>
      <c r="D448" s="6" t="str">
        <f t="shared" si="521"/>
        <v>25C</v>
      </c>
      <c r="E448" s="10">
        <f>IF(ISBLANK(A446),"",E447+1)</f>
        <v>3</v>
      </c>
      <c r="F448" s="11">
        <f t="shared" si="522"/>
        <v>45481.60833</v>
      </c>
      <c r="G448" s="8">
        <v>5.02</v>
      </c>
    </row>
    <row r="449">
      <c r="A449" s="9" t="str">
        <f t="shared" si="520"/>
        <v>PROREP (S)</v>
      </c>
      <c r="B449" s="9" t="str">
        <f>IF(ISBLANK(A446),"",LEFT(B448,27)&amp;VALUE(RIGHT(B448,1)+1))</f>
        <v>JKS240702PROREP_25C_sample_4</v>
      </c>
      <c r="C449" s="6" t="str">
        <f t="shared" ref="C449:D449" si="523">C448</f>
        <v>Protea repens</v>
      </c>
      <c r="D449" s="6" t="str">
        <f t="shared" si="523"/>
        <v>25C</v>
      </c>
      <c r="E449" s="10">
        <f>IF(ISBLANK(A446),"",E448+1)</f>
        <v>4</v>
      </c>
      <c r="F449" s="11">
        <f t="shared" si="522"/>
        <v>45481.60833</v>
      </c>
      <c r="G449" s="8">
        <v>1.43</v>
      </c>
    </row>
    <row r="450">
      <c r="A450" s="9" t="str">
        <f t="shared" si="520"/>
        <v>PROREP (S)</v>
      </c>
      <c r="B450" s="9" t="str">
        <f>IF(ISBLANK(A446),"",LEFT(B449,27)&amp;VALUE(RIGHT(B449,1)+1))</f>
        <v>JKS240702PROREP_25C_sample_5</v>
      </c>
      <c r="C450" s="6" t="str">
        <f t="shared" ref="C450:D450" si="524">C449</f>
        <v>Protea repens</v>
      </c>
      <c r="D450" s="6" t="str">
        <f t="shared" si="524"/>
        <v>25C</v>
      </c>
      <c r="E450" s="10">
        <f>IF(ISBLANK(A446),"",E449+1)</f>
        <v>5</v>
      </c>
      <c r="F450" s="11">
        <f t="shared" si="522"/>
        <v>45481.60833</v>
      </c>
      <c r="G450" s="8">
        <v>5.11</v>
      </c>
    </row>
    <row r="451">
      <c r="A451" s="12" t="str">
        <f t="shared" si="520"/>
        <v>PROREP (S)</v>
      </c>
      <c r="B451" s="12" t="str">
        <f>IF(ISBLANK(A446),"",LEFT(B450,27)&amp;VALUE(RIGHT(B450,1)+1))</f>
        <v>JKS240702PROREP_25C_sample_6</v>
      </c>
      <c r="C451" s="13" t="str">
        <f t="shared" ref="C451:D451" si="525">C450</f>
        <v>Protea repens</v>
      </c>
      <c r="D451" s="13" t="str">
        <f t="shared" si="525"/>
        <v>25C</v>
      </c>
      <c r="E451" s="14">
        <f>IF(ISBLANK(A446),"",E450+1)</f>
        <v>6</v>
      </c>
      <c r="F451" s="15">
        <f t="shared" si="522"/>
        <v>45481.60833</v>
      </c>
      <c r="G451" s="16">
        <v>2.59</v>
      </c>
    </row>
    <row r="452">
      <c r="A452" s="5" t="s">
        <v>10</v>
      </c>
      <c r="B452" s="6" t="str">
        <f t="array" ref="B452">IF(ISBLANK(A452),"",IF(A452="PROREP (L)",VLOOKUP(LEFT($A452,6),'Data Feed (25C)'!$A$1:$G$10,2,FALSE),IF(A452="PROREP (S)", INDEX('Data Feed (25C)'!B:B, MATCH(LEFT($A452,6), 'Data Feed (25C)'!$A$1:$A$10, 0) + 1), VLOOKUP($A452,'Data Feed (25C)'!$A$1:$G$10,2,FALSE))))</f>
        <v>JKS240702CANCON_25C_sample_1</v>
      </c>
      <c r="C452" s="6" t="str">
        <f t="array" ref="C452">IF(ISBLANK(A452),"",IF(A452="PROREP (L)",VLOOKUP(LEFT($A452,6),'Data Feed (25C)'!$A$1:$G$10,3,FALSE),IF(A452="PROREP (S)", INDEX('Data Feed (25C)'!C:C, MATCH(LEFT($A452,6), 'Data Feed (25C)'!$A$1:$A$10, 0) + 1, +1), VLOOKUP($A452,'Data Feed (25C)'!$A$1:$G$10,3,FALSE))))</f>
        <v>Cannomois congesta</v>
      </c>
      <c r="D452" s="6" t="str">
        <f t="array" ref="D452">IF(ISBLANK(A452),"",IF(A452="PROREP (L)",VLOOKUP(LEFT($A452,6),'Data Feed (25C)'!$A$1:$G$10,4,FALSE),IF(A452="PROREP (S)", INDEX('Data Feed (25C)'!D:D, MATCH(LEFT($A452,6), 'Data Feed (25C)'!$A$1:$A$10, 0) + 1, +1), VLOOKUP($A452,'Data Feed (25C)'!$A$1:$G$10,4,FALSE))))</f>
        <v>25C</v>
      </c>
      <c r="E452" s="6">
        <f t="array" ref="E452">IF(ISBLANK(A452),"",IF(A452="PROREP (L)",VLOOKUP(LEFT($A452,6),'Data Feed (25C)'!$A$1:$G$10,7,FALSE),IF(A452="PROREP (S)", INDEX('Data Feed (25C)'!G:G, MATCH(LEFT($A452,6), 'Data Feed (25C)'!$A$1:$A$10, 0) + 1, +1), VLOOKUP($A452,'Data Feed (25C)'!$A$1:$G$10,7,FALSE))))</f>
        <v>1</v>
      </c>
      <c r="F452" s="7">
        <v>45481.61041666667</v>
      </c>
      <c r="G452" s="8">
        <v>0.51</v>
      </c>
    </row>
    <row r="453">
      <c r="A453" s="9" t="str">
        <f t="shared" ref="A453:A457" si="527">A452</f>
        <v>CANCON</v>
      </c>
      <c r="B453" s="9" t="str">
        <f>IF(ISBLANK(A452),"",LEFT(B452,27)&amp;VALUE(RIGHT(B452,1)+1))</f>
        <v>JKS240702CANCON_25C_sample_2</v>
      </c>
      <c r="C453" s="6" t="str">
        <f t="shared" ref="C453:D453" si="526">C452</f>
        <v>Cannomois congesta</v>
      </c>
      <c r="D453" s="6" t="str">
        <f t="shared" si="526"/>
        <v>25C</v>
      </c>
      <c r="E453" s="10">
        <f>IF(ISBLANK(A452),"",E452+1)</f>
        <v>2</v>
      </c>
      <c r="F453" s="11">
        <f t="shared" ref="F453:F457" si="529">F452</f>
        <v>45481.61042</v>
      </c>
      <c r="G453" s="8">
        <v>0.73</v>
      </c>
    </row>
    <row r="454">
      <c r="A454" s="9" t="str">
        <f t="shared" si="527"/>
        <v>CANCON</v>
      </c>
      <c r="B454" s="9" t="str">
        <f>IF(ISBLANK(A452),"",LEFT(B453,27)&amp;VALUE(RIGHT(B453,1)+1))</f>
        <v>JKS240702CANCON_25C_sample_3</v>
      </c>
      <c r="C454" s="6" t="str">
        <f t="shared" ref="C454:D454" si="528">C453</f>
        <v>Cannomois congesta</v>
      </c>
      <c r="D454" s="6" t="str">
        <f t="shared" si="528"/>
        <v>25C</v>
      </c>
      <c r="E454" s="10">
        <f>IF(ISBLANK(A452),"",E453+1)</f>
        <v>3</v>
      </c>
      <c r="F454" s="11">
        <f t="shared" si="529"/>
        <v>45481.61042</v>
      </c>
      <c r="G454" s="8">
        <v>1.32</v>
      </c>
    </row>
    <row r="455">
      <c r="A455" s="9" t="str">
        <f t="shared" si="527"/>
        <v>CANCON</v>
      </c>
      <c r="B455" s="9" t="str">
        <f>IF(ISBLANK(A452),"",LEFT(B454,27)&amp;VALUE(RIGHT(B454,1)+1))</f>
        <v>JKS240702CANCON_25C_sample_4</v>
      </c>
      <c r="C455" s="6" t="str">
        <f t="shared" ref="C455:D455" si="530">C454</f>
        <v>Cannomois congesta</v>
      </c>
      <c r="D455" s="6" t="str">
        <f t="shared" si="530"/>
        <v>25C</v>
      </c>
      <c r="E455" s="10">
        <f>IF(ISBLANK(A452),"",E454+1)</f>
        <v>4</v>
      </c>
      <c r="F455" s="11">
        <f t="shared" si="529"/>
        <v>45481.61042</v>
      </c>
      <c r="G455" s="8">
        <v>0.58</v>
      </c>
    </row>
    <row r="456">
      <c r="A456" s="9" t="str">
        <f t="shared" si="527"/>
        <v>CANCON</v>
      </c>
      <c r="B456" s="9" t="str">
        <f>IF(ISBLANK(A452),"",LEFT(B455,27)&amp;VALUE(RIGHT(B455,1)+1))</f>
        <v>JKS240702CANCON_25C_sample_5</v>
      </c>
      <c r="C456" s="6" t="str">
        <f t="shared" ref="C456:D456" si="531">C455</f>
        <v>Cannomois congesta</v>
      </c>
      <c r="D456" s="6" t="str">
        <f t="shared" si="531"/>
        <v>25C</v>
      </c>
      <c r="E456" s="10">
        <f>IF(ISBLANK(A452),"",E455+1)</f>
        <v>5</v>
      </c>
      <c r="F456" s="11">
        <f t="shared" si="529"/>
        <v>45481.61042</v>
      </c>
      <c r="G456" s="8">
        <v>1.92</v>
      </c>
    </row>
    <row r="457">
      <c r="A457" s="12" t="str">
        <f t="shared" si="527"/>
        <v>CANCON</v>
      </c>
      <c r="B457" s="12" t="str">
        <f>IF(ISBLANK(A452),"",LEFT(B456,27)&amp;VALUE(RIGHT(B456,1)+1))</f>
        <v>JKS240702CANCON_25C_sample_6</v>
      </c>
      <c r="C457" s="13" t="str">
        <f t="shared" ref="C457:D457" si="532">C456</f>
        <v>Cannomois congesta</v>
      </c>
      <c r="D457" s="13" t="str">
        <f t="shared" si="532"/>
        <v>25C</v>
      </c>
      <c r="E457" s="14">
        <f>IF(ISBLANK(A452),"",E456+1)</f>
        <v>6</v>
      </c>
      <c r="F457" s="15">
        <f t="shared" si="529"/>
        <v>45481.61042</v>
      </c>
      <c r="G457" s="16">
        <v>1.72</v>
      </c>
    </row>
    <row r="458">
      <c r="A458" s="5" t="s">
        <v>9</v>
      </c>
      <c r="B458" s="6" t="str">
        <f t="array" ref="B458">IF(ISBLANK(A458),"",IF(A458="PROREP (L)",VLOOKUP(LEFT($A458,6),'Data Feed (25C)'!$A$1:$G$10,2,FALSE),IF(A458="PROREP (S)", INDEX('Data Feed (25C)'!B:B, MATCH(LEFT($A458,6), 'Data Feed (25C)'!$A$1:$A$10, 0) + 1), VLOOKUP($A458,'Data Feed (25C)'!$A$1:$G$10,2,FALSE))))</f>
        <v>JKS240702PROREP_25C_sample_1</v>
      </c>
      <c r="C458" s="6" t="str">
        <f t="array" ref="C458">IF(ISBLANK(A458),"",IF(A458="PROREP (L)",VLOOKUP(LEFT($A458,6),'Data Feed (25C)'!$A$1:$G$10,3,FALSE),IF(A458="PROREP (S)", INDEX('Data Feed (25C)'!C:C, MATCH(LEFT($A458,6), 'Data Feed (25C)'!$A$1:$A$10, 0) + 1, +1), VLOOKUP($A458,'Data Feed (25C)'!$A$1:$G$10,3,FALSE))))</f>
        <v>Protea repens</v>
      </c>
      <c r="D458" s="6" t="str">
        <f t="array" ref="D458">IF(ISBLANK(A458),"",IF(A458="PROREP (L)",VLOOKUP(LEFT($A458,6),'Data Feed (25C)'!$A$1:$G$10,4,FALSE),IF(A458="PROREP (S)", INDEX('Data Feed (25C)'!D:D, MATCH(LEFT($A458,6), 'Data Feed (25C)'!$A$1:$A$10, 0) + 1, +1), VLOOKUP($A458,'Data Feed (25C)'!$A$1:$G$10,4,FALSE))))</f>
        <v>25C</v>
      </c>
      <c r="E458" s="6">
        <f t="array" ref="E458">IF(ISBLANK(A458),"",IF(A458="PROREP (L)",VLOOKUP(LEFT($A458,6),'Data Feed (25C)'!$A$1:$G$10,7,FALSE),IF(A458="PROREP (S)", INDEX('Data Feed (25C)'!G:G, MATCH(LEFT($A458,6), 'Data Feed (25C)'!$A$1:$A$10, 0) + 1, +1), VLOOKUP($A458,'Data Feed (25C)'!$A$1:$G$10,7,FALSE))))</f>
        <v>1</v>
      </c>
      <c r="F458" s="7">
        <v>45482.600694444445</v>
      </c>
      <c r="G458" s="8">
        <v>6.56</v>
      </c>
    </row>
    <row r="459">
      <c r="A459" s="9" t="str">
        <f t="shared" ref="A459:A463" si="534">A458</f>
        <v>PROREP (S)</v>
      </c>
      <c r="B459" s="9" t="str">
        <f>IF(ISBLANK(A458),"",LEFT(B458,27)&amp;VALUE(RIGHT(B458,1)+1))</f>
        <v>JKS240702PROREP_25C_sample_2</v>
      </c>
      <c r="C459" s="6" t="str">
        <f t="shared" ref="C459:D459" si="533">C458</f>
        <v>Protea repens</v>
      </c>
      <c r="D459" s="6" t="str">
        <f t="shared" si="533"/>
        <v>25C</v>
      </c>
      <c r="E459" s="10">
        <f>IF(ISBLANK(A458),"",E458+1)</f>
        <v>2</v>
      </c>
      <c r="F459" s="11">
        <f t="shared" ref="F459:F463" si="536">F458</f>
        <v>45482.60069</v>
      </c>
      <c r="G459" s="8">
        <v>5.24</v>
      </c>
    </row>
    <row r="460">
      <c r="A460" s="9" t="str">
        <f t="shared" si="534"/>
        <v>PROREP (S)</v>
      </c>
      <c r="B460" s="9" t="str">
        <f>IF(ISBLANK(A458),"",LEFT(B459,27)&amp;VALUE(RIGHT(B459,1)+1))</f>
        <v>JKS240702PROREP_25C_sample_3</v>
      </c>
      <c r="C460" s="6" t="str">
        <f t="shared" ref="C460:D460" si="535">C459</f>
        <v>Protea repens</v>
      </c>
      <c r="D460" s="6" t="str">
        <f t="shared" si="535"/>
        <v>25C</v>
      </c>
      <c r="E460" s="10">
        <f>IF(ISBLANK(A458),"",E459+1)</f>
        <v>3</v>
      </c>
      <c r="F460" s="11">
        <f t="shared" si="536"/>
        <v>45482.60069</v>
      </c>
      <c r="G460" s="8">
        <v>4.97</v>
      </c>
    </row>
    <row r="461">
      <c r="A461" s="9" t="str">
        <f t="shared" si="534"/>
        <v>PROREP (S)</v>
      </c>
      <c r="B461" s="9" t="str">
        <f>IF(ISBLANK(A458),"",LEFT(B460,27)&amp;VALUE(RIGHT(B460,1)+1))</f>
        <v>JKS240702PROREP_25C_sample_4</v>
      </c>
      <c r="C461" s="6" t="str">
        <f t="shared" ref="C461:D461" si="537">C460</f>
        <v>Protea repens</v>
      </c>
      <c r="D461" s="6" t="str">
        <f t="shared" si="537"/>
        <v>25C</v>
      </c>
      <c r="E461" s="10">
        <f>IF(ISBLANK(A458),"",E460+1)</f>
        <v>4</v>
      </c>
      <c r="F461" s="11">
        <f t="shared" si="536"/>
        <v>45482.60069</v>
      </c>
      <c r="G461" s="8">
        <v>1.41</v>
      </c>
    </row>
    <row r="462">
      <c r="A462" s="9" t="str">
        <f t="shared" si="534"/>
        <v>PROREP (S)</v>
      </c>
      <c r="B462" s="9" t="str">
        <f>IF(ISBLANK(A458),"",LEFT(B461,27)&amp;VALUE(RIGHT(B461,1)+1))</f>
        <v>JKS240702PROREP_25C_sample_5</v>
      </c>
      <c r="C462" s="6" t="str">
        <f t="shared" ref="C462:D462" si="538">C461</f>
        <v>Protea repens</v>
      </c>
      <c r="D462" s="6" t="str">
        <f t="shared" si="538"/>
        <v>25C</v>
      </c>
      <c r="E462" s="10">
        <f>IF(ISBLANK(A458),"",E461+1)</f>
        <v>5</v>
      </c>
      <c r="F462" s="11">
        <f t="shared" si="536"/>
        <v>45482.60069</v>
      </c>
      <c r="G462" s="8">
        <v>5.09</v>
      </c>
    </row>
    <row r="463">
      <c r="A463" s="12" t="str">
        <f t="shared" si="534"/>
        <v>PROREP (S)</v>
      </c>
      <c r="B463" s="12" t="str">
        <f>IF(ISBLANK(A458),"",LEFT(B462,27)&amp;VALUE(RIGHT(B462,1)+1))</f>
        <v>JKS240702PROREP_25C_sample_6</v>
      </c>
      <c r="C463" s="13" t="str">
        <f t="shared" ref="C463:D463" si="539">C462</f>
        <v>Protea repens</v>
      </c>
      <c r="D463" s="13" t="str">
        <f t="shared" si="539"/>
        <v>25C</v>
      </c>
      <c r="E463" s="14">
        <f>IF(ISBLANK(A458),"",E462+1)</f>
        <v>6</v>
      </c>
      <c r="F463" s="15">
        <f t="shared" si="536"/>
        <v>45482.60069</v>
      </c>
      <c r="G463" s="16">
        <v>2.51</v>
      </c>
    </row>
    <row r="464">
      <c r="A464" s="5" t="s">
        <v>9</v>
      </c>
      <c r="B464" s="6" t="str">
        <f t="array" ref="B464">IF(ISBLANK(A464),"",IF(A464="PROREP (L)",VLOOKUP(LEFT($A464,6),'Data Feed (25C)'!$A$1:$G$10,2,FALSE),IF(A464="PROREP (S)", INDEX('Data Feed (25C)'!B:B, MATCH(LEFT($A464,6), 'Data Feed (25C)'!$A$1:$A$10, 0) + 1), VLOOKUP($A464,'Data Feed (25C)'!$A$1:$G$10,2,FALSE))))</f>
        <v>JKS240702PROREP_25C_sample_1</v>
      </c>
      <c r="C464" s="6" t="str">
        <f t="array" ref="C464">IF(ISBLANK(A464),"",IF(A464="PROREP (L)",VLOOKUP(LEFT($A464,6),'Data Feed (25C)'!$A$1:$G$10,3,FALSE),IF(A464="PROREP (S)", INDEX('Data Feed (25C)'!C:C, MATCH(LEFT($A464,6), 'Data Feed (25C)'!$A$1:$A$10, 0) + 1, +1), VLOOKUP($A464,'Data Feed (25C)'!$A$1:$G$10,3,FALSE))))</f>
        <v>Protea repens</v>
      </c>
      <c r="D464" s="6" t="str">
        <f t="array" ref="D464">IF(ISBLANK(A464),"",IF(A464="PROREP (L)",VLOOKUP(LEFT($A464,6),'Data Feed (25C)'!$A$1:$G$10,4,FALSE),IF(A464="PROREP (S)", INDEX('Data Feed (25C)'!D:D, MATCH(LEFT($A464,6), 'Data Feed (25C)'!$A$1:$A$10, 0) + 1, +1), VLOOKUP($A464,'Data Feed (25C)'!$A$1:$G$10,4,FALSE))))</f>
        <v>25C</v>
      </c>
      <c r="E464" s="6">
        <f t="array" ref="E464">IF(ISBLANK(A464),"",IF(A464="PROREP (L)",VLOOKUP(LEFT($A464,6),'Data Feed (25C)'!$A$1:$G$10,7,FALSE),IF(A464="PROREP (S)", INDEX('Data Feed (25C)'!G:G, MATCH(LEFT($A464,6), 'Data Feed (25C)'!$A$1:$A$10, 0) + 1, +1), VLOOKUP($A464,'Data Feed (25C)'!$A$1:$G$10,7,FALSE))))</f>
        <v>1</v>
      </c>
      <c r="F464" s="7">
        <v>45483.58125</v>
      </c>
      <c r="G464" s="8">
        <v>6.51</v>
      </c>
    </row>
    <row r="465">
      <c r="A465" s="9" t="str">
        <f t="shared" ref="A465:A469" si="541">A464</f>
        <v>PROREP (S)</v>
      </c>
      <c r="B465" s="9" t="str">
        <f>IF(ISBLANK(A464),"",LEFT(B464,27)&amp;VALUE(RIGHT(B464,1)+1))</f>
        <v>JKS240702PROREP_25C_sample_2</v>
      </c>
      <c r="C465" s="6" t="str">
        <f t="shared" ref="C465:D465" si="540">C464</f>
        <v>Protea repens</v>
      </c>
      <c r="D465" s="6" t="str">
        <f t="shared" si="540"/>
        <v>25C</v>
      </c>
      <c r="E465" s="10">
        <f>IF(ISBLANK(A464),"",E464+1)</f>
        <v>2</v>
      </c>
      <c r="F465" s="11">
        <f t="shared" ref="F465:F469" si="543">F464</f>
        <v>45483.58125</v>
      </c>
      <c r="G465" s="8">
        <v>5.21</v>
      </c>
    </row>
    <row r="466">
      <c r="A466" s="9" t="str">
        <f t="shared" si="541"/>
        <v>PROREP (S)</v>
      </c>
      <c r="B466" s="9" t="str">
        <f>IF(ISBLANK(A464),"",LEFT(B465,27)&amp;VALUE(RIGHT(B465,1)+1))</f>
        <v>JKS240702PROREP_25C_sample_3</v>
      </c>
      <c r="C466" s="6" t="str">
        <f t="shared" ref="C466:D466" si="542">C465</f>
        <v>Protea repens</v>
      </c>
      <c r="D466" s="6" t="str">
        <f t="shared" si="542"/>
        <v>25C</v>
      </c>
      <c r="E466" s="10">
        <f>IF(ISBLANK(A464),"",E465+1)</f>
        <v>3</v>
      </c>
      <c r="F466" s="11">
        <f t="shared" si="543"/>
        <v>45483.58125</v>
      </c>
      <c r="G466" s="8">
        <v>4.98</v>
      </c>
    </row>
    <row r="467">
      <c r="A467" s="9" t="str">
        <f t="shared" si="541"/>
        <v>PROREP (S)</v>
      </c>
      <c r="B467" s="9" t="str">
        <f>IF(ISBLANK(A464),"",LEFT(B466,27)&amp;VALUE(RIGHT(B466,1)+1))</f>
        <v>JKS240702PROREP_25C_sample_4</v>
      </c>
      <c r="C467" s="6" t="str">
        <f t="shared" ref="C467:D467" si="544">C466</f>
        <v>Protea repens</v>
      </c>
      <c r="D467" s="6" t="str">
        <f t="shared" si="544"/>
        <v>25C</v>
      </c>
      <c r="E467" s="10">
        <f>IF(ISBLANK(A464),"",E466+1)</f>
        <v>4</v>
      </c>
      <c r="F467" s="11">
        <f t="shared" si="543"/>
        <v>45483.58125</v>
      </c>
      <c r="G467" s="8">
        <v>1.38</v>
      </c>
    </row>
    <row r="468">
      <c r="A468" s="9" t="str">
        <f t="shared" si="541"/>
        <v>PROREP (S)</v>
      </c>
      <c r="B468" s="9" t="str">
        <f>IF(ISBLANK(A464),"",LEFT(B467,27)&amp;VALUE(RIGHT(B467,1)+1))</f>
        <v>JKS240702PROREP_25C_sample_5</v>
      </c>
      <c r="C468" s="6" t="str">
        <f t="shared" ref="C468:D468" si="545">C467</f>
        <v>Protea repens</v>
      </c>
      <c r="D468" s="6" t="str">
        <f t="shared" si="545"/>
        <v>25C</v>
      </c>
      <c r="E468" s="10">
        <f>IF(ISBLANK(A464),"",E467+1)</f>
        <v>5</v>
      </c>
      <c r="F468" s="11">
        <f t="shared" si="543"/>
        <v>45483.58125</v>
      </c>
      <c r="G468" s="8">
        <v>5.06</v>
      </c>
    </row>
    <row r="469">
      <c r="A469" s="12" t="str">
        <f t="shared" si="541"/>
        <v>PROREP (S)</v>
      </c>
      <c r="B469" s="12" t="str">
        <f>IF(ISBLANK(A464),"",LEFT(B468,27)&amp;VALUE(RIGHT(B468,1)+1))</f>
        <v>JKS240702PROREP_25C_sample_6</v>
      </c>
      <c r="C469" s="13" t="str">
        <f t="shared" ref="C469:D469" si="546">C468</f>
        <v>Protea repens</v>
      </c>
      <c r="D469" s="13" t="str">
        <f t="shared" si="546"/>
        <v>25C</v>
      </c>
      <c r="E469" s="14">
        <f>IF(ISBLANK(A464),"",E468+1)</f>
        <v>6</v>
      </c>
      <c r="F469" s="15">
        <f t="shared" si="543"/>
        <v>45483.58125</v>
      </c>
      <c r="G469" s="16">
        <v>2.5</v>
      </c>
    </row>
    <row r="470">
      <c r="A470" s="5"/>
      <c r="B470" s="6" t="str">
        <f t="array" ref="B470">IF(ISBLANK(A470),"",IF(A470="PROREP (L)",VLOOKUP(LEFT($A470,6),'Data Feed (25C)'!$A$1:$G$10,2,FALSE),IF(A470="PROREP (S)", INDEX('Data Feed (25C)'!B:B, MATCH(LEFT($A470,6), 'Data Feed (25C)'!$A$1:$A$10, 0) + 1), VLOOKUP($A470,'Data Feed (25C)'!$A$1:$G$10,2,FALSE))))</f>
        <v/>
      </c>
      <c r="C470" s="6" t="str">
        <f t="array" ref="C470">IF(ISBLANK(A470),"",IF(A470="PROREP (L)",VLOOKUP(LEFT($A470,6),'Data Feed (25C)'!$A$1:$G$10,3,FALSE),IF(A470="PROREP (S)", INDEX('Data Feed (25C)'!C:C, MATCH(LEFT($A470,6), 'Data Feed (25C)'!$A$1:$A$10, 0) + 1, +1), VLOOKUP($A470,'Data Feed (25C)'!$A$1:$G$10,3,FALSE))))</f>
        <v/>
      </c>
      <c r="D470" s="6" t="str">
        <f t="array" ref="D470">IF(ISBLANK(A470),"",IF(A470="PROREP (L)",VLOOKUP(LEFT($A470,6),'Data Feed (25C)'!$A$1:$G$10,4,FALSE),IF(A470="PROREP (S)", INDEX('Data Feed (25C)'!D:D, MATCH(LEFT($A470,6), 'Data Feed (25C)'!$A$1:$A$10, 0) + 1, +1), VLOOKUP($A470,'Data Feed (25C)'!$A$1:$G$10,4,FALSE))))</f>
        <v/>
      </c>
      <c r="E470" s="6" t="str">
        <f t="array" ref="E470">IF(ISBLANK(A470),"",IF(A470="PROREP (L)",VLOOKUP(LEFT($A470,6),'Data Feed (25C)'!$A$1:$G$10,7,FALSE),IF(A470="PROREP (S)", INDEX('Data Feed (25C)'!G:G, MATCH(LEFT($A470,6), 'Data Feed (25C)'!$A$1:$A$10, 0) + 1, +1), VLOOKUP($A470,'Data Feed (25C)'!$A$1:$G$10,7,FALSE))))</f>
        <v/>
      </c>
      <c r="F470" s="7"/>
      <c r="G470" s="8"/>
    </row>
    <row r="471">
      <c r="A471" s="9" t="str">
        <f t="shared" ref="A471:A475" si="548">A470</f>
        <v/>
      </c>
      <c r="B471" s="9" t="str">
        <f>IF(ISBLANK(A470),"",LEFT(B470,27)&amp;VALUE(RIGHT(B470,1)+1))</f>
        <v/>
      </c>
      <c r="C471" s="6" t="str">
        <f t="shared" ref="C471:D471" si="547">C470</f>
        <v/>
      </c>
      <c r="D471" s="6" t="str">
        <f t="shared" si="547"/>
        <v/>
      </c>
      <c r="E471" s="10" t="str">
        <f>IF(ISBLANK(A470),"",E470+1)</f>
        <v/>
      </c>
      <c r="F471" s="11" t="str">
        <f t="shared" ref="F471:F475" si="550">F470</f>
        <v/>
      </c>
      <c r="G471" s="8"/>
    </row>
    <row r="472">
      <c r="A472" s="9" t="str">
        <f t="shared" si="548"/>
        <v/>
      </c>
      <c r="B472" s="9" t="str">
        <f>IF(ISBLANK(A470),"",LEFT(B471,27)&amp;VALUE(RIGHT(B471,1)+1))</f>
        <v/>
      </c>
      <c r="C472" s="6" t="str">
        <f t="shared" ref="C472:D472" si="549">C471</f>
        <v/>
      </c>
      <c r="D472" s="6" t="str">
        <f t="shared" si="549"/>
        <v/>
      </c>
      <c r="E472" s="10" t="str">
        <f>IF(ISBLANK(A470),"",E471+1)</f>
        <v/>
      </c>
      <c r="F472" s="11" t="str">
        <f t="shared" si="550"/>
        <v/>
      </c>
      <c r="G472" s="8"/>
    </row>
    <row r="473">
      <c r="A473" s="9" t="str">
        <f t="shared" si="548"/>
        <v/>
      </c>
      <c r="B473" s="9" t="str">
        <f>IF(ISBLANK(A470),"",LEFT(B472,27)&amp;VALUE(RIGHT(B472,1)+1))</f>
        <v/>
      </c>
      <c r="C473" s="6" t="str">
        <f t="shared" ref="C473:D473" si="551">C472</f>
        <v/>
      </c>
      <c r="D473" s="6" t="str">
        <f t="shared" si="551"/>
        <v/>
      </c>
      <c r="E473" s="10" t="str">
        <f>IF(ISBLANK(A470),"",E472+1)</f>
        <v/>
      </c>
      <c r="F473" s="11" t="str">
        <f t="shared" si="550"/>
        <v/>
      </c>
      <c r="G473" s="8"/>
    </row>
    <row r="474">
      <c r="A474" s="9" t="str">
        <f t="shared" si="548"/>
        <v/>
      </c>
      <c r="B474" s="9" t="str">
        <f>IF(ISBLANK(A470),"",LEFT(B473,27)&amp;VALUE(RIGHT(B473,1)+1))</f>
        <v/>
      </c>
      <c r="C474" s="6" t="str">
        <f t="shared" ref="C474:D474" si="552">C473</f>
        <v/>
      </c>
      <c r="D474" s="6" t="str">
        <f t="shared" si="552"/>
        <v/>
      </c>
      <c r="E474" s="10" t="str">
        <f>IF(ISBLANK(A470),"",E473+1)</f>
        <v/>
      </c>
      <c r="F474" s="11" t="str">
        <f t="shared" si="550"/>
        <v/>
      </c>
      <c r="G474" s="8"/>
    </row>
    <row r="475">
      <c r="A475" s="12" t="str">
        <f t="shared" si="548"/>
        <v/>
      </c>
      <c r="B475" s="12" t="str">
        <f>IF(ISBLANK(A470),"",LEFT(B474,27)&amp;VALUE(RIGHT(B474,1)+1))</f>
        <v/>
      </c>
      <c r="C475" s="13" t="str">
        <f t="shared" ref="C475:D475" si="553">C474</f>
        <v/>
      </c>
      <c r="D475" s="13" t="str">
        <f t="shared" si="553"/>
        <v/>
      </c>
      <c r="E475" s="14" t="str">
        <f>IF(ISBLANK(A470),"",E474+1)</f>
        <v/>
      </c>
      <c r="F475" s="15" t="str">
        <f t="shared" si="550"/>
        <v/>
      </c>
      <c r="G475" s="16"/>
    </row>
    <row r="476">
      <c r="A476" s="5"/>
      <c r="B476" s="6" t="str">
        <f t="array" ref="B476">IF(ISBLANK(A476),"",IF(A476="PROREP (L)",VLOOKUP(LEFT($A476,6),'Data Feed (25C)'!$A$1:$G$10,2,FALSE),IF(A476="PROREP (S)", INDEX('Data Feed (25C)'!B:B, MATCH(LEFT($A476,6), 'Data Feed (25C)'!$A$1:$A$10, 0) + 1), VLOOKUP($A476,'Data Feed (25C)'!$A$1:$G$10,2,FALSE))))</f>
        <v/>
      </c>
      <c r="C476" s="6" t="str">
        <f t="array" ref="C476">IF(ISBLANK(A476),"",IF(A476="PROREP (L)",VLOOKUP(LEFT($A476,6),'Data Feed (25C)'!$A$1:$G$10,3,FALSE),IF(A476="PROREP (S)", INDEX('Data Feed (25C)'!C:C, MATCH(LEFT($A476,6), 'Data Feed (25C)'!$A$1:$A$10, 0) + 1, +1), VLOOKUP($A476,'Data Feed (25C)'!$A$1:$G$10,3,FALSE))))</f>
        <v/>
      </c>
      <c r="D476" s="6" t="str">
        <f t="array" ref="D476">IF(ISBLANK(A476),"",IF(A476="PROREP (L)",VLOOKUP(LEFT($A476,6),'Data Feed (25C)'!$A$1:$G$10,4,FALSE),IF(A476="PROREP (S)", INDEX('Data Feed (25C)'!D:D, MATCH(LEFT($A476,6), 'Data Feed (25C)'!$A$1:$A$10, 0) + 1, +1), VLOOKUP($A476,'Data Feed (25C)'!$A$1:$G$10,4,FALSE))))</f>
        <v/>
      </c>
      <c r="E476" s="6" t="str">
        <f t="array" ref="E476">IF(ISBLANK(A476),"",IF(A476="PROREP (L)",VLOOKUP(LEFT($A476,6),'Data Feed (25C)'!$A$1:$G$10,7,FALSE),IF(A476="PROREP (S)", INDEX('Data Feed (25C)'!G:G, MATCH(LEFT($A476,6), 'Data Feed (25C)'!$A$1:$A$10, 0) + 1, +1), VLOOKUP($A476,'Data Feed (25C)'!$A$1:$G$10,7,FALSE))))</f>
        <v/>
      </c>
      <c r="F476" s="7"/>
      <c r="G476" s="8"/>
    </row>
    <row r="477">
      <c r="A477" s="9" t="str">
        <f t="shared" ref="A477:A481" si="555">A476</f>
        <v/>
      </c>
      <c r="B477" s="9" t="str">
        <f>IF(ISBLANK(A476),"",LEFT(B476,27)&amp;VALUE(RIGHT(B476,1)+1))</f>
        <v/>
      </c>
      <c r="C477" s="6" t="str">
        <f t="shared" ref="C477:D477" si="554">C476</f>
        <v/>
      </c>
      <c r="D477" s="6" t="str">
        <f t="shared" si="554"/>
        <v/>
      </c>
      <c r="E477" s="10" t="str">
        <f>IF(ISBLANK(A476),"",E476+1)</f>
        <v/>
      </c>
      <c r="F477" s="11" t="str">
        <f t="shared" ref="F477:F481" si="557">F476</f>
        <v/>
      </c>
      <c r="G477" s="8"/>
    </row>
    <row r="478">
      <c r="A478" s="9" t="str">
        <f t="shared" si="555"/>
        <v/>
      </c>
      <c r="B478" s="9" t="str">
        <f>IF(ISBLANK(A476),"",LEFT(B477,27)&amp;VALUE(RIGHT(B477,1)+1))</f>
        <v/>
      </c>
      <c r="C478" s="6" t="str">
        <f t="shared" ref="C478:D478" si="556">C477</f>
        <v/>
      </c>
      <c r="D478" s="6" t="str">
        <f t="shared" si="556"/>
        <v/>
      </c>
      <c r="E478" s="10" t="str">
        <f>IF(ISBLANK(A476),"",E477+1)</f>
        <v/>
      </c>
      <c r="F478" s="11" t="str">
        <f t="shared" si="557"/>
        <v/>
      </c>
      <c r="G478" s="8"/>
    </row>
    <row r="479">
      <c r="A479" s="9" t="str">
        <f t="shared" si="555"/>
        <v/>
      </c>
      <c r="B479" s="9" t="str">
        <f>IF(ISBLANK(A476),"",LEFT(B478,27)&amp;VALUE(RIGHT(B478,1)+1))</f>
        <v/>
      </c>
      <c r="C479" s="6" t="str">
        <f t="shared" ref="C479:D479" si="558">C478</f>
        <v/>
      </c>
      <c r="D479" s="6" t="str">
        <f t="shared" si="558"/>
        <v/>
      </c>
      <c r="E479" s="10" t="str">
        <f>IF(ISBLANK(A476),"",E478+1)</f>
        <v/>
      </c>
      <c r="F479" s="11" t="str">
        <f t="shared" si="557"/>
        <v/>
      </c>
      <c r="G479" s="8"/>
    </row>
    <row r="480">
      <c r="A480" s="9" t="str">
        <f t="shared" si="555"/>
        <v/>
      </c>
      <c r="B480" s="9" t="str">
        <f>IF(ISBLANK(A476),"",LEFT(B479,27)&amp;VALUE(RIGHT(B479,1)+1))</f>
        <v/>
      </c>
      <c r="C480" s="6" t="str">
        <f t="shared" ref="C480:D480" si="559">C479</f>
        <v/>
      </c>
      <c r="D480" s="6" t="str">
        <f t="shared" si="559"/>
        <v/>
      </c>
      <c r="E480" s="10" t="str">
        <f>IF(ISBLANK(A476),"",E479+1)</f>
        <v/>
      </c>
      <c r="F480" s="11" t="str">
        <f t="shared" si="557"/>
        <v/>
      </c>
      <c r="G480" s="8"/>
    </row>
    <row r="481">
      <c r="A481" s="12" t="str">
        <f t="shared" si="555"/>
        <v/>
      </c>
      <c r="B481" s="12" t="str">
        <f>IF(ISBLANK(A476),"",LEFT(B480,27)&amp;VALUE(RIGHT(B480,1)+1))</f>
        <v/>
      </c>
      <c r="C481" s="13" t="str">
        <f t="shared" ref="C481:D481" si="560">C480</f>
        <v/>
      </c>
      <c r="D481" s="13" t="str">
        <f t="shared" si="560"/>
        <v/>
      </c>
      <c r="E481" s="14" t="str">
        <f>IF(ISBLANK(A476),"",E480+1)</f>
        <v/>
      </c>
      <c r="F481" s="15" t="str">
        <f t="shared" si="557"/>
        <v/>
      </c>
      <c r="G481" s="16"/>
    </row>
    <row r="482">
      <c r="A482" s="5"/>
      <c r="B482" s="6" t="str">
        <f t="array" ref="B482">IF(ISBLANK(A482),"",IF(A482="PROREP (L)",VLOOKUP(LEFT($A482,6),'Data Feed (25C)'!$A$1:$G$10,2,FALSE),IF(A482="PROREP (S)", INDEX('Data Feed (25C)'!B:B, MATCH(LEFT($A482,6), 'Data Feed (25C)'!$A$1:$A$10, 0) + 1), VLOOKUP($A482,'Data Feed (25C)'!$A$1:$G$10,2,FALSE))))</f>
        <v/>
      </c>
      <c r="C482" s="6" t="str">
        <f t="array" ref="C482">IF(ISBLANK(A482),"",IF(A482="PROREP (L)",VLOOKUP(LEFT($A482,6),'Data Feed (25C)'!$A$1:$G$10,3,FALSE),IF(A482="PROREP (S)", INDEX('Data Feed (25C)'!C:C, MATCH(LEFT($A482,6), 'Data Feed (25C)'!$A$1:$A$10, 0) + 1, +1), VLOOKUP($A482,'Data Feed (25C)'!$A$1:$G$10,3,FALSE))))</f>
        <v/>
      </c>
      <c r="D482" s="6" t="str">
        <f t="array" ref="D482">IF(ISBLANK(A482),"",IF(A482="PROREP (L)",VLOOKUP(LEFT($A482,6),'Data Feed (25C)'!$A$1:$G$10,4,FALSE),IF(A482="PROREP (S)", INDEX('Data Feed (25C)'!D:D, MATCH(LEFT($A482,6), 'Data Feed (25C)'!$A$1:$A$10, 0) + 1, +1), VLOOKUP($A482,'Data Feed (25C)'!$A$1:$G$10,4,FALSE))))</f>
        <v/>
      </c>
      <c r="E482" s="6" t="str">
        <f t="array" ref="E482">IF(ISBLANK(A482),"",IF(A482="PROREP (L)",VLOOKUP(LEFT($A482,6),'Data Feed (25C)'!$A$1:$G$10,7,FALSE),IF(A482="PROREP (S)", INDEX('Data Feed (25C)'!G:G, MATCH(LEFT($A482,6), 'Data Feed (25C)'!$A$1:$A$10, 0) + 1, +1), VLOOKUP($A482,'Data Feed (25C)'!$A$1:$G$10,7,FALSE))))</f>
        <v/>
      </c>
      <c r="F482" s="7"/>
      <c r="G482" s="8"/>
    </row>
    <row r="483">
      <c r="A483" s="9" t="str">
        <f t="shared" ref="A483:A487" si="562">A482</f>
        <v/>
      </c>
      <c r="B483" s="9" t="str">
        <f>IF(ISBLANK(A482),"",LEFT(B482,27)&amp;VALUE(RIGHT(B482,1)+1))</f>
        <v/>
      </c>
      <c r="C483" s="6" t="str">
        <f t="shared" ref="C483:D483" si="561">C482</f>
        <v/>
      </c>
      <c r="D483" s="6" t="str">
        <f t="shared" si="561"/>
        <v/>
      </c>
      <c r="E483" s="10" t="str">
        <f>IF(ISBLANK(A482),"",E482+1)</f>
        <v/>
      </c>
      <c r="F483" s="11" t="str">
        <f t="shared" ref="F483:F487" si="564">F482</f>
        <v/>
      </c>
      <c r="G483" s="8"/>
    </row>
    <row r="484">
      <c r="A484" s="9" t="str">
        <f t="shared" si="562"/>
        <v/>
      </c>
      <c r="B484" s="9" t="str">
        <f>IF(ISBLANK(A482),"",LEFT(B483,27)&amp;VALUE(RIGHT(B483,1)+1))</f>
        <v/>
      </c>
      <c r="C484" s="6" t="str">
        <f t="shared" ref="C484:D484" si="563">C483</f>
        <v/>
      </c>
      <c r="D484" s="6" t="str">
        <f t="shared" si="563"/>
        <v/>
      </c>
      <c r="E484" s="10" t="str">
        <f>IF(ISBLANK(A482),"",E483+1)</f>
        <v/>
      </c>
      <c r="F484" s="11" t="str">
        <f t="shared" si="564"/>
        <v/>
      </c>
      <c r="G484" s="8"/>
    </row>
    <row r="485">
      <c r="A485" s="9" t="str">
        <f t="shared" si="562"/>
        <v/>
      </c>
      <c r="B485" s="9" t="str">
        <f>IF(ISBLANK(A482),"",LEFT(B484,27)&amp;VALUE(RIGHT(B484,1)+1))</f>
        <v/>
      </c>
      <c r="C485" s="6" t="str">
        <f t="shared" ref="C485:D485" si="565">C484</f>
        <v/>
      </c>
      <c r="D485" s="6" t="str">
        <f t="shared" si="565"/>
        <v/>
      </c>
      <c r="E485" s="10" t="str">
        <f>IF(ISBLANK(A482),"",E484+1)</f>
        <v/>
      </c>
      <c r="F485" s="11" t="str">
        <f t="shared" si="564"/>
        <v/>
      </c>
      <c r="G485" s="8"/>
    </row>
    <row r="486">
      <c r="A486" s="9" t="str">
        <f t="shared" si="562"/>
        <v/>
      </c>
      <c r="B486" s="9" t="str">
        <f>IF(ISBLANK(A482),"",LEFT(B485,27)&amp;VALUE(RIGHT(B485,1)+1))</f>
        <v/>
      </c>
      <c r="C486" s="6" t="str">
        <f t="shared" ref="C486:D486" si="566">C485</f>
        <v/>
      </c>
      <c r="D486" s="6" t="str">
        <f t="shared" si="566"/>
        <v/>
      </c>
      <c r="E486" s="10" t="str">
        <f>IF(ISBLANK(A482),"",E485+1)</f>
        <v/>
      </c>
      <c r="F486" s="11" t="str">
        <f t="shared" si="564"/>
        <v/>
      </c>
      <c r="G486" s="8"/>
    </row>
    <row r="487">
      <c r="A487" s="12" t="str">
        <f t="shared" si="562"/>
        <v/>
      </c>
      <c r="B487" s="12" t="str">
        <f>IF(ISBLANK(A482),"",LEFT(B486,27)&amp;VALUE(RIGHT(B486,1)+1))</f>
        <v/>
      </c>
      <c r="C487" s="13" t="str">
        <f t="shared" ref="C487:D487" si="567">C486</f>
        <v/>
      </c>
      <c r="D487" s="13" t="str">
        <f t="shared" si="567"/>
        <v/>
      </c>
      <c r="E487" s="14" t="str">
        <f>IF(ISBLANK(A482),"",E486+1)</f>
        <v/>
      </c>
      <c r="F487" s="15" t="str">
        <f t="shared" si="564"/>
        <v/>
      </c>
      <c r="G487" s="16"/>
    </row>
    <row r="488">
      <c r="A488" s="5"/>
      <c r="B488" s="6" t="str">
        <f t="array" ref="B488">IF(ISBLANK(A488),"",IF(A488="PROREP (L)",VLOOKUP(LEFT($A488,6),'Data Feed (25C)'!$A$1:$G$10,2,FALSE),IF(A488="PROREP (S)", INDEX('Data Feed (25C)'!B:B, MATCH(LEFT($A488,6), 'Data Feed (25C)'!$A$1:$A$10, 0) + 1), VLOOKUP($A488,'Data Feed (25C)'!$A$1:$G$10,2,FALSE))))</f>
        <v/>
      </c>
      <c r="C488" s="6" t="str">
        <f t="array" ref="C488">IF(ISBLANK(A488),"",IF(A488="PROREP (L)",VLOOKUP(LEFT($A488,6),'Data Feed (25C)'!$A$1:$G$10,3,FALSE),IF(A488="PROREP (S)", INDEX('Data Feed (25C)'!C:C, MATCH(LEFT($A488,6), 'Data Feed (25C)'!$A$1:$A$10, 0) + 1, +1), VLOOKUP($A488,'Data Feed (25C)'!$A$1:$G$10,3,FALSE))))</f>
        <v/>
      </c>
      <c r="D488" s="6" t="str">
        <f t="array" ref="D488">IF(ISBLANK(A488),"",IF(A488="PROREP (L)",VLOOKUP(LEFT($A488,6),'Data Feed (25C)'!$A$1:$G$10,4,FALSE),IF(A488="PROREP (S)", INDEX('Data Feed (25C)'!D:D, MATCH(LEFT($A488,6), 'Data Feed (25C)'!$A$1:$A$10, 0) + 1, +1), VLOOKUP($A488,'Data Feed (25C)'!$A$1:$G$10,4,FALSE))))</f>
        <v/>
      </c>
      <c r="E488" s="6" t="str">
        <f t="array" ref="E488">IF(ISBLANK(A488),"",IF(A488="PROREP (L)",VLOOKUP(LEFT($A488,6),'Data Feed (25C)'!$A$1:$G$10,7,FALSE),IF(A488="PROREP (S)", INDEX('Data Feed (25C)'!G:G, MATCH(LEFT($A488,6), 'Data Feed (25C)'!$A$1:$A$10, 0) + 1, +1), VLOOKUP($A488,'Data Feed (25C)'!$A$1:$G$10,7,FALSE))))</f>
        <v/>
      </c>
      <c r="F488" s="7"/>
      <c r="G488" s="8"/>
    </row>
    <row r="489">
      <c r="A489" s="9" t="str">
        <f t="shared" ref="A489:A493" si="569">A488</f>
        <v/>
      </c>
      <c r="B489" s="9" t="str">
        <f>IF(ISBLANK(A488),"",LEFT(B488,27)&amp;VALUE(RIGHT(B488,1)+1))</f>
        <v/>
      </c>
      <c r="C489" s="6" t="str">
        <f t="shared" ref="C489:D489" si="568">C488</f>
        <v/>
      </c>
      <c r="D489" s="6" t="str">
        <f t="shared" si="568"/>
        <v/>
      </c>
      <c r="E489" s="10" t="str">
        <f>IF(ISBLANK(A488),"",E488+1)</f>
        <v/>
      </c>
      <c r="F489" s="11" t="str">
        <f t="shared" ref="F489:F493" si="571">F488</f>
        <v/>
      </c>
      <c r="G489" s="8"/>
    </row>
    <row r="490">
      <c r="A490" s="9" t="str">
        <f t="shared" si="569"/>
        <v/>
      </c>
      <c r="B490" s="9" t="str">
        <f>IF(ISBLANK(A488),"",LEFT(B489,27)&amp;VALUE(RIGHT(B489,1)+1))</f>
        <v/>
      </c>
      <c r="C490" s="6" t="str">
        <f t="shared" ref="C490:D490" si="570">C489</f>
        <v/>
      </c>
      <c r="D490" s="6" t="str">
        <f t="shared" si="570"/>
        <v/>
      </c>
      <c r="E490" s="10" t="str">
        <f>IF(ISBLANK(A488),"",E489+1)</f>
        <v/>
      </c>
      <c r="F490" s="11" t="str">
        <f t="shared" si="571"/>
        <v/>
      </c>
      <c r="G490" s="8"/>
    </row>
    <row r="491">
      <c r="A491" s="9" t="str">
        <f t="shared" si="569"/>
        <v/>
      </c>
      <c r="B491" s="9" t="str">
        <f>IF(ISBLANK(A488),"",LEFT(B490,27)&amp;VALUE(RIGHT(B490,1)+1))</f>
        <v/>
      </c>
      <c r="C491" s="6" t="str">
        <f t="shared" ref="C491:D491" si="572">C490</f>
        <v/>
      </c>
      <c r="D491" s="6" t="str">
        <f t="shared" si="572"/>
        <v/>
      </c>
      <c r="E491" s="10" t="str">
        <f>IF(ISBLANK(A488),"",E490+1)</f>
        <v/>
      </c>
      <c r="F491" s="11" t="str">
        <f t="shared" si="571"/>
        <v/>
      </c>
      <c r="G491" s="8"/>
    </row>
    <row r="492">
      <c r="A492" s="9" t="str">
        <f t="shared" si="569"/>
        <v/>
      </c>
      <c r="B492" s="9" t="str">
        <f>IF(ISBLANK(A488),"",LEFT(B491,27)&amp;VALUE(RIGHT(B491,1)+1))</f>
        <v/>
      </c>
      <c r="C492" s="6" t="str">
        <f t="shared" ref="C492:D492" si="573">C491</f>
        <v/>
      </c>
      <c r="D492" s="6" t="str">
        <f t="shared" si="573"/>
        <v/>
      </c>
      <c r="E492" s="10" t="str">
        <f>IF(ISBLANK(A488),"",E491+1)</f>
        <v/>
      </c>
      <c r="F492" s="11" t="str">
        <f t="shared" si="571"/>
        <v/>
      </c>
      <c r="G492" s="8"/>
    </row>
    <row r="493">
      <c r="A493" s="12" t="str">
        <f t="shared" si="569"/>
        <v/>
      </c>
      <c r="B493" s="12" t="str">
        <f>IF(ISBLANK(A488),"",LEFT(B492,27)&amp;VALUE(RIGHT(B492,1)+1))</f>
        <v/>
      </c>
      <c r="C493" s="13" t="str">
        <f t="shared" ref="C493:D493" si="574">C492</f>
        <v/>
      </c>
      <c r="D493" s="13" t="str">
        <f t="shared" si="574"/>
        <v/>
      </c>
      <c r="E493" s="14" t="str">
        <f>IF(ISBLANK(A488),"",E492+1)</f>
        <v/>
      </c>
      <c r="F493" s="15" t="str">
        <f t="shared" si="571"/>
        <v/>
      </c>
      <c r="G493" s="16"/>
    </row>
    <row r="494">
      <c r="A494" s="5"/>
      <c r="B494" s="6" t="str">
        <f t="array" ref="B494">IF(ISBLANK(A494),"",IF(A494="PROREP (L)",VLOOKUP(LEFT($A494,6),'Data Feed (25C)'!$A$1:$G$10,2,FALSE),IF(A494="PROREP (S)", INDEX('Data Feed (25C)'!B:B, MATCH(LEFT($A494,6), 'Data Feed (25C)'!$A$1:$A$10, 0) + 1), VLOOKUP($A494,'Data Feed (25C)'!$A$1:$G$10,2,FALSE))))</f>
        <v/>
      </c>
      <c r="C494" s="6" t="str">
        <f t="array" ref="C494">IF(ISBLANK(A494),"",IF(A494="PROREP (L)",VLOOKUP(LEFT($A494,6),'Data Feed (25C)'!$A$1:$G$10,3,FALSE),IF(A494="PROREP (S)", INDEX('Data Feed (25C)'!C:C, MATCH(LEFT($A494,6), 'Data Feed (25C)'!$A$1:$A$10, 0) + 1, +1), VLOOKUP($A494,'Data Feed (25C)'!$A$1:$G$10,3,FALSE))))</f>
        <v/>
      </c>
      <c r="D494" s="6" t="str">
        <f t="array" ref="D494">IF(ISBLANK(A494),"",IF(A494="PROREP (L)",VLOOKUP(LEFT($A494,6),'Data Feed (25C)'!$A$1:$G$10,4,FALSE),IF(A494="PROREP (S)", INDEX('Data Feed (25C)'!D:D, MATCH(LEFT($A494,6), 'Data Feed (25C)'!$A$1:$A$10, 0) + 1, +1), VLOOKUP($A494,'Data Feed (25C)'!$A$1:$G$10,4,FALSE))))</f>
        <v/>
      </c>
      <c r="E494" s="6" t="str">
        <f t="array" ref="E494">IF(ISBLANK(A494),"",IF(A494="PROREP (L)",VLOOKUP(LEFT($A494,6),'Data Feed (25C)'!$A$1:$G$10,7,FALSE),IF(A494="PROREP (S)", INDEX('Data Feed (25C)'!G:G, MATCH(LEFT($A494,6), 'Data Feed (25C)'!$A$1:$A$10, 0) + 1, +1), VLOOKUP($A494,'Data Feed (25C)'!$A$1:$G$10,7,FALSE))))</f>
        <v/>
      </c>
      <c r="F494" s="7"/>
      <c r="G494" s="8"/>
    </row>
    <row r="495">
      <c r="A495" s="9" t="str">
        <f t="shared" ref="A495:A499" si="576">A494</f>
        <v/>
      </c>
      <c r="B495" s="9" t="str">
        <f>IF(ISBLANK(A494),"",LEFT(B494,27)&amp;VALUE(RIGHT(B494,1)+1))</f>
        <v/>
      </c>
      <c r="C495" s="6" t="str">
        <f t="shared" ref="C495:D495" si="575">C494</f>
        <v/>
      </c>
      <c r="D495" s="6" t="str">
        <f t="shared" si="575"/>
        <v/>
      </c>
      <c r="E495" s="10" t="str">
        <f>IF(ISBLANK(A494),"",E494+1)</f>
        <v/>
      </c>
      <c r="F495" s="11" t="str">
        <f t="shared" ref="F495:F499" si="578">F494</f>
        <v/>
      </c>
      <c r="G495" s="8"/>
    </row>
    <row r="496">
      <c r="A496" s="9" t="str">
        <f t="shared" si="576"/>
        <v/>
      </c>
      <c r="B496" s="9" t="str">
        <f>IF(ISBLANK(A494),"",LEFT(B495,27)&amp;VALUE(RIGHT(B495,1)+1))</f>
        <v/>
      </c>
      <c r="C496" s="6" t="str">
        <f t="shared" ref="C496:D496" si="577">C495</f>
        <v/>
      </c>
      <c r="D496" s="6" t="str">
        <f t="shared" si="577"/>
        <v/>
      </c>
      <c r="E496" s="10" t="str">
        <f>IF(ISBLANK(A494),"",E495+1)</f>
        <v/>
      </c>
      <c r="F496" s="11" t="str">
        <f t="shared" si="578"/>
        <v/>
      </c>
      <c r="G496" s="8"/>
    </row>
    <row r="497">
      <c r="A497" s="9" t="str">
        <f t="shared" si="576"/>
        <v/>
      </c>
      <c r="B497" s="9" t="str">
        <f>IF(ISBLANK(A494),"",LEFT(B496,27)&amp;VALUE(RIGHT(B496,1)+1))</f>
        <v/>
      </c>
      <c r="C497" s="6" t="str">
        <f t="shared" ref="C497:D497" si="579">C496</f>
        <v/>
      </c>
      <c r="D497" s="6" t="str">
        <f t="shared" si="579"/>
        <v/>
      </c>
      <c r="E497" s="10" t="str">
        <f>IF(ISBLANK(A494),"",E496+1)</f>
        <v/>
      </c>
      <c r="F497" s="11" t="str">
        <f t="shared" si="578"/>
        <v/>
      </c>
      <c r="G497" s="8"/>
    </row>
    <row r="498">
      <c r="A498" s="9" t="str">
        <f t="shared" si="576"/>
        <v/>
      </c>
      <c r="B498" s="9" t="str">
        <f>IF(ISBLANK(A494),"",LEFT(B497,27)&amp;VALUE(RIGHT(B497,1)+1))</f>
        <v/>
      </c>
      <c r="C498" s="6" t="str">
        <f t="shared" ref="C498:D498" si="580">C497</f>
        <v/>
      </c>
      <c r="D498" s="6" t="str">
        <f t="shared" si="580"/>
        <v/>
      </c>
      <c r="E498" s="10" t="str">
        <f>IF(ISBLANK(A494),"",E497+1)</f>
        <v/>
      </c>
      <c r="F498" s="11" t="str">
        <f t="shared" si="578"/>
        <v/>
      </c>
      <c r="G498" s="8"/>
    </row>
    <row r="499">
      <c r="A499" s="12" t="str">
        <f t="shared" si="576"/>
        <v/>
      </c>
      <c r="B499" s="12" t="str">
        <f>IF(ISBLANK(A494),"",LEFT(B498,27)&amp;VALUE(RIGHT(B498,1)+1))</f>
        <v/>
      </c>
      <c r="C499" s="13" t="str">
        <f t="shared" ref="C499:D499" si="581">C498</f>
        <v/>
      </c>
      <c r="D499" s="13" t="str">
        <f t="shared" si="581"/>
        <v/>
      </c>
      <c r="E499" s="14" t="str">
        <f>IF(ISBLANK(A494),"",E498+1)</f>
        <v/>
      </c>
      <c r="F499" s="15" t="str">
        <f t="shared" si="578"/>
        <v/>
      </c>
      <c r="G499" s="16"/>
    </row>
    <row r="500">
      <c r="A500" s="5"/>
      <c r="B500" s="6" t="str">
        <f t="array" ref="B500">IF(ISBLANK(A500),"",IF(A500="PROREP (L)",VLOOKUP(LEFT($A500,6),'Data Feed (25C)'!$A$1:$G$10,2,FALSE),IF(A500="PROREP (S)", INDEX('Data Feed (25C)'!B:B, MATCH(LEFT($A500,6), 'Data Feed (25C)'!$A$1:$A$10, 0) + 1), VLOOKUP($A500,'Data Feed (25C)'!$A$1:$G$10,2,FALSE))))</f>
        <v/>
      </c>
      <c r="C500" s="6" t="str">
        <f t="array" ref="C500">IF(ISBLANK(A500),"",IF(A500="PROREP (L)",VLOOKUP(LEFT($A500,6),'Data Feed (25C)'!$A$1:$G$10,3,FALSE),IF(A500="PROREP (S)", INDEX('Data Feed (25C)'!C:C, MATCH(LEFT($A500,6), 'Data Feed (25C)'!$A$1:$A$10, 0) + 1, +1), VLOOKUP($A500,'Data Feed (25C)'!$A$1:$G$10,3,FALSE))))</f>
        <v/>
      </c>
      <c r="D500" s="6" t="str">
        <f t="array" ref="D500">IF(ISBLANK(A500),"",IF(A500="PROREP (L)",VLOOKUP(LEFT($A500,6),'Data Feed (25C)'!$A$1:$G$10,4,FALSE),IF(A500="PROREP (S)", INDEX('Data Feed (25C)'!D:D, MATCH(LEFT($A500,6), 'Data Feed (25C)'!$A$1:$A$10, 0) + 1, +1), VLOOKUP($A500,'Data Feed (25C)'!$A$1:$G$10,4,FALSE))))</f>
        <v/>
      </c>
      <c r="E500" s="6" t="str">
        <f t="array" ref="E500">IF(ISBLANK(A500),"",IF(A500="PROREP (L)",VLOOKUP(LEFT($A500,6),'Data Feed (25C)'!$A$1:$G$10,7,FALSE),IF(A500="PROREP (S)", INDEX('Data Feed (25C)'!G:G, MATCH(LEFT($A500,6), 'Data Feed (25C)'!$A$1:$A$10, 0) + 1, +1), VLOOKUP($A500,'Data Feed (25C)'!$A$1:$G$10,7,FALSE))))</f>
        <v/>
      </c>
      <c r="F500" s="7"/>
      <c r="G500" s="8"/>
    </row>
    <row r="501">
      <c r="A501" s="9" t="str">
        <f t="shared" ref="A501:A505" si="583">A500</f>
        <v/>
      </c>
      <c r="B501" s="9" t="str">
        <f>IF(ISBLANK(A500),"",LEFT(B500,27)&amp;VALUE(RIGHT(B500,1)+1))</f>
        <v/>
      </c>
      <c r="C501" s="6" t="str">
        <f t="shared" ref="C501:D501" si="582">C500</f>
        <v/>
      </c>
      <c r="D501" s="6" t="str">
        <f t="shared" si="582"/>
        <v/>
      </c>
      <c r="E501" s="10" t="str">
        <f>IF(ISBLANK(A500),"",E500+1)</f>
        <v/>
      </c>
      <c r="F501" s="11" t="str">
        <f t="shared" ref="F501:F505" si="585">F500</f>
        <v/>
      </c>
      <c r="G501" s="8"/>
    </row>
    <row r="502">
      <c r="A502" s="9" t="str">
        <f t="shared" si="583"/>
        <v/>
      </c>
      <c r="B502" s="9" t="str">
        <f>IF(ISBLANK(A500),"",LEFT(B501,27)&amp;VALUE(RIGHT(B501,1)+1))</f>
        <v/>
      </c>
      <c r="C502" s="6" t="str">
        <f t="shared" ref="C502:D502" si="584">C501</f>
        <v/>
      </c>
      <c r="D502" s="6" t="str">
        <f t="shared" si="584"/>
        <v/>
      </c>
      <c r="E502" s="10" t="str">
        <f>IF(ISBLANK(A500),"",E501+1)</f>
        <v/>
      </c>
      <c r="F502" s="11" t="str">
        <f t="shared" si="585"/>
        <v/>
      </c>
      <c r="G502" s="8"/>
    </row>
    <row r="503">
      <c r="A503" s="9" t="str">
        <f t="shared" si="583"/>
        <v/>
      </c>
      <c r="B503" s="9" t="str">
        <f>IF(ISBLANK(A500),"",LEFT(B502,27)&amp;VALUE(RIGHT(B502,1)+1))</f>
        <v/>
      </c>
      <c r="C503" s="6" t="str">
        <f t="shared" ref="C503:D503" si="586">C502</f>
        <v/>
      </c>
      <c r="D503" s="6" t="str">
        <f t="shared" si="586"/>
        <v/>
      </c>
      <c r="E503" s="10" t="str">
        <f>IF(ISBLANK(A500),"",E502+1)</f>
        <v/>
      </c>
      <c r="F503" s="11" t="str">
        <f t="shared" si="585"/>
        <v/>
      </c>
      <c r="G503" s="8"/>
    </row>
    <row r="504">
      <c r="A504" s="9" t="str">
        <f t="shared" si="583"/>
        <v/>
      </c>
      <c r="B504" s="9" t="str">
        <f>IF(ISBLANK(A500),"",LEFT(B503,27)&amp;VALUE(RIGHT(B503,1)+1))</f>
        <v/>
      </c>
      <c r="C504" s="6" t="str">
        <f t="shared" ref="C504:D504" si="587">C503</f>
        <v/>
      </c>
      <c r="D504" s="6" t="str">
        <f t="shared" si="587"/>
        <v/>
      </c>
      <c r="E504" s="10" t="str">
        <f>IF(ISBLANK(A500),"",E503+1)</f>
        <v/>
      </c>
      <c r="F504" s="11" t="str">
        <f t="shared" si="585"/>
        <v/>
      </c>
      <c r="G504" s="8"/>
    </row>
    <row r="505">
      <c r="A505" s="12" t="str">
        <f t="shared" si="583"/>
        <v/>
      </c>
      <c r="B505" s="12" t="str">
        <f>IF(ISBLANK(A500),"",LEFT(B504,27)&amp;VALUE(RIGHT(B504,1)+1))</f>
        <v/>
      </c>
      <c r="C505" s="13" t="str">
        <f t="shared" ref="C505:D505" si="588">C504</f>
        <v/>
      </c>
      <c r="D505" s="13" t="str">
        <f t="shared" si="588"/>
        <v/>
      </c>
      <c r="E505" s="14" t="str">
        <f>IF(ISBLANK(A500),"",E504+1)</f>
        <v/>
      </c>
      <c r="F505" s="15" t="str">
        <f t="shared" si="585"/>
        <v/>
      </c>
      <c r="G505" s="16"/>
    </row>
    <row r="506">
      <c r="A506" s="5"/>
      <c r="B506" s="6" t="str">
        <f t="array" ref="B506">IF(ISBLANK(A506),"",IF(A506="PROREP (L)",VLOOKUP(LEFT($A506,6),'Data Feed (25C)'!$A$1:$G$10,2,FALSE),IF(A506="PROREP (S)", INDEX('Data Feed (25C)'!B:B, MATCH(LEFT($A506,6), 'Data Feed (25C)'!$A$1:$A$10, 0) + 1), VLOOKUP($A506,'Data Feed (25C)'!$A$1:$G$10,2,FALSE))))</f>
        <v/>
      </c>
      <c r="C506" s="6" t="str">
        <f t="array" ref="C506">IF(ISBLANK(A506),"",IF(A506="PROREP (L)",VLOOKUP(LEFT($A506,6),'Data Feed (25C)'!$A$1:$G$10,3,FALSE),IF(A506="PROREP (S)", INDEX('Data Feed (25C)'!C:C, MATCH(LEFT($A506,6), 'Data Feed (25C)'!$A$1:$A$10, 0) + 1, +1), VLOOKUP($A506,'Data Feed (25C)'!$A$1:$G$10,3,FALSE))))</f>
        <v/>
      </c>
      <c r="D506" s="6" t="str">
        <f t="array" ref="D506">IF(ISBLANK(A506),"",IF(A506="PROREP (L)",VLOOKUP(LEFT($A506,6),'Data Feed (25C)'!$A$1:$G$10,4,FALSE),IF(A506="PROREP (S)", INDEX('Data Feed (25C)'!D:D, MATCH(LEFT($A506,6), 'Data Feed (25C)'!$A$1:$A$10, 0) + 1, +1), VLOOKUP($A506,'Data Feed (25C)'!$A$1:$G$10,4,FALSE))))</f>
        <v/>
      </c>
      <c r="E506" s="6" t="str">
        <f t="array" ref="E506">IF(ISBLANK(A506),"",IF(A506="PROREP (L)",VLOOKUP(LEFT($A506,6),'Data Feed (25C)'!$A$1:$G$10,7,FALSE),IF(A506="PROREP (S)", INDEX('Data Feed (25C)'!G:G, MATCH(LEFT($A506,6), 'Data Feed (25C)'!$A$1:$A$10, 0) + 1, +1), VLOOKUP($A506,'Data Feed (25C)'!$A$1:$G$10,7,FALSE))))</f>
        <v/>
      </c>
      <c r="F506" s="7"/>
      <c r="G506" s="8"/>
    </row>
    <row r="507">
      <c r="A507" s="9" t="str">
        <f t="shared" ref="A507:A511" si="590">A506</f>
        <v/>
      </c>
      <c r="B507" s="9" t="str">
        <f>IF(ISBLANK(A506),"",LEFT(B506,27)&amp;VALUE(RIGHT(B506,1)+1))</f>
        <v/>
      </c>
      <c r="C507" s="6" t="str">
        <f t="shared" ref="C507:D507" si="589">C506</f>
        <v/>
      </c>
      <c r="D507" s="6" t="str">
        <f t="shared" si="589"/>
        <v/>
      </c>
      <c r="E507" s="10" t="str">
        <f>IF(ISBLANK(A506),"",E506+1)</f>
        <v/>
      </c>
      <c r="F507" s="11" t="str">
        <f t="shared" ref="F507:F511" si="592">F506</f>
        <v/>
      </c>
      <c r="G507" s="8"/>
    </row>
    <row r="508">
      <c r="A508" s="9" t="str">
        <f t="shared" si="590"/>
        <v/>
      </c>
      <c r="B508" s="9" t="str">
        <f>IF(ISBLANK(A506),"",LEFT(B507,27)&amp;VALUE(RIGHT(B507,1)+1))</f>
        <v/>
      </c>
      <c r="C508" s="6" t="str">
        <f t="shared" ref="C508:D508" si="591">C507</f>
        <v/>
      </c>
      <c r="D508" s="6" t="str">
        <f t="shared" si="591"/>
        <v/>
      </c>
      <c r="E508" s="10" t="str">
        <f>IF(ISBLANK(A506),"",E507+1)</f>
        <v/>
      </c>
      <c r="F508" s="11" t="str">
        <f t="shared" si="592"/>
        <v/>
      </c>
      <c r="G508" s="8"/>
    </row>
    <row r="509">
      <c r="A509" s="9" t="str">
        <f t="shared" si="590"/>
        <v/>
      </c>
      <c r="B509" s="9" t="str">
        <f>IF(ISBLANK(A506),"",LEFT(B508,27)&amp;VALUE(RIGHT(B508,1)+1))</f>
        <v/>
      </c>
      <c r="C509" s="6" t="str">
        <f t="shared" ref="C509:D509" si="593">C508</f>
        <v/>
      </c>
      <c r="D509" s="6" t="str">
        <f t="shared" si="593"/>
        <v/>
      </c>
      <c r="E509" s="10" t="str">
        <f>IF(ISBLANK(A506),"",E508+1)</f>
        <v/>
      </c>
      <c r="F509" s="11" t="str">
        <f t="shared" si="592"/>
        <v/>
      </c>
      <c r="G509" s="8"/>
    </row>
    <row r="510">
      <c r="A510" s="9" t="str">
        <f t="shared" si="590"/>
        <v/>
      </c>
      <c r="B510" s="9" t="str">
        <f>IF(ISBLANK(A506),"",LEFT(B509,27)&amp;VALUE(RIGHT(B509,1)+1))</f>
        <v/>
      </c>
      <c r="C510" s="6" t="str">
        <f t="shared" ref="C510:D510" si="594">C509</f>
        <v/>
      </c>
      <c r="D510" s="6" t="str">
        <f t="shared" si="594"/>
        <v/>
      </c>
      <c r="E510" s="10" t="str">
        <f>IF(ISBLANK(A506),"",E509+1)</f>
        <v/>
      </c>
      <c r="F510" s="11" t="str">
        <f t="shared" si="592"/>
        <v/>
      </c>
      <c r="G510" s="8"/>
    </row>
    <row r="511">
      <c r="A511" s="12" t="str">
        <f t="shared" si="590"/>
        <v/>
      </c>
      <c r="B511" s="12" t="str">
        <f>IF(ISBLANK(A506),"",LEFT(B510,27)&amp;VALUE(RIGHT(B510,1)+1))</f>
        <v/>
      </c>
      <c r="C511" s="13" t="str">
        <f t="shared" ref="C511:D511" si="595">C510</f>
        <v/>
      </c>
      <c r="D511" s="13" t="str">
        <f t="shared" si="595"/>
        <v/>
      </c>
      <c r="E511" s="14" t="str">
        <f>IF(ISBLANK(A506),"",E510+1)</f>
        <v/>
      </c>
      <c r="F511" s="15" t="str">
        <f t="shared" si="592"/>
        <v/>
      </c>
      <c r="G511" s="16"/>
    </row>
    <row r="512">
      <c r="A512" s="5"/>
      <c r="B512" s="6" t="str">
        <f t="array" ref="B512">IF(ISBLANK(A512),"",IF(A512="PROREP (L)",VLOOKUP(LEFT($A512,6),'Data Feed (25C)'!$A$1:$G$10,2,FALSE),IF(A512="PROREP (S)", INDEX('Data Feed (25C)'!B:B, MATCH(LEFT($A512,6), 'Data Feed (25C)'!$A$1:$A$10, 0) + 1), VLOOKUP($A512,'Data Feed (25C)'!$A$1:$G$10,2,FALSE))))</f>
        <v/>
      </c>
      <c r="C512" s="6" t="str">
        <f t="array" ref="C512">IF(ISBLANK(A512),"",IF(A512="PROREP (L)",VLOOKUP(LEFT($A512,6),'Data Feed (25C)'!$A$1:$G$10,3,FALSE),IF(A512="PROREP (S)", INDEX('Data Feed (25C)'!C:C, MATCH(LEFT($A512,6), 'Data Feed (25C)'!$A$1:$A$10, 0) + 1, +1), VLOOKUP($A512,'Data Feed (25C)'!$A$1:$G$10,3,FALSE))))</f>
        <v/>
      </c>
      <c r="D512" s="6" t="str">
        <f t="array" ref="D512">IF(ISBLANK(A512),"",IF(A512="PROREP (L)",VLOOKUP(LEFT($A512,6),'Data Feed (25C)'!$A$1:$G$10,4,FALSE),IF(A512="PROREP (S)", INDEX('Data Feed (25C)'!D:D, MATCH(LEFT($A512,6), 'Data Feed (25C)'!$A$1:$A$10, 0) + 1, +1), VLOOKUP($A512,'Data Feed (25C)'!$A$1:$G$10,4,FALSE))))</f>
        <v/>
      </c>
      <c r="E512" s="6" t="str">
        <f t="array" ref="E512">IF(ISBLANK(A512),"",IF(A512="PROREP (L)",VLOOKUP(LEFT($A512,6),'Data Feed (25C)'!$A$1:$G$10,7,FALSE),IF(A512="PROREP (S)", INDEX('Data Feed (25C)'!G:G, MATCH(LEFT($A512,6), 'Data Feed (25C)'!$A$1:$A$10, 0) + 1, +1), VLOOKUP($A512,'Data Feed (25C)'!$A$1:$G$10,7,FALSE))))</f>
        <v/>
      </c>
      <c r="F512" s="7"/>
      <c r="G512" s="8"/>
    </row>
    <row r="513">
      <c r="A513" s="9" t="str">
        <f t="shared" ref="A513:A517" si="597">A512</f>
        <v/>
      </c>
      <c r="B513" s="9" t="str">
        <f>IF(ISBLANK(A512),"",LEFT(B512,27)&amp;VALUE(RIGHT(B512,1)+1))</f>
        <v/>
      </c>
      <c r="C513" s="6" t="str">
        <f t="shared" ref="C513:D513" si="596">C512</f>
        <v/>
      </c>
      <c r="D513" s="6" t="str">
        <f t="shared" si="596"/>
        <v/>
      </c>
      <c r="E513" s="10" t="str">
        <f>IF(ISBLANK(A512),"",E512+1)</f>
        <v/>
      </c>
      <c r="F513" s="11" t="str">
        <f t="shared" ref="F513:F517" si="599">F512</f>
        <v/>
      </c>
      <c r="G513" s="8"/>
    </row>
    <row r="514">
      <c r="A514" s="9" t="str">
        <f t="shared" si="597"/>
        <v/>
      </c>
      <c r="B514" s="9" t="str">
        <f>IF(ISBLANK(A512),"",LEFT(B513,27)&amp;VALUE(RIGHT(B513,1)+1))</f>
        <v/>
      </c>
      <c r="C514" s="6" t="str">
        <f t="shared" ref="C514:D514" si="598">C513</f>
        <v/>
      </c>
      <c r="D514" s="6" t="str">
        <f t="shared" si="598"/>
        <v/>
      </c>
      <c r="E514" s="10" t="str">
        <f>IF(ISBLANK(A512),"",E513+1)</f>
        <v/>
      </c>
      <c r="F514" s="11" t="str">
        <f t="shared" si="599"/>
        <v/>
      </c>
      <c r="G514" s="8"/>
    </row>
    <row r="515">
      <c r="A515" s="9" t="str">
        <f t="shared" si="597"/>
        <v/>
      </c>
      <c r="B515" s="9" t="str">
        <f>IF(ISBLANK(A512),"",LEFT(B514,27)&amp;VALUE(RIGHT(B514,1)+1))</f>
        <v/>
      </c>
      <c r="C515" s="6" t="str">
        <f t="shared" ref="C515:D515" si="600">C514</f>
        <v/>
      </c>
      <c r="D515" s="6" t="str">
        <f t="shared" si="600"/>
        <v/>
      </c>
      <c r="E515" s="10" t="str">
        <f>IF(ISBLANK(A512),"",E514+1)</f>
        <v/>
      </c>
      <c r="F515" s="11" t="str">
        <f t="shared" si="599"/>
        <v/>
      </c>
      <c r="G515" s="8"/>
    </row>
    <row r="516">
      <c r="A516" s="9" t="str">
        <f t="shared" si="597"/>
        <v/>
      </c>
      <c r="B516" s="9" t="str">
        <f>IF(ISBLANK(A512),"",LEFT(B515,27)&amp;VALUE(RIGHT(B515,1)+1))</f>
        <v/>
      </c>
      <c r="C516" s="6" t="str">
        <f t="shared" ref="C516:D516" si="601">C515</f>
        <v/>
      </c>
      <c r="D516" s="6" t="str">
        <f t="shared" si="601"/>
        <v/>
      </c>
      <c r="E516" s="10" t="str">
        <f>IF(ISBLANK(A512),"",E515+1)</f>
        <v/>
      </c>
      <c r="F516" s="11" t="str">
        <f t="shared" si="599"/>
        <v/>
      </c>
      <c r="G516" s="8"/>
    </row>
    <row r="517">
      <c r="A517" s="12" t="str">
        <f t="shared" si="597"/>
        <v/>
      </c>
      <c r="B517" s="12" t="str">
        <f>IF(ISBLANK(A512),"",LEFT(B516,27)&amp;VALUE(RIGHT(B516,1)+1))</f>
        <v/>
      </c>
      <c r="C517" s="13" t="str">
        <f t="shared" ref="C517:D517" si="602">C516</f>
        <v/>
      </c>
      <c r="D517" s="13" t="str">
        <f t="shared" si="602"/>
        <v/>
      </c>
      <c r="E517" s="14" t="str">
        <f>IF(ISBLANK(A512),"",E516+1)</f>
        <v/>
      </c>
      <c r="F517" s="15" t="str">
        <f t="shared" si="599"/>
        <v/>
      </c>
      <c r="G517" s="16"/>
    </row>
    <row r="518">
      <c r="A518" s="5"/>
      <c r="B518" s="6" t="str">
        <f t="array" ref="B518">IF(ISBLANK(A518),"",IF(A518="PROREP (L)",VLOOKUP(LEFT($A518,6),'Data Feed (25C)'!$A$1:$G$10,2,FALSE),IF(A518="PROREP (S)", INDEX('Data Feed (25C)'!B:B, MATCH(LEFT($A518,6), 'Data Feed (25C)'!$A$1:$A$10, 0) + 1), VLOOKUP($A518,'Data Feed (25C)'!$A$1:$G$10,2,FALSE))))</f>
        <v/>
      </c>
      <c r="C518" s="6" t="str">
        <f t="array" ref="C518">IF(ISBLANK(A518),"",IF(A518="PROREP (L)",VLOOKUP(LEFT($A518,6),'Data Feed (25C)'!$A$1:$G$10,3,FALSE),IF(A518="PROREP (S)", INDEX('Data Feed (25C)'!C:C, MATCH(LEFT($A518,6), 'Data Feed (25C)'!$A$1:$A$10, 0) + 1, +1), VLOOKUP($A518,'Data Feed (25C)'!$A$1:$G$10,3,FALSE))))</f>
        <v/>
      </c>
      <c r="D518" s="6" t="str">
        <f t="array" ref="D518">IF(ISBLANK(A518),"",IF(A518="PROREP (L)",VLOOKUP(LEFT($A518,6),'Data Feed (25C)'!$A$1:$G$10,4,FALSE),IF(A518="PROREP (S)", INDEX('Data Feed (25C)'!D:D, MATCH(LEFT($A518,6), 'Data Feed (25C)'!$A$1:$A$10, 0) + 1, +1), VLOOKUP($A518,'Data Feed (25C)'!$A$1:$G$10,4,FALSE))))</f>
        <v/>
      </c>
      <c r="E518" s="6" t="str">
        <f t="array" ref="E518">IF(ISBLANK(A518),"",IF(A518="PROREP (L)",VLOOKUP(LEFT($A518,6),'Data Feed (25C)'!$A$1:$G$10,7,FALSE),IF(A518="PROREP (S)", INDEX('Data Feed (25C)'!G:G, MATCH(LEFT($A518,6), 'Data Feed (25C)'!$A$1:$A$10, 0) + 1, +1), VLOOKUP($A518,'Data Feed (25C)'!$A$1:$G$10,7,FALSE))))</f>
        <v/>
      </c>
      <c r="F518" s="7"/>
      <c r="G518" s="8"/>
    </row>
    <row r="519">
      <c r="A519" s="9" t="str">
        <f t="shared" ref="A519:A523" si="604">A518</f>
        <v/>
      </c>
      <c r="B519" s="9" t="str">
        <f>IF(ISBLANK(A518),"",LEFT(B518,27)&amp;VALUE(RIGHT(B518,1)+1))</f>
        <v/>
      </c>
      <c r="C519" s="6" t="str">
        <f t="shared" ref="C519:D519" si="603">C518</f>
        <v/>
      </c>
      <c r="D519" s="6" t="str">
        <f t="shared" si="603"/>
        <v/>
      </c>
      <c r="E519" s="10" t="str">
        <f>IF(ISBLANK(A518),"",E518+1)</f>
        <v/>
      </c>
      <c r="F519" s="11" t="str">
        <f t="shared" ref="F519:F523" si="606">F518</f>
        <v/>
      </c>
      <c r="G519" s="8"/>
    </row>
    <row r="520">
      <c r="A520" s="9" t="str">
        <f t="shared" si="604"/>
        <v/>
      </c>
      <c r="B520" s="9" t="str">
        <f>IF(ISBLANK(A518),"",LEFT(B519,27)&amp;VALUE(RIGHT(B519,1)+1))</f>
        <v/>
      </c>
      <c r="C520" s="6" t="str">
        <f t="shared" ref="C520:D520" si="605">C519</f>
        <v/>
      </c>
      <c r="D520" s="6" t="str">
        <f t="shared" si="605"/>
        <v/>
      </c>
      <c r="E520" s="10" t="str">
        <f>IF(ISBLANK(A518),"",E519+1)</f>
        <v/>
      </c>
      <c r="F520" s="11" t="str">
        <f t="shared" si="606"/>
        <v/>
      </c>
      <c r="G520" s="8"/>
    </row>
    <row r="521">
      <c r="A521" s="9" t="str">
        <f t="shared" si="604"/>
        <v/>
      </c>
      <c r="B521" s="9" t="str">
        <f>IF(ISBLANK(A518),"",LEFT(B520,27)&amp;VALUE(RIGHT(B520,1)+1))</f>
        <v/>
      </c>
      <c r="C521" s="6" t="str">
        <f t="shared" ref="C521:D521" si="607">C520</f>
        <v/>
      </c>
      <c r="D521" s="6" t="str">
        <f t="shared" si="607"/>
        <v/>
      </c>
      <c r="E521" s="10" t="str">
        <f>IF(ISBLANK(A518),"",E520+1)</f>
        <v/>
      </c>
      <c r="F521" s="11" t="str">
        <f t="shared" si="606"/>
        <v/>
      </c>
      <c r="G521" s="8"/>
    </row>
    <row r="522">
      <c r="A522" s="9" t="str">
        <f t="shared" si="604"/>
        <v/>
      </c>
      <c r="B522" s="9" t="str">
        <f>IF(ISBLANK(A518),"",LEFT(B521,27)&amp;VALUE(RIGHT(B521,1)+1))</f>
        <v/>
      </c>
      <c r="C522" s="6" t="str">
        <f t="shared" ref="C522:D522" si="608">C521</f>
        <v/>
      </c>
      <c r="D522" s="6" t="str">
        <f t="shared" si="608"/>
        <v/>
      </c>
      <c r="E522" s="10" t="str">
        <f>IF(ISBLANK(A518),"",E521+1)</f>
        <v/>
      </c>
      <c r="F522" s="11" t="str">
        <f t="shared" si="606"/>
        <v/>
      </c>
      <c r="G522" s="8"/>
    </row>
    <row r="523">
      <c r="A523" s="12" t="str">
        <f t="shared" si="604"/>
        <v/>
      </c>
      <c r="B523" s="12" t="str">
        <f>IF(ISBLANK(A518),"",LEFT(B522,27)&amp;VALUE(RIGHT(B522,1)+1))</f>
        <v/>
      </c>
      <c r="C523" s="13" t="str">
        <f t="shared" ref="C523:D523" si="609">C522</f>
        <v/>
      </c>
      <c r="D523" s="13" t="str">
        <f t="shared" si="609"/>
        <v/>
      </c>
      <c r="E523" s="14" t="str">
        <f>IF(ISBLANK(A518),"",E522+1)</f>
        <v/>
      </c>
      <c r="F523" s="15" t="str">
        <f t="shared" si="606"/>
        <v/>
      </c>
      <c r="G523" s="16"/>
    </row>
    <row r="524">
      <c r="A524" s="5"/>
      <c r="B524" s="6" t="str">
        <f t="array" ref="B524">IF(ISBLANK(A524),"",IF(A524="PROREP (L)",VLOOKUP(LEFT($A524,6),'Data Feed (25C)'!$A$1:$G$10,2,FALSE),IF(A524="PROREP (S)", INDEX('Data Feed (25C)'!B:B, MATCH(LEFT($A524,6), 'Data Feed (25C)'!$A$1:$A$10, 0) + 1), VLOOKUP($A524,'Data Feed (25C)'!$A$1:$G$10,2,FALSE))))</f>
        <v/>
      </c>
      <c r="C524" s="6" t="str">
        <f t="array" ref="C524">IF(ISBLANK(A524),"",IF(A524="PROREP (L)",VLOOKUP(LEFT($A524,6),'Data Feed (25C)'!$A$1:$G$10,3,FALSE),IF(A524="PROREP (S)", INDEX('Data Feed (25C)'!C:C, MATCH(LEFT($A524,6), 'Data Feed (25C)'!$A$1:$A$10, 0) + 1, +1), VLOOKUP($A524,'Data Feed (25C)'!$A$1:$G$10,3,FALSE))))</f>
        <v/>
      </c>
      <c r="D524" s="6" t="str">
        <f t="array" ref="D524">IF(ISBLANK(A524),"",IF(A524="PROREP (L)",VLOOKUP(LEFT($A524,6),'Data Feed (25C)'!$A$1:$G$10,4,FALSE),IF(A524="PROREP (S)", INDEX('Data Feed (25C)'!D:D, MATCH(LEFT($A524,6), 'Data Feed (25C)'!$A$1:$A$10, 0) + 1, +1), VLOOKUP($A524,'Data Feed (25C)'!$A$1:$G$10,4,FALSE))))</f>
        <v/>
      </c>
      <c r="E524" s="6" t="str">
        <f t="array" ref="E524">IF(ISBLANK(A524),"",IF(A524="PROREP (L)",VLOOKUP(LEFT($A524,6),'Data Feed (25C)'!$A$1:$G$10,7,FALSE),IF(A524="PROREP (S)", INDEX('Data Feed (25C)'!G:G, MATCH(LEFT($A524,6), 'Data Feed (25C)'!$A$1:$A$10, 0) + 1, +1), VLOOKUP($A524,'Data Feed (25C)'!$A$1:$G$10,7,FALSE))))</f>
        <v/>
      </c>
      <c r="F524" s="7"/>
      <c r="G524" s="8"/>
    </row>
    <row r="525">
      <c r="A525" s="9" t="str">
        <f t="shared" ref="A525:A529" si="611">A524</f>
        <v/>
      </c>
      <c r="B525" s="9" t="str">
        <f>IF(ISBLANK(A524),"",LEFT(B524,27)&amp;VALUE(RIGHT(B524,1)+1))</f>
        <v/>
      </c>
      <c r="C525" s="6" t="str">
        <f t="shared" ref="C525:D525" si="610">C524</f>
        <v/>
      </c>
      <c r="D525" s="6" t="str">
        <f t="shared" si="610"/>
        <v/>
      </c>
      <c r="E525" s="10" t="str">
        <f>IF(ISBLANK(A524),"",E524+1)</f>
        <v/>
      </c>
      <c r="F525" s="11" t="str">
        <f t="shared" ref="F525:F529" si="613">F524</f>
        <v/>
      </c>
      <c r="G525" s="8"/>
    </row>
    <row r="526">
      <c r="A526" s="9" t="str">
        <f t="shared" si="611"/>
        <v/>
      </c>
      <c r="B526" s="9" t="str">
        <f>IF(ISBLANK(A524),"",LEFT(B525,27)&amp;VALUE(RIGHT(B525,1)+1))</f>
        <v/>
      </c>
      <c r="C526" s="6" t="str">
        <f t="shared" ref="C526:D526" si="612">C525</f>
        <v/>
      </c>
      <c r="D526" s="6" t="str">
        <f t="shared" si="612"/>
        <v/>
      </c>
      <c r="E526" s="10" t="str">
        <f>IF(ISBLANK(A524),"",E525+1)</f>
        <v/>
      </c>
      <c r="F526" s="11" t="str">
        <f t="shared" si="613"/>
        <v/>
      </c>
      <c r="G526" s="8"/>
    </row>
    <row r="527">
      <c r="A527" s="9" t="str">
        <f t="shared" si="611"/>
        <v/>
      </c>
      <c r="B527" s="9" t="str">
        <f>IF(ISBLANK(A524),"",LEFT(B526,27)&amp;VALUE(RIGHT(B526,1)+1))</f>
        <v/>
      </c>
      <c r="C527" s="6" t="str">
        <f t="shared" ref="C527:D527" si="614">C526</f>
        <v/>
      </c>
      <c r="D527" s="6" t="str">
        <f t="shared" si="614"/>
        <v/>
      </c>
      <c r="E527" s="10" t="str">
        <f>IF(ISBLANK(A524),"",E526+1)</f>
        <v/>
      </c>
      <c r="F527" s="11" t="str">
        <f t="shared" si="613"/>
        <v/>
      </c>
      <c r="G527" s="8"/>
    </row>
    <row r="528">
      <c r="A528" s="9" t="str">
        <f t="shared" si="611"/>
        <v/>
      </c>
      <c r="B528" s="9" t="str">
        <f>IF(ISBLANK(A524),"",LEFT(B527,27)&amp;VALUE(RIGHT(B527,1)+1))</f>
        <v/>
      </c>
      <c r="C528" s="6" t="str">
        <f t="shared" ref="C528:D528" si="615">C527</f>
        <v/>
      </c>
      <c r="D528" s="6" t="str">
        <f t="shared" si="615"/>
        <v/>
      </c>
      <c r="E528" s="10" t="str">
        <f>IF(ISBLANK(A524),"",E527+1)</f>
        <v/>
      </c>
      <c r="F528" s="11" t="str">
        <f t="shared" si="613"/>
        <v/>
      </c>
      <c r="G528" s="8"/>
    </row>
    <row r="529">
      <c r="A529" s="12" t="str">
        <f t="shared" si="611"/>
        <v/>
      </c>
      <c r="B529" s="12" t="str">
        <f>IF(ISBLANK(A524),"",LEFT(B528,27)&amp;VALUE(RIGHT(B528,1)+1))</f>
        <v/>
      </c>
      <c r="C529" s="13" t="str">
        <f t="shared" ref="C529:D529" si="616">C528</f>
        <v/>
      </c>
      <c r="D529" s="13" t="str">
        <f t="shared" si="616"/>
        <v/>
      </c>
      <c r="E529" s="14" t="str">
        <f>IF(ISBLANK(A524),"",E528+1)</f>
        <v/>
      </c>
      <c r="F529" s="15" t="str">
        <f t="shared" si="613"/>
        <v/>
      </c>
      <c r="G529" s="16"/>
    </row>
    <row r="530">
      <c r="A530" s="5"/>
      <c r="B530" s="6" t="str">
        <f t="array" ref="B530">IF(ISBLANK(A530),"",IF(A530="PROREP (L)",VLOOKUP(LEFT($A530,6),'Data Feed (25C)'!$A$1:$G$10,2,FALSE),IF(A530="PROREP (S)", INDEX('Data Feed (25C)'!B:B, MATCH(LEFT($A530,6), 'Data Feed (25C)'!$A$1:$A$10, 0) + 1), VLOOKUP($A530,'Data Feed (25C)'!$A$1:$G$10,2,FALSE))))</f>
        <v/>
      </c>
      <c r="C530" s="6" t="str">
        <f t="array" ref="C530">IF(ISBLANK(A530),"",IF(A530="PROREP (L)",VLOOKUP(LEFT($A530,6),'Data Feed (25C)'!$A$1:$G$10,3,FALSE),IF(A530="PROREP (S)", INDEX('Data Feed (25C)'!C:C, MATCH(LEFT($A530,6), 'Data Feed (25C)'!$A$1:$A$10, 0) + 1, +1), VLOOKUP($A530,'Data Feed (25C)'!$A$1:$G$10,3,FALSE))))</f>
        <v/>
      </c>
      <c r="D530" s="6" t="str">
        <f t="array" ref="D530">IF(ISBLANK(A530),"",IF(A530="PROREP (L)",VLOOKUP(LEFT($A530,6),'Data Feed (25C)'!$A$1:$G$10,4,FALSE),IF(A530="PROREP (S)", INDEX('Data Feed (25C)'!D:D, MATCH(LEFT($A530,6), 'Data Feed (25C)'!$A$1:$A$10, 0) + 1, +1), VLOOKUP($A530,'Data Feed (25C)'!$A$1:$G$10,4,FALSE))))</f>
        <v/>
      </c>
      <c r="E530" s="6" t="str">
        <f t="array" ref="E530">IF(ISBLANK(A530),"",IF(A530="PROREP (L)",VLOOKUP(LEFT($A530,6),'Data Feed (25C)'!$A$1:$G$10,7,FALSE),IF(A530="PROREP (S)", INDEX('Data Feed (25C)'!G:G, MATCH(LEFT($A530,6), 'Data Feed (25C)'!$A$1:$A$10, 0) + 1, +1), VLOOKUP($A530,'Data Feed (25C)'!$A$1:$G$10,7,FALSE))))</f>
        <v/>
      </c>
      <c r="F530" s="7"/>
      <c r="G530" s="8"/>
    </row>
    <row r="531">
      <c r="A531" s="9" t="str">
        <f t="shared" ref="A531:A535" si="618">A530</f>
        <v/>
      </c>
      <c r="B531" s="9" t="str">
        <f>IF(ISBLANK(A530),"",LEFT(B530,27)&amp;VALUE(RIGHT(B530,1)+1))</f>
        <v/>
      </c>
      <c r="C531" s="6" t="str">
        <f t="shared" ref="C531:D531" si="617">C530</f>
        <v/>
      </c>
      <c r="D531" s="6" t="str">
        <f t="shared" si="617"/>
        <v/>
      </c>
      <c r="E531" s="10" t="str">
        <f>IF(ISBLANK(A530),"",E530+1)</f>
        <v/>
      </c>
      <c r="F531" s="11" t="str">
        <f t="shared" ref="F531:F535" si="620">F530</f>
        <v/>
      </c>
      <c r="G531" s="8"/>
    </row>
    <row r="532">
      <c r="A532" s="9" t="str">
        <f t="shared" si="618"/>
        <v/>
      </c>
      <c r="B532" s="9" t="str">
        <f>IF(ISBLANK(A530),"",LEFT(B531,27)&amp;VALUE(RIGHT(B531,1)+1))</f>
        <v/>
      </c>
      <c r="C532" s="6" t="str">
        <f t="shared" ref="C532:D532" si="619">C531</f>
        <v/>
      </c>
      <c r="D532" s="6" t="str">
        <f t="shared" si="619"/>
        <v/>
      </c>
      <c r="E532" s="10" t="str">
        <f>IF(ISBLANK(A530),"",E531+1)</f>
        <v/>
      </c>
      <c r="F532" s="11" t="str">
        <f t="shared" si="620"/>
        <v/>
      </c>
      <c r="G532" s="8"/>
    </row>
    <row r="533">
      <c r="A533" s="9" t="str">
        <f t="shared" si="618"/>
        <v/>
      </c>
      <c r="B533" s="9" t="str">
        <f>IF(ISBLANK(A530),"",LEFT(B532,27)&amp;VALUE(RIGHT(B532,1)+1))</f>
        <v/>
      </c>
      <c r="C533" s="6" t="str">
        <f t="shared" ref="C533:D533" si="621">C532</f>
        <v/>
      </c>
      <c r="D533" s="6" t="str">
        <f t="shared" si="621"/>
        <v/>
      </c>
      <c r="E533" s="10" t="str">
        <f>IF(ISBLANK(A530),"",E532+1)</f>
        <v/>
      </c>
      <c r="F533" s="11" t="str">
        <f t="shared" si="620"/>
        <v/>
      </c>
      <c r="G533" s="8"/>
    </row>
    <row r="534">
      <c r="A534" s="9" t="str">
        <f t="shared" si="618"/>
        <v/>
      </c>
      <c r="B534" s="9" t="str">
        <f>IF(ISBLANK(A530),"",LEFT(B533,27)&amp;VALUE(RIGHT(B533,1)+1))</f>
        <v/>
      </c>
      <c r="C534" s="6" t="str">
        <f t="shared" ref="C534:D534" si="622">C533</f>
        <v/>
      </c>
      <c r="D534" s="6" t="str">
        <f t="shared" si="622"/>
        <v/>
      </c>
      <c r="E534" s="10" t="str">
        <f>IF(ISBLANK(A530),"",E533+1)</f>
        <v/>
      </c>
      <c r="F534" s="11" t="str">
        <f t="shared" si="620"/>
        <v/>
      </c>
      <c r="G534" s="8"/>
    </row>
    <row r="535">
      <c r="A535" s="12" t="str">
        <f t="shared" si="618"/>
        <v/>
      </c>
      <c r="B535" s="12" t="str">
        <f>IF(ISBLANK(A530),"",LEFT(B534,27)&amp;VALUE(RIGHT(B534,1)+1))</f>
        <v/>
      </c>
      <c r="C535" s="13" t="str">
        <f t="shared" ref="C535:D535" si="623">C534</f>
        <v/>
      </c>
      <c r="D535" s="13" t="str">
        <f t="shared" si="623"/>
        <v/>
      </c>
      <c r="E535" s="14" t="str">
        <f>IF(ISBLANK(A530),"",E534+1)</f>
        <v/>
      </c>
      <c r="F535" s="15" t="str">
        <f t="shared" si="620"/>
        <v/>
      </c>
      <c r="G535" s="16"/>
    </row>
    <row r="536">
      <c r="A536" s="5"/>
      <c r="B536" s="6" t="str">
        <f t="array" ref="B536">IF(ISBLANK(A536),"",IF(A536="PROREP (L)",VLOOKUP(LEFT($A536,6),'Data Feed (25C)'!$A$1:$G$10,2,FALSE),IF(A536="PROREP (S)", INDEX('Data Feed (25C)'!B:B, MATCH(LEFT($A536,6), 'Data Feed (25C)'!$A$1:$A$10, 0) + 1), VLOOKUP($A536,'Data Feed (25C)'!$A$1:$G$10,2,FALSE))))</f>
        <v/>
      </c>
      <c r="C536" s="6" t="str">
        <f t="array" ref="C536">IF(ISBLANK(A536),"",IF(A536="PROREP (L)",VLOOKUP(LEFT($A536,6),'Data Feed (25C)'!$A$1:$G$10,3,FALSE),IF(A536="PROREP (S)", INDEX('Data Feed (25C)'!C:C, MATCH(LEFT($A536,6), 'Data Feed (25C)'!$A$1:$A$10, 0) + 1, +1), VLOOKUP($A536,'Data Feed (25C)'!$A$1:$G$10,3,FALSE))))</f>
        <v/>
      </c>
      <c r="D536" s="6" t="str">
        <f t="array" ref="D536">IF(ISBLANK(A536),"",IF(A536="PROREP (L)",VLOOKUP(LEFT($A536,6),'Data Feed (25C)'!$A$1:$G$10,4,FALSE),IF(A536="PROREP (S)", INDEX('Data Feed (25C)'!D:D, MATCH(LEFT($A536,6), 'Data Feed (25C)'!$A$1:$A$10, 0) + 1, +1), VLOOKUP($A536,'Data Feed (25C)'!$A$1:$G$10,4,FALSE))))</f>
        <v/>
      </c>
      <c r="E536" s="6" t="str">
        <f t="array" ref="E536">IF(ISBLANK(A536),"",IF(A536="PROREP (L)",VLOOKUP(LEFT($A536,6),'Data Feed (25C)'!$A$1:$G$10,7,FALSE),IF(A536="PROREP (S)", INDEX('Data Feed (25C)'!G:G, MATCH(LEFT($A536,6), 'Data Feed (25C)'!$A$1:$A$10, 0) + 1, +1), VLOOKUP($A536,'Data Feed (25C)'!$A$1:$G$10,7,FALSE))))</f>
        <v/>
      </c>
      <c r="F536" s="7"/>
      <c r="G536" s="8"/>
    </row>
    <row r="537">
      <c r="A537" s="9" t="str">
        <f t="shared" ref="A537:A541" si="625">A536</f>
        <v/>
      </c>
      <c r="B537" s="9" t="str">
        <f>IF(ISBLANK(A536),"",LEFT(B536,27)&amp;VALUE(RIGHT(B536,1)+1))</f>
        <v/>
      </c>
      <c r="C537" s="6" t="str">
        <f t="shared" ref="C537:D537" si="624">C536</f>
        <v/>
      </c>
      <c r="D537" s="6" t="str">
        <f t="shared" si="624"/>
        <v/>
      </c>
      <c r="E537" s="10" t="str">
        <f>IF(ISBLANK(A536),"",E536+1)</f>
        <v/>
      </c>
      <c r="F537" s="11" t="str">
        <f t="shared" ref="F537:F541" si="627">F536</f>
        <v/>
      </c>
      <c r="G537" s="8"/>
    </row>
    <row r="538">
      <c r="A538" s="9" t="str">
        <f t="shared" si="625"/>
        <v/>
      </c>
      <c r="B538" s="9" t="str">
        <f>IF(ISBLANK(A536),"",LEFT(B537,27)&amp;VALUE(RIGHT(B537,1)+1))</f>
        <v/>
      </c>
      <c r="C538" s="6" t="str">
        <f t="shared" ref="C538:D538" si="626">C537</f>
        <v/>
      </c>
      <c r="D538" s="6" t="str">
        <f t="shared" si="626"/>
        <v/>
      </c>
      <c r="E538" s="10" t="str">
        <f>IF(ISBLANK(A536),"",E537+1)</f>
        <v/>
      </c>
      <c r="F538" s="11" t="str">
        <f t="shared" si="627"/>
        <v/>
      </c>
      <c r="G538" s="8"/>
    </row>
    <row r="539">
      <c r="A539" s="9" t="str">
        <f t="shared" si="625"/>
        <v/>
      </c>
      <c r="B539" s="9" t="str">
        <f>IF(ISBLANK(A536),"",LEFT(B538,27)&amp;VALUE(RIGHT(B538,1)+1))</f>
        <v/>
      </c>
      <c r="C539" s="6" t="str">
        <f t="shared" ref="C539:D539" si="628">C538</f>
        <v/>
      </c>
      <c r="D539" s="6" t="str">
        <f t="shared" si="628"/>
        <v/>
      </c>
      <c r="E539" s="10" t="str">
        <f>IF(ISBLANK(A536),"",E538+1)</f>
        <v/>
      </c>
      <c r="F539" s="11" t="str">
        <f t="shared" si="627"/>
        <v/>
      </c>
      <c r="G539" s="8"/>
    </row>
    <row r="540">
      <c r="A540" s="9" t="str">
        <f t="shared" si="625"/>
        <v/>
      </c>
      <c r="B540" s="9" t="str">
        <f>IF(ISBLANK(A536),"",LEFT(B539,27)&amp;VALUE(RIGHT(B539,1)+1))</f>
        <v/>
      </c>
      <c r="C540" s="6" t="str">
        <f t="shared" ref="C540:D540" si="629">C539</f>
        <v/>
      </c>
      <c r="D540" s="6" t="str">
        <f t="shared" si="629"/>
        <v/>
      </c>
      <c r="E540" s="10" t="str">
        <f>IF(ISBLANK(A536),"",E539+1)</f>
        <v/>
      </c>
      <c r="F540" s="11" t="str">
        <f t="shared" si="627"/>
        <v/>
      </c>
      <c r="G540" s="8"/>
    </row>
    <row r="541">
      <c r="A541" s="12" t="str">
        <f t="shared" si="625"/>
        <v/>
      </c>
      <c r="B541" s="12" t="str">
        <f>IF(ISBLANK(A536),"",LEFT(B540,27)&amp;VALUE(RIGHT(B540,1)+1))</f>
        <v/>
      </c>
      <c r="C541" s="13" t="str">
        <f t="shared" ref="C541:D541" si="630">C540</f>
        <v/>
      </c>
      <c r="D541" s="13" t="str">
        <f t="shared" si="630"/>
        <v/>
      </c>
      <c r="E541" s="14" t="str">
        <f>IF(ISBLANK(A536),"",E540+1)</f>
        <v/>
      </c>
      <c r="F541" s="15" t="str">
        <f t="shared" si="627"/>
        <v/>
      </c>
      <c r="G541" s="16"/>
    </row>
    <row r="542">
      <c r="A542" s="5"/>
      <c r="B542" s="6" t="str">
        <f t="array" ref="B542">IF(ISBLANK(A542),"",IF(A542="PROREP (L)",VLOOKUP(LEFT($A542,6),'Data Feed (25C)'!$A$1:$G$10,2,FALSE),IF(A542="PROREP (S)", INDEX('Data Feed (25C)'!B:B, MATCH(LEFT($A542,6), 'Data Feed (25C)'!$A$1:$A$10, 0) + 1), VLOOKUP($A542,'Data Feed (25C)'!$A$1:$G$10,2,FALSE))))</f>
        <v/>
      </c>
      <c r="C542" s="6" t="str">
        <f t="array" ref="C542">IF(ISBLANK(A542),"",IF(A542="PROREP (L)",VLOOKUP(LEFT($A542,6),'Data Feed (25C)'!$A$1:$G$10,3,FALSE),IF(A542="PROREP (S)", INDEX('Data Feed (25C)'!C:C, MATCH(LEFT($A542,6), 'Data Feed (25C)'!$A$1:$A$10, 0) + 1, +1), VLOOKUP($A542,'Data Feed (25C)'!$A$1:$G$10,3,FALSE))))</f>
        <v/>
      </c>
      <c r="D542" s="6" t="str">
        <f t="array" ref="D542">IF(ISBLANK(A542),"",IF(A542="PROREP (L)",VLOOKUP(LEFT($A542,6),'Data Feed (25C)'!$A$1:$G$10,4,FALSE),IF(A542="PROREP (S)", INDEX('Data Feed (25C)'!D:D, MATCH(LEFT($A542,6), 'Data Feed (25C)'!$A$1:$A$10, 0) + 1, +1), VLOOKUP($A542,'Data Feed (25C)'!$A$1:$G$10,4,FALSE))))</f>
        <v/>
      </c>
      <c r="E542" s="6" t="str">
        <f t="array" ref="E542">IF(ISBLANK(A542),"",IF(A542="PROREP (L)",VLOOKUP(LEFT($A542,6),'Data Feed (25C)'!$A$1:$G$10,7,FALSE),IF(A542="PROREP (S)", INDEX('Data Feed (25C)'!G:G, MATCH(LEFT($A542,6), 'Data Feed (25C)'!$A$1:$A$10, 0) + 1, +1), VLOOKUP($A542,'Data Feed (25C)'!$A$1:$G$10,7,FALSE))))</f>
        <v/>
      </c>
      <c r="F542" s="7"/>
      <c r="G542" s="8"/>
    </row>
    <row r="543">
      <c r="A543" s="9" t="str">
        <f t="shared" ref="A543:A547" si="632">A542</f>
        <v/>
      </c>
      <c r="B543" s="9" t="str">
        <f>IF(ISBLANK(A542),"",LEFT(B542,27)&amp;VALUE(RIGHT(B542,1)+1))</f>
        <v/>
      </c>
      <c r="C543" s="6" t="str">
        <f t="shared" ref="C543:D543" si="631">C542</f>
        <v/>
      </c>
      <c r="D543" s="6" t="str">
        <f t="shared" si="631"/>
        <v/>
      </c>
      <c r="E543" s="10" t="str">
        <f>IF(ISBLANK(A542),"",E542+1)</f>
        <v/>
      </c>
      <c r="F543" s="11" t="str">
        <f t="shared" ref="F543:F547" si="634">F542</f>
        <v/>
      </c>
      <c r="G543" s="8"/>
    </row>
    <row r="544">
      <c r="A544" s="9" t="str">
        <f t="shared" si="632"/>
        <v/>
      </c>
      <c r="B544" s="9" t="str">
        <f>IF(ISBLANK(A542),"",LEFT(B543,27)&amp;VALUE(RIGHT(B543,1)+1))</f>
        <v/>
      </c>
      <c r="C544" s="6" t="str">
        <f t="shared" ref="C544:D544" si="633">C543</f>
        <v/>
      </c>
      <c r="D544" s="6" t="str">
        <f t="shared" si="633"/>
        <v/>
      </c>
      <c r="E544" s="10" t="str">
        <f>IF(ISBLANK(A542),"",E543+1)</f>
        <v/>
      </c>
      <c r="F544" s="11" t="str">
        <f t="shared" si="634"/>
        <v/>
      </c>
      <c r="G544" s="8"/>
    </row>
    <row r="545">
      <c r="A545" s="9" t="str">
        <f t="shared" si="632"/>
        <v/>
      </c>
      <c r="B545" s="9" t="str">
        <f>IF(ISBLANK(A542),"",LEFT(B544,27)&amp;VALUE(RIGHT(B544,1)+1))</f>
        <v/>
      </c>
      <c r="C545" s="6" t="str">
        <f t="shared" ref="C545:D545" si="635">C544</f>
        <v/>
      </c>
      <c r="D545" s="6" t="str">
        <f t="shared" si="635"/>
        <v/>
      </c>
      <c r="E545" s="10" t="str">
        <f>IF(ISBLANK(A542),"",E544+1)</f>
        <v/>
      </c>
      <c r="F545" s="11" t="str">
        <f t="shared" si="634"/>
        <v/>
      </c>
      <c r="G545" s="8"/>
    </row>
    <row r="546">
      <c r="A546" s="9" t="str">
        <f t="shared" si="632"/>
        <v/>
      </c>
      <c r="B546" s="9" t="str">
        <f>IF(ISBLANK(A542),"",LEFT(B545,27)&amp;VALUE(RIGHT(B545,1)+1))</f>
        <v/>
      </c>
      <c r="C546" s="6" t="str">
        <f t="shared" ref="C546:D546" si="636">C545</f>
        <v/>
      </c>
      <c r="D546" s="6" t="str">
        <f t="shared" si="636"/>
        <v/>
      </c>
      <c r="E546" s="10" t="str">
        <f>IF(ISBLANK(A542),"",E545+1)</f>
        <v/>
      </c>
      <c r="F546" s="11" t="str">
        <f t="shared" si="634"/>
        <v/>
      </c>
      <c r="G546" s="8"/>
    </row>
    <row r="547">
      <c r="A547" s="12" t="str">
        <f t="shared" si="632"/>
        <v/>
      </c>
      <c r="B547" s="12" t="str">
        <f>IF(ISBLANK(A542),"",LEFT(B546,27)&amp;VALUE(RIGHT(B546,1)+1))</f>
        <v/>
      </c>
      <c r="C547" s="13" t="str">
        <f t="shared" ref="C547:D547" si="637">C546</f>
        <v/>
      </c>
      <c r="D547" s="13" t="str">
        <f t="shared" si="637"/>
        <v/>
      </c>
      <c r="E547" s="14" t="str">
        <f>IF(ISBLANK(A542),"",E546+1)</f>
        <v/>
      </c>
      <c r="F547" s="15" t="str">
        <f t="shared" si="634"/>
        <v/>
      </c>
      <c r="G547" s="16"/>
    </row>
    <row r="548">
      <c r="A548" s="5"/>
      <c r="B548" s="6" t="str">
        <f t="array" ref="B548">IF(ISBLANK(A548),"",IF(A548="PROREP (L)",VLOOKUP(LEFT($A548,6),'Data Feed (25C)'!$A$1:$G$10,2,FALSE),IF(A548="PROREP (S)", INDEX('Data Feed (25C)'!B:B, MATCH(LEFT($A548,6), 'Data Feed (25C)'!$A$1:$A$10, 0) + 1), VLOOKUP($A548,'Data Feed (25C)'!$A$1:$G$10,2,FALSE))))</f>
        <v/>
      </c>
      <c r="C548" s="6" t="str">
        <f t="array" ref="C548">IF(ISBLANK(A548),"",IF(A548="PROREP (L)",VLOOKUP(LEFT($A548,6),'Data Feed (25C)'!$A$1:$G$10,3,FALSE),IF(A548="PROREP (S)", INDEX('Data Feed (25C)'!C:C, MATCH(LEFT($A548,6), 'Data Feed (25C)'!$A$1:$A$10, 0) + 1, +1), VLOOKUP($A548,'Data Feed (25C)'!$A$1:$G$10,3,FALSE))))</f>
        <v/>
      </c>
      <c r="D548" s="6" t="str">
        <f t="array" ref="D548">IF(ISBLANK(A548),"",IF(A548="PROREP (L)",VLOOKUP(LEFT($A548,6),'Data Feed (25C)'!$A$1:$G$10,4,FALSE),IF(A548="PROREP (S)", INDEX('Data Feed (25C)'!D:D, MATCH(LEFT($A548,6), 'Data Feed (25C)'!$A$1:$A$10, 0) + 1, +1), VLOOKUP($A548,'Data Feed (25C)'!$A$1:$G$10,4,FALSE))))</f>
        <v/>
      </c>
      <c r="E548" s="6" t="str">
        <f t="array" ref="E548">IF(ISBLANK(A548),"",IF(A548="PROREP (L)",VLOOKUP(LEFT($A548,6),'Data Feed (25C)'!$A$1:$G$10,7,FALSE),IF(A548="PROREP (S)", INDEX('Data Feed (25C)'!G:G, MATCH(LEFT($A548,6), 'Data Feed (25C)'!$A$1:$A$10, 0) + 1, +1), VLOOKUP($A548,'Data Feed (25C)'!$A$1:$G$10,7,FALSE))))</f>
        <v/>
      </c>
      <c r="F548" s="7"/>
      <c r="G548" s="8"/>
    </row>
    <row r="549">
      <c r="A549" s="9" t="str">
        <f t="shared" ref="A549:A553" si="639">A548</f>
        <v/>
      </c>
      <c r="B549" s="9" t="str">
        <f>IF(ISBLANK(A548),"",LEFT(B548,27)&amp;VALUE(RIGHT(B548,1)+1))</f>
        <v/>
      </c>
      <c r="C549" s="6" t="str">
        <f t="shared" ref="C549:D549" si="638">C548</f>
        <v/>
      </c>
      <c r="D549" s="6" t="str">
        <f t="shared" si="638"/>
        <v/>
      </c>
      <c r="E549" s="10" t="str">
        <f>IF(ISBLANK(A548),"",E548+1)</f>
        <v/>
      </c>
      <c r="F549" s="11" t="str">
        <f t="shared" ref="F549:F553" si="641">F548</f>
        <v/>
      </c>
      <c r="G549" s="8"/>
    </row>
    <row r="550">
      <c r="A550" s="9" t="str">
        <f t="shared" si="639"/>
        <v/>
      </c>
      <c r="B550" s="9" t="str">
        <f>IF(ISBLANK(A548),"",LEFT(B549,27)&amp;VALUE(RIGHT(B549,1)+1))</f>
        <v/>
      </c>
      <c r="C550" s="6" t="str">
        <f t="shared" ref="C550:D550" si="640">C549</f>
        <v/>
      </c>
      <c r="D550" s="6" t="str">
        <f t="shared" si="640"/>
        <v/>
      </c>
      <c r="E550" s="10" t="str">
        <f>IF(ISBLANK(A548),"",E549+1)</f>
        <v/>
      </c>
      <c r="F550" s="11" t="str">
        <f t="shared" si="641"/>
        <v/>
      </c>
      <c r="G550" s="8"/>
    </row>
    <row r="551">
      <c r="A551" s="9" t="str">
        <f t="shared" si="639"/>
        <v/>
      </c>
      <c r="B551" s="9" t="str">
        <f>IF(ISBLANK(A548),"",LEFT(B550,27)&amp;VALUE(RIGHT(B550,1)+1))</f>
        <v/>
      </c>
      <c r="C551" s="6" t="str">
        <f t="shared" ref="C551:D551" si="642">C550</f>
        <v/>
      </c>
      <c r="D551" s="6" t="str">
        <f t="shared" si="642"/>
        <v/>
      </c>
      <c r="E551" s="10" t="str">
        <f>IF(ISBLANK(A548),"",E550+1)</f>
        <v/>
      </c>
      <c r="F551" s="11" t="str">
        <f t="shared" si="641"/>
        <v/>
      </c>
      <c r="G551" s="8"/>
    </row>
    <row r="552">
      <c r="A552" s="9" t="str">
        <f t="shared" si="639"/>
        <v/>
      </c>
      <c r="B552" s="9" t="str">
        <f>IF(ISBLANK(A548),"",LEFT(B551,27)&amp;VALUE(RIGHT(B551,1)+1))</f>
        <v/>
      </c>
      <c r="C552" s="6" t="str">
        <f t="shared" ref="C552:D552" si="643">C551</f>
        <v/>
      </c>
      <c r="D552" s="6" t="str">
        <f t="shared" si="643"/>
        <v/>
      </c>
      <c r="E552" s="10" t="str">
        <f>IF(ISBLANK(A548),"",E551+1)</f>
        <v/>
      </c>
      <c r="F552" s="11" t="str">
        <f t="shared" si="641"/>
        <v/>
      </c>
      <c r="G552" s="8"/>
    </row>
    <row r="553">
      <c r="A553" s="12" t="str">
        <f t="shared" si="639"/>
        <v/>
      </c>
      <c r="B553" s="12" t="str">
        <f>IF(ISBLANK(A548),"",LEFT(B552,27)&amp;VALUE(RIGHT(B552,1)+1))</f>
        <v/>
      </c>
      <c r="C553" s="13" t="str">
        <f t="shared" ref="C553:D553" si="644">C552</f>
        <v/>
      </c>
      <c r="D553" s="13" t="str">
        <f t="shared" si="644"/>
        <v/>
      </c>
      <c r="E553" s="14" t="str">
        <f>IF(ISBLANK(A548),"",E552+1)</f>
        <v/>
      </c>
      <c r="F553" s="15" t="str">
        <f t="shared" si="641"/>
        <v/>
      </c>
      <c r="G553" s="16"/>
    </row>
    <row r="554">
      <c r="A554" s="5"/>
      <c r="B554" s="6" t="str">
        <f t="array" ref="B554">IF(ISBLANK(A554),"",IF(A554="PROREP (L)",VLOOKUP(LEFT($A554,6),'Data Feed (25C)'!$A$1:$G$10,2,FALSE),IF(A554="PROREP (S)", INDEX('Data Feed (25C)'!B:B, MATCH(LEFT($A554,6), 'Data Feed (25C)'!$A$1:$A$10, 0) + 1), VLOOKUP($A554,'Data Feed (25C)'!$A$1:$G$10,2,FALSE))))</f>
        <v/>
      </c>
      <c r="C554" s="6" t="str">
        <f t="array" ref="C554">IF(ISBLANK(A554),"",IF(A554="PROREP (L)",VLOOKUP(LEFT($A554,6),'Data Feed (25C)'!$A$1:$G$10,3,FALSE),IF(A554="PROREP (S)", INDEX('Data Feed (25C)'!C:C, MATCH(LEFT($A554,6), 'Data Feed (25C)'!$A$1:$A$10, 0) + 1, +1), VLOOKUP($A554,'Data Feed (25C)'!$A$1:$G$10,3,FALSE))))</f>
        <v/>
      </c>
      <c r="D554" s="6" t="str">
        <f t="array" ref="D554">IF(ISBLANK(A554),"",IF(A554="PROREP (L)",VLOOKUP(LEFT($A554,6),'Data Feed (25C)'!$A$1:$G$10,4,FALSE),IF(A554="PROREP (S)", INDEX('Data Feed (25C)'!D:D, MATCH(LEFT($A554,6), 'Data Feed (25C)'!$A$1:$A$10, 0) + 1, +1), VLOOKUP($A554,'Data Feed (25C)'!$A$1:$G$10,4,FALSE))))</f>
        <v/>
      </c>
      <c r="E554" s="6" t="str">
        <f t="array" ref="E554">IF(ISBLANK(A554),"",IF(A554="PROREP (L)",VLOOKUP(LEFT($A554,6),'Data Feed (25C)'!$A$1:$G$10,7,FALSE),IF(A554="PROREP (S)", INDEX('Data Feed (25C)'!G:G, MATCH(LEFT($A554,6), 'Data Feed (25C)'!$A$1:$A$10, 0) + 1, +1), VLOOKUP($A554,'Data Feed (25C)'!$A$1:$G$10,7,FALSE))))</f>
        <v/>
      </c>
      <c r="F554" s="7"/>
      <c r="G554" s="8"/>
    </row>
    <row r="555">
      <c r="A555" s="9" t="str">
        <f t="shared" ref="A555:A559" si="646">A554</f>
        <v/>
      </c>
      <c r="B555" s="9" t="str">
        <f>IF(ISBLANK(A554),"",LEFT(B554,27)&amp;VALUE(RIGHT(B554,1)+1))</f>
        <v/>
      </c>
      <c r="C555" s="6" t="str">
        <f t="shared" ref="C555:D555" si="645">C554</f>
        <v/>
      </c>
      <c r="D555" s="6" t="str">
        <f t="shared" si="645"/>
        <v/>
      </c>
      <c r="E555" s="10" t="str">
        <f>IF(ISBLANK(A554),"",E554+1)</f>
        <v/>
      </c>
      <c r="F555" s="11" t="str">
        <f t="shared" ref="F555:F559" si="648">F554</f>
        <v/>
      </c>
      <c r="G555" s="8"/>
    </row>
    <row r="556">
      <c r="A556" s="9" t="str">
        <f t="shared" si="646"/>
        <v/>
      </c>
      <c r="B556" s="9" t="str">
        <f>IF(ISBLANK(A554),"",LEFT(B555,27)&amp;VALUE(RIGHT(B555,1)+1))</f>
        <v/>
      </c>
      <c r="C556" s="6" t="str">
        <f t="shared" ref="C556:D556" si="647">C555</f>
        <v/>
      </c>
      <c r="D556" s="6" t="str">
        <f t="shared" si="647"/>
        <v/>
      </c>
      <c r="E556" s="10" t="str">
        <f>IF(ISBLANK(A554),"",E555+1)</f>
        <v/>
      </c>
      <c r="F556" s="11" t="str">
        <f t="shared" si="648"/>
        <v/>
      </c>
      <c r="G556" s="8"/>
    </row>
    <row r="557">
      <c r="A557" s="9" t="str">
        <f t="shared" si="646"/>
        <v/>
      </c>
      <c r="B557" s="9" t="str">
        <f>IF(ISBLANK(A554),"",LEFT(B556,27)&amp;VALUE(RIGHT(B556,1)+1))</f>
        <v/>
      </c>
      <c r="C557" s="6" t="str">
        <f t="shared" ref="C557:D557" si="649">C556</f>
        <v/>
      </c>
      <c r="D557" s="6" t="str">
        <f t="shared" si="649"/>
        <v/>
      </c>
      <c r="E557" s="10" t="str">
        <f>IF(ISBLANK(A554),"",E556+1)</f>
        <v/>
      </c>
      <c r="F557" s="11" t="str">
        <f t="shared" si="648"/>
        <v/>
      </c>
      <c r="G557" s="8"/>
    </row>
    <row r="558">
      <c r="A558" s="9" t="str">
        <f t="shared" si="646"/>
        <v/>
      </c>
      <c r="B558" s="9" t="str">
        <f>IF(ISBLANK(A554),"",LEFT(B557,27)&amp;VALUE(RIGHT(B557,1)+1))</f>
        <v/>
      </c>
      <c r="C558" s="6" t="str">
        <f t="shared" ref="C558:D558" si="650">C557</f>
        <v/>
      </c>
      <c r="D558" s="6" t="str">
        <f t="shared" si="650"/>
        <v/>
      </c>
      <c r="E558" s="10" t="str">
        <f>IF(ISBLANK(A554),"",E557+1)</f>
        <v/>
      </c>
      <c r="F558" s="11" t="str">
        <f t="shared" si="648"/>
        <v/>
      </c>
      <c r="G558" s="8"/>
    </row>
    <row r="559">
      <c r="A559" s="12" t="str">
        <f t="shared" si="646"/>
        <v/>
      </c>
      <c r="B559" s="12" t="str">
        <f>IF(ISBLANK(A554),"",LEFT(B558,27)&amp;VALUE(RIGHT(B558,1)+1))</f>
        <v/>
      </c>
      <c r="C559" s="13" t="str">
        <f t="shared" ref="C559:D559" si="651">C558</f>
        <v/>
      </c>
      <c r="D559" s="13" t="str">
        <f t="shared" si="651"/>
        <v/>
      </c>
      <c r="E559" s="14" t="str">
        <f>IF(ISBLANK(A554),"",E558+1)</f>
        <v/>
      </c>
      <c r="F559" s="15" t="str">
        <f t="shared" si="648"/>
        <v/>
      </c>
      <c r="G559" s="16"/>
    </row>
    <row r="560">
      <c r="A560" s="5"/>
      <c r="B560" s="6" t="str">
        <f t="array" ref="B560">IF(ISBLANK(A560),"",IF(A560="PROREP (L)",VLOOKUP(LEFT($A560,6),'Data Feed (25C)'!$A$1:$G$10,2,FALSE),IF(A560="PROREP (S)", INDEX('Data Feed (25C)'!B:B, MATCH(LEFT($A560,6), 'Data Feed (25C)'!$A$1:$A$10, 0) + 1), VLOOKUP($A560,'Data Feed (25C)'!$A$1:$G$10,2,FALSE))))</f>
        <v/>
      </c>
      <c r="C560" s="6" t="str">
        <f t="array" ref="C560">IF(ISBLANK(A560),"",IF(A560="PROREP (L)",VLOOKUP(LEFT($A560,6),'Data Feed (25C)'!$A$1:$G$10,3,FALSE),IF(A560="PROREP (S)", INDEX('Data Feed (25C)'!C:C, MATCH(LEFT($A560,6), 'Data Feed (25C)'!$A$1:$A$10, 0) + 1, +1), VLOOKUP($A560,'Data Feed (25C)'!$A$1:$G$10,3,FALSE))))</f>
        <v/>
      </c>
      <c r="D560" s="6" t="str">
        <f t="array" ref="D560">IF(ISBLANK(A560),"",IF(A560="PROREP (L)",VLOOKUP(LEFT($A560,6),'Data Feed (25C)'!$A$1:$G$10,4,FALSE),IF(A560="PROREP (S)", INDEX('Data Feed (25C)'!D:D, MATCH(LEFT($A560,6), 'Data Feed (25C)'!$A$1:$A$10, 0) + 1, +1), VLOOKUP($A560,'Data Feed (25C)'!$A$1:$G$10,4,FALSE))))</f>
        <v/>
      </c>
      <c r="E560" s="6" t="str">
        <f t="array" ref="E560">IF(ISBLANK(A560),"",IF(A560="PROREP (L)",VLOOKUP(LEFT($A560,6),'Data Feed (25C)'!$A$1:$G$10,7,FALSE),IF(A560="PROREP (S)", INDEX('Data Feed (25C)'!G:G, MATCH(LEFT($A560,6), 'Data Feed (25C)'!$A$1:$A$10, 0) + 1, +1), VLOOKUP($A560,'Data Feed (25C)'!$A$1:$G$10,7,FALSE))))</f>
        <v/>
      </c>
      <c r="F560" s="7"/>
      <c r="G560" s="8"/>
    </row>
    <row r="561">
      <c r="A561" s="9" t="str">
        <f t="shared" ref="A561:A565" si="653">A560</f>
        <v/>
      </c>
      <c r="B561" s="9" t="str">
        <f>IF(ISBLANK(A560),"",LEFT(B560,27)&amp;VALUE(RIGHT(B560,1)+1))</f>
        <v/>
      </c>
      <c r="C561" s="6" t="str">
        <f t="shared" ref="C561:D561" si="652">C560</f>
        <v/>
      </c>
      <c r="D561" s="6" t="str">
        <f t="shared" si="652"/>
        <v/>
      </c>
      <c r="E561" s="10" t="str">
        <f>IF(ISBLANK(A560),"",E560+1)</f>
        <v/>
      </c>
      <c r="F561" s="11" t="str">
        <f t="shared" ref="F561:F565" si="655">F560</f>
        <v/>
      </c>
      <c r="G561" s="8"/>
    </row>
    <row r="562">
      <c r="A562" s="9" t="str">
        <f t="shared" si="653"/>
        <v/>
      </c>
      <c r="B562" s="9" t="str">
        <f>IF(ISBLANK(A560),"",LEFT(B561,27)&amp;VALUE(RIGHT(B561,1)+1))</f>
        <v/>
      </c>
      <c r="C562" s="6" t="str">
        <f t="shared" ref="C562:D562" si="654">C561</f>
        <v/>
      </c>
      <c r="D562" s="6" t="str">
        <f t="shared" si="654"/>
        <v/>
      </c>
      <c r="E562" s="10" t="str">
        <f>IF(ISBLANK(A560),"",E561+1)</f>
        <v/>
      </c>
      <c r="F562" s="11" t="str">
        <f t="shared" si="655"/>
        <v/>
      </c>
      <c r="G562" s="8"/>
    </row>
    <row r="563">
      <c r="A563" s="9" t="str">
        <f t="shared" si="653"/>
        <v/>
      </c>
      <c r="B563" s="9" t="str">
        <f>IF(ISBLANK(A560),"",LEFT(B562,27)&amp;VALUE(RIGHT(B562,1)+1))</f>
        <v/>
      </c>
      <c r="C563" s="6" t="str">
        <f t="shared" ref="C563:D563" si="656">C562</f>
        <v/>
      </c>
      <c r="D563" s="6" t="str">
        <f t="shared" si="656"/>
        <v/>
      </c>
      <c r="E563" s="10" t="str">
        <f>IF(ISBLANK(A560),"",E562+1)</f>
        <v/>
      </c>
      <c r="F563" s="11" t="str">
        <f t="shared" si="655"/>
        <v/>
      </c>
      <c r="G563" s="8"/>
    </row>
    <row r="564">
      <c r="A564" s="9" t="str">
        <f t="shared" si="653"/>
        <v/>
      </c>
      <c r="B564" s="9" t="str">
        <f>IF(ISBLANK(A560),"",LEFT(B563,27)&amp;VALUE(RIGHT(B563,1)+1))</f>
        <v/>
      </c>
      <c r="C564" s="6" t="str">
        <f t="shared" ref="C564:D564" si="657">C563</f>
        <v/>
      </c>
      <c r="D564" s="6" t="str">
        <f t="shared" si="657"/>
        <v/>
      </c>
      <c r="E564" s="10" t="str">
        <f>IF(ISBLANK(A560),"",E563+1)</f>
        <v/>
      </c>
      <c r="F564" s="11" t="str">
        <f t="shared" si="655"/>
        <v/>
      </c>
      <c r="G564" s="8"/>
    </row>
    <row r="565">
      <c r="A565" s="12" t="str">
        <f t="shared" si="653"/>
        <v/>
      </c>
      <c r="B565" s="12" t="str">
        <f>IF(ISBLANK(A560),"",LEFT(B564,27)&amp;VALUE(RIGHT(B564,1)+1))</f>
        <v/>
      </c>
      <c r="C565" s="13" t="str">
        <f t="shared" ref="C565:D565" si="658">C564</f>
        <v/>
      </c>
      <c r="D565" s="13" t="str">
        <f t="shared" si="658"/>
        <v/>
      </c>
      <c r="E565" s="14" t="str">
        <f>IF(ISBLANK(A560),"",E564+1)</f>
        <v/>
      </c>
      <c r="F565" s="15" t="str">
        <f t="shared" si="655"/>
        <v/>
      </c>
      <c r="G565" s="16"/>
    </row>
    <row r="566">
      <c r="A566" s="5"/>
      <c r="B566" s="6" t="str">
        <f t="array" ref="B566">IF(ISBLANK(A566),"",IF(A566="PROREP (L)",VLOOKUP(LEFT($A566,6),'Data Feed (25C)'!$A$1:$G$10,2,FALSE),IF(A566="PROREP (S)", INDEX('Data Feed (25C)'!B:B, MATCH(LEFT($A566,6), 'Data Feed (25C)'!$A$1:$A$10, 0) + 1), VLOOKUP($A566,'Data Feed (25C)'!$A$1:$G$10,2,FALSE))))</f>
        <v/>
      </c>
      <c r="C566" s="6" t="str">
        <f t="array" ref="C566">IF(ISBLANK(A566),"",IF(A566="PROREP (L)",VLOOKUP(LEFT($A566,6),'Data Feed (25C)'!$A$1:$G$10,3,FALSE),IF(A566="PROREP (S)", INDEX('Data Feed (25C)'!C:C, MATCH(LEFT($A566,6), 'Data Feed (25C)'!$A$1:$A$10, 0) + 1, +1), VLOOKUP($A566,'Data Feed (25C)'!$A$1:$G$10,3,FALSE))))</f>
        <v/>
      </c>
      <c r="D566" s="6" t="str">
        <f t="array" ref="D566">IF(ISBLANK(A566),"",IF(A566="PROREP (L)",VLOOKUP(LEFT($A566,6),'Data Feed (25C)'!$A$1:$G$10,4,FALSE),IF(A566="PROREP (S)", INDEX('Data Feed (25C)'!D:D, MATCH(LEFT($A566,6), 'Data Feed (25C)'!$A$1:$A$10, 0) + 1, +1), VLOOKUP($A566,'Data Feed (25C)'!$A$1:$G$10,4,FALSE))))</f>
        <v/>
      </c>
      <c r="E566" s="6" t="str">
        <f t="array" ref="E566">IF(ISBLANK(A566),"",IF(A566="PROREP (L)",VLOOKUP(LEFT($A566,6),'Data Feed (25C)'!$A$1:$G$10,7,FALSE),IF(A566="PROREP (S)", INDEX('Data Feed (25C)'!G:G, MATCH(LEFT($A566,6), 'Data Feed (25C)'!$A$1:$A$10, 0) + 1, +1), VLOOKUP($A566,'Data Feed (25C)'!$A$1:$G$10,7,FALSE))))</f>
        <v/>
      </c>
      <c r="F566" s="7"/>
      <c r="G566" s="8"/>
    </row>
    <row r="567">
      <c r="A567" s="9" t="str">
        <f t="shared" ref="A567:A571" si="660">A566</f>
        <v/>
      </c>
      <c r="B567" s="9" t="str">
        <f>IF(ISBLANK(A566),"",LEFT(B566,27)&amp;VALUE(RIGHT(B566,1)+1))</f>
        <v/>
      </c>
      <c r="C567" s="6" t="str">
        <f t="shared" ref="C567:D567" si="659">C566</f>
        <v/>
      </c>
      <c r="D567" s="6" t="str">
        <f t="shared" si="659"/>
        <v/>
      </c>
      <c r="E567" s="10" t="str">
        <f>IF(ISBLANK(A566),"",E566+1)</f>
        <v/>
      </c>
      <c r="F567" s="11" t="str">
        <f t="shared" ref="F567:F571" si="662">F566</f>
        <v/>
      </c>
      <c r="G567" s="8"/>
    </row>
    <row r="568">
      <c r="A568" s="9" t="str">
        <f t="shared" si="660"/>
        <v/>
      </c>
      <c r="B568" s="9" t="str">
        <f>IF(ISBLANK(A566),"",LEFT(B567,27)&amp;VALUE(RIGHT(B567,1)+1))</f>
        <v/>
      </c>
      <c r="C568" s="6" t="str">
        <f t="shared" ref="C568:D568" si="661">C567</f>
        <v/>
      </c>
      <c r="D568" s="6" t="str">
        <f t="shared" si="661"/>
        <v/>
      </c>
      <c r="E568" s="10" t="str">
        <f>IF(ISBLANK(A566),"",E567+1)</f>
        <v/>
      </c>
      <c r="F568" s="11" t="str">
        <f t="shared" si="662"/>
        <v/>
      </c>
      <c r="G568" s="8"/>
    </row>
    <row r="569">
      <c r="A569" s="9" t="str">
        <f t="shared" si="660"/>
        <v/>
      </c>
      <c r="B569" s="9" t="str">
        <f>IF(ISBLANK(A566),"",LEFT(B568,27)&amp;VALUE(RIGHT(B568,1)+1))</f>
        <v/>
      </c>
      <c r="C569" s="6" t="str">
        <f t="shared" ref="C569:D569" si="663">C568</f>
        <v/>
      </c>
      <c r="D569" s="6" t="str">
        <f t="shared" si="663"/>
        <v/>
      </c>
      <c r="E569" s="10" t="str">
        <f>IF(ISBLANK(A566),"",E568+1)</f>
        <v/>
      </c>
      <c r="F569" s="11" t="str">
        <f t="shared" si="662"/>
        <v/>
      </c>
      <c r="G569" s="8"/>
    </row>
    <row r="570">
      <c r="A570" s="9" t="str">
        <f t="shared" si="660"/>
        <v/>
      </c>
      <c r="B570" s="9" t="str">
        <f>IF(ISBLANK(A566),"",LEFT(B569,27)&amp;VALUE(RIGHT(B569,1)+1))</f>
        <v/>
      </c>
      <c r="C570" s="6" t="str">
        <f t="shared" ref="C570:D570" si="664">C569</f>
        <v/>
      </c>
      <c r="D570" s="6" t="str">
        <f t="shared" si="664"/>
        <v/>
      </c>
      <c r="E570" s="10" t="str">
        <f>IF(ISBLANK(A566),"",E569+1)</f>
        <v/>
      </c>
      <c r="F570" s="11" t="str">
        <f t="shared" si="662"/>
        <v/>
      </c>
      <c r="G570" s="8"/>
    </row>
    <row r="571">
      <c r="A571" s="12" t="str">
        <f t="shared" si="660"/>
        <v/>
      </c>
      <c r="B571" s="12" t="str">
        <f>IF(ISBLANK(A566),"",LEFT(B570,27)&amp;VALUE(RIGHT(B570,1)+1))</f>
        <v/>
      </c>
      <c r="C571" s="13" t="str">
        <f t="shared" ref="C571:D571" si="665">C570</f>
        <v/>
      </c>
      <c r="D571" s="13" t="str">
        <f t="shared" si="665"/>
        <v/>
      </c>
      <c r="E571" s="14" t="str">
        <f>IF(ISBLANK(A566),"",E570+1)</f>
        <v/>
      </c>
      <c r="F571" s="15" t="str">
        <f t="shared" si="662"/>
        <v/>
      </c>
      <c r="G571" s="16"/>
    </row>
    <row r="572">
      <c r="A572" s="5"/>
      <c r="B572" s="6" t="str">
        <f t="array" ref="B572">IF(ISBLANK(A572),"",IF(A572="PROREP (L)",VLOOKUP(LEFT($A572,6),'Data Feed (25C)'!$A$1:$G$10,2,FALSE),IF(A572="PROREP (S)", INDEX('Data Feed (25C)'!B:B, MATCH(LEFT($A572,6), 'Data Feed (25C)'!$A$1:$A$10, 0) + 1), VLOOKUP($A572,'Data Feed (25C)'!$A$1:$G$10,2,FALSE))))</f>
        <v/>
      </c>
      <c r="C572" s="6" t="str">
        <f t="array" ref="C572">IF(ISBLANK(A572),"",IF(A572="PROREP (L)",VLOOKUP(LEFT($A572,6),'Data Feed (25C)'!$A$1:$G$10,3,FALSE),IF(A572="PROREP (S)", INDEX('Data Feed (25C)'!C:C, MATCH(LEFT($A572,6), 'Data Feed (25C)'!$A$1:$A$10, 0) + 1, +1), VLOOKUP($A572,'Data Feed (25C)'!$A$1:$G$10,3,FALSE))))</f>
        <v/>
      </c>
      <c r="D572" s="6" t="str">
        <f t="array" ref="D572">IF(ISBLANK(A572),"",IF(A572="PROREP (L)",VLOOKUP(LEFT($A572,6),'Data Feed (25C)'!$A$1:$G$10,4,FALSE),IF(A572="PROREP (S)", INDEX('Data Feed (25C)'!D:D, MATCH(LEFT($A572,6), 'Data Feed (25C)'!$A$1:$A$10, 0) + 1, +1), VLOOKUP($A572,'Data Feed (25C)'!$A$1:$G$10,4,FALSE))))</f>
        <v/>
      </c>
      <c r="E572" s="6" t="str">
        <f t="array" ref="E572">IF(ISBLANK(A572),"",IF(A572="PROREP (L)",VLOOKUP(LEFT($A572,6),'Data Feed (25C)'!$A$1:$G$10,7,FALSE),IF(A572="PROREP (S)", INDEX('Data Feed (25C)'!G:G, MATCH(LEFT($A572,6), 'Data Feed (25C)'!$A$1:$A$10, 0) + 1, +1), VLOOKUP($A572,'Data Feed (25C)'!$A$1:$G$10,7,FALSE))))</f>
        <v/>
      </c>
      <c r="F572" s="7"/>
      <c r="G572" s="8"/>
    </row>
    <row r="573">
      <c r="A573" s="9" t="str">
        <f t="shared" ref="A573:A577" si="667">A572</f>
        <v/>
      </c>
      <c r="B573" s="9" t="str">
        <f>IF(ISBLANK(A572),"",LEFT(B572,27)&amp;VALUE(RIGHT(B572,1)+1))</f>
        <v/>
      </c>
      <c r="C573" s="6" t="str">
        <f t="shared" ref="C573:D573" si="666">C572</f>
        <v/>
      </c>
      <c r="D573" s="6" t="str">
        <f t="shared" si="666"/>
        <v/>
      </c>
      <c r="E573" s="10" t="str">
        <f>IF(ISBLANK(A572),"",E572+1)</f>
        <v/>
      </c>
      <c r="F573" s="11" t="str">
        <f t="shared" ref="F573:F577" si="669">F572</f>
        <v/>
      </c>
      <c r="G573" s="8"/>
    </row>
    <row r="574">
      <c r="A574" s="9" t="str">
        <f t="shared" si="667"/>
        <v/>
      </c>
      <c r="B574" s="9" t="str">
        <f>IF(ISBLANK(A572),"",LEFT(B573,27)&amp;VALUE(RIGHT(B573,1)+1))</f>
        <v/>
      </c>
      <c r="C574" s="6" t="str">
        <f t="shared" ref="C574:D574" si="668">C573</f>
        <v/>
      </c>
      <c r="D574" s="6" t="str">
        <f t="shared" si="668"/>
        <v/>
      </c>
      <c r="E574" s="10" t="str">
        <f>IF(ISBLANK(A572),"",E573+1)</f>
        <v/>
      </c>
      <c r="F574" s="11" t="str">
        <f t="shared" si="669"/>
        <v/>
      </c>
      <c r="G574" s="8"/>
    </row>
    <row r="575">
      <c r="A575" s="9" t="str">
        <f t="shared" si="667"/>
        <v/>
      </c>
      <c r="B575" s="9" t="str">
        <f>IF(ISBLANK(A572),"",LEFT(B574,27)&amp;VALUE(RIGHT(B574,1)+1))</f>
        <v/>
      </c>
      <c r="C575" s="6" t="str">
        <f t="shared" ref="C575:D575" si="670">C574</f>
        <v/>
      </c>
      <c r="D575" s="6" t="str">
        <f t="shared" si="670"/>
        <v/>
      </c>
      <c r="E575" s="10" t="str">
        <f>IF(ISBLANK(A572),"",E574+1)</f>
        <v/>
      </c>
      <c r="F575" s="11" t="str">
        <f t="shared" si="669"/>
        <v/>
      </c>
      <c r="G575" s="8"/>
    </row>
    <row r="576">
      <c r="A576" s="9" t="str">
        <f t="shared" si="667"/>
        <v/>
      </c>
      <c r="B576" s="9" t="str">
        <f>IF(ISBLANK(A572),"",LEFT(B575,27)&amp;VALUE(RIGHT(B575,1)+1))</f>
        <v/>
      </c>
      <c r="C576" s="6" t="str">
        <f t="shared" ref="C576:D576" si="671">C575</f>
        <v/>
      </c>
      <c r="D576" s="6" t="str">
        <f t="shared" si="671"/>
        <v/>
      </c>
      <c r="E576" s="10" t="str">
        <f>IF(ISBLANK(A572),"",E575+1)</f>
        <v/>
      </c>
      <c r="F576" s="11" t="str">
        <f t="shared" si="669"/>
        <v/>
      </c>
      <c r="G576" s="8"/>
    </row>
    <row r="577">
      <c r="A577" s="12" t="str">
        <f t="shared" si="667"/>
        <v/>
      </c>
      <c r="B577" s="12" t="str">
        <f>IF(ISBLANK(A572),"",LEFT(B576,27)&amp;VALUE(RIGHT(B576,1)+1))</f>
        <v/>
      </c>
      <c r="C577" s="13" t="str">
        <f t="shared" ref="C577:D577" si="672">C576</f>
        <v/>
      </c>
      <c r="D577" s="13" t="str">
        <f t="shared" si="672"/>
        <v/>
      </c>
      <c r="E577" s="14" t="str">
        <f>IF(ISBLANK(A572),"",E576+1)</f>
        <v/>
      </c>
      <c r="F577" s="15" t="str">
        <f t="shared" si="669"/>
        <v/>
      </c>
      <c r="G577" s="16"/>
    </row>
    <row r="578">
      <c r="A578" s="5"/>
      <c r="B578" s="6" t="str">
        <f t="array" ref="B578">IF(ISBLANK(A578),"",IF(A578="PROREP (L)",VLOOKUP(LEFT($A578,6),'Data Feed (25C)'!$A$1:$G$10,2,FALSE),IF(A578="PROREP (S)", INDEX('Data Feed (25C)'!B:B, MATCH(LEFT($A578,6), 'Data Feed (25C)'!$A$1:$A$10, 0) + 1), VLOOKUP($A578,'Data Feed (25C)'!$A$1:$G$10,2,FALSE))))</f>
        <v/>
      </c>
      <c r="C578" s="6" t="str">
        <f t="array" ref="C578">IF(ISBLANK(A578),"",IF(A578="PROREP (L)",VLOOKUP(LEFT($A578,6),'Data Feed (25C)'!$A$1:$G$10,3,FALSE),IF(A578="PROREP (S)", INDEX('Data Feed (25C)'!C:C, MATCH(LEFT($A578,6), 'Data Feed (25C)'!$A$1:$A$10, 0) + 1, +1), VLOOKUP($A578,'Data Feed (25C)'!$A$1:$G$10,3,FALSE))))</f>
        <v/>
      </c>
      <c r="D578" s="6" t="str">
        <f t="array" ref="D578">IF(ISBLANK(A578),"",IF(A578="PROREP (L)",VLOOKUP(LEFT($A578,6),'Data Feed (25C)'!$A$1:$G$10,4,FALSE),IF(A578="PROREP (S)", INDEX('Data Feed (25C)'!D:D, MATCH(LEFT($A578,6), 'Data Feed (25C)'!$A$1:$A$10, 0) + 1, +1), VLOOKUP($A578,'Data Feed (25C)'!$A$1:$G$10,4,FALSE))))</f>
        <v/>
      </c>
      <c r="E578" s="6" t="str">
        <f t="array" ref="E578">IF(ISBLANK(A578),"",IF(A578="PROREP (L)",VLOOKUP(LEFT($A578,6),'Data Feed (25C)'!$A$1:$G$10,7,FALSE),IF(A578="PROREP (S)", INDEX('Data Feed (25C)'!G:G, MATCH(LEFT($A578,6), 'Data Feed (25C)'!$A$1:$A$10, 0) + 1, +1), VLOOKUP($A578,'Data Feed (25C)'!$A$1:$G$10,7,FALSE))))</f>
        <v/>
      </c>
      <c r="F578" s="7"/>
      <c r="G578" s="8"/>
    </row>
    <row r="579">
      <c r="A579" s="9" t="str">
        <f t="shared" ref="A579:A583" si="674">A578</f>
        <v/>
      </c>
      <c r="B579" s="9" t="str">
        <f>IF(ISBLANK(A578),"",LEFT(B578,27)&amp;VALUE(RIGHT(B578,1)+1))</f>
        <v/>
      </c>
      <c r="C579" s="6" t="str">
        <f t="shared" ref="C579:D579" si="673">C578</f>
        <v/>
      </c>
      <c r="D579" s="6" t="str">
        <f t="shared" si="673"/>
        <v/>
      </c>
      <c r="E579" s="10" t="str">
        <f>IF(ISBLANK(A578),"",E578+1)</f>
        <v/>
      </c>
      <c r="F579" s="11" t="str">
        <f t="shared" ref="F579:F583" si="676">F578</f>
        <v/>
      </c>
      <c r="G579" s="8"/>
    </row>
    <row r="580">
      <c r="A580" s="9" t="str">
        <f t="shared" si="674"/>
        <v/>
      </c>
      <c r="B580" s="9" t="str">
        <f>IF(ISBLANK(A578),"",LEFT(B579,27)&amp;VALUE(RIGHT(B579,1)+1))</f>
        <v/>
      </c>
      <c r="C580" s="6" t="str">
        <f t="shared" ref="C580:D580" si="675">C579</f>
        <v/>
      </c>
      <c r="D580" s="6" t="str">
        <f t="shared" si="675"/>
        <v/>
      </c>
      <c r="E580" s="10" t="str">
        <f>IF(ISBLANK(A578),"",E579+1)</f>
        <v/>
      </c>
      <c r="F580" s="11" t="str">
        <f t="shared" si="676"/>
        <v/>
      </c>
      <c r="G580" s="8"/>
    </row>
    <row r="581">
      <c r="A581" s="9" t="str">
        <f t="shared" si="674"/>
        <v/>
      </c>
      <c r="B581" s="9" t="str">
        <f>IF(ISBLANK(A578),"",LEFT(B580,27)&amp;VALUE(RIGHT(B580,1)+1))</f>
        <v/>
      </c>
      <c r="C581" s="6" t="str">
        <f t="shared" ref="C581:D581" si="677">C580</f>
        <v/>
      </c>
      <c r="D581" s="6" t="str">
        <f t="shared" si="677"/>
        <v/>
      </c>
      <c r="E581" s="10" t="str">
        <f>IF(ISBLANK(A578),"",E580+1)</f>
        <v/>
      </c>
      <c r="F581" s="11" t="str">
        <f t="shared" si="676"/>
        <v/>
      </c>
      <c r="G581" s="8"/>
    </row>
    <row r="582">
      <c r="A582" s="9" t="str">
        <f t="shared" si="674"/>
        <v/>
      </c>
      <c r="B582" s="9" t="str">
        <f>IF(ISBLANK(A578),"",LEFT(B581,27)&amp;VALUE(RIGHT(B581,1)+1))</f>
        <v/>
      </c>
      <c r="C582" s="6" t="str">
        <f t="shared" ref="C582:D582" si="678">C581</f>
        <v/>
      </c>
      <c r="D582" s="6" t="str">
        <f t="shared" si="678"/>
        <v/>
      </c>
      <c r="E582" s="10" t="str">
        <f>IF(ISBLANK(A578),"",E581+1)</f>
        <v/>
      </c>
      <c r="F582" s="11" t="str">
        <f t="shared" si="676"/>
        <v/>
      </c>
      <c r="G582" s="8"/>
    </row>
    <row r="583">
      <c r="A583" s="12" t="str">
        <f t="shared" si="674"/>
        <v/>
      </c>
      <c r="B583" s="12" t="str">
        <f>IF(ISBLANK(A578),"",LEFT(B582,27)&amp;VALUE(RIGHT(B582,1)+1))</f>
        <v/>
      </c>
      <c r="C583" s="13" t="str">
        <f t="shared" ref="C583:D583" si="679">C582</f>
        <v/>
      </c>
      <c r="D583" s="13" t="str">
        <f t="shared" si="679"/>
        <v/>
      </c>
      <c r="E583" s="14" t="str">
        <f>IF(ISBLANK(A578),"",E582+1)</f>
        <v/>
      </c>
      <c r="F583" s="15" t="str">
        <f t="shared" si="676"/>
        <v/>
      </c>
      <c r="G583" s="16"/>
    </row>
    <row r="584">
      <c r="A584" s="5"/>
      <c r="B584" s="6" t="str">
        <f t="array" ref="B584">IF(ISBLANK(A584),"",IF(A584="PROREP (L)",VLOOKUP(LEFT($A584,6),'Data Feed (25C)'!$A$1:$G$10,2,FALSE),IF(A584="PROREP (S)", INDEX('Data Feed (25C)'!B:B, MATCH(LEFT($A584,6), 'Data Feed (25C)'!$A$1:$A$10, 0) + 1), VLOOKUP($A584,'Data Feed (25C)'!$A$1:$G$10,2,FALSE))))</f>
        <v/>
      </c>
      <c r="C584" s="6" t="str">
        <f t="array" ref="C584">IF(ISBLANK(A584),"",IF(A584="PROREP (L)",VLOOKUP(LEFT($A584,6),'Data Feed (25C)'!$A$1:$G$10,3,FALSE),IF(A584="PROREP (S)", INDEX('Data Feed (25C)'!C:C, MATCH(LEFT($A584,6), 'Data Feed (25C)'!$A$1:$A$10, 0) + 1, +1), VLOOKUP($A584,'Data Feed (25C)'!$A$1:$G$10,3,FALSE))))</f>
        <v/>
      </c>
      <c r="D584" s="6" t="str">
        <f t="array" ref="D584">IF(ISBLANK(A584),"",IF(A584="PROREP (L)",VLOOKUP(LEFT($A584,6),'Data Feed (25C)'!$A$1:$G$10,4,FALSE),IF(A584="PROREP (S)", INDEX('Data Feed (25C)'!D:D, MATCH(LEFT($A584,6), 'Data Feed (25C)'!$A$1:$A$10, 0) + 1, +1), VLOOKUP($A584,'Data Feed (25C)'!$A$1:$G$10,4,FALSE))))</f>
        <v/>
      </c>
      <c r="E584" s="6" t="str">
        <f t="array" ref="E584">IF(ISBLANK(A584),"",IF(A584="PROREP (L)",VLOOKUP(LEFT($A584,6),'Data Feed (25C)'!$A$1:$G$10,7,FALSE),IF(A584="PROREP (S)", INDEX('Data Feed (25C)'!G:G, MATCH(LEFT($A584,6), 'Data Feed (25C)'!$A$1:$A$10, 0) + 1, +1), VLOOKUP($A584,'Data Feed (25C)'!$A$1:$G$10,7,FALSE))))</f>
        <v/>
      </c>
      <c r="F584" s="7"/>
      <c r="G584" s="8"/>
    </row>
    <row r="585">
      <c r="A585" s="9" t="str">
        <f t="shared" ref="A585:A589" si="681">A584</f>
        <v/>
      </c>
      <c r="B585" s="9" t="str">
        <f>IF(ISBLANK(A584),"",LEFT(B584,27)&amp;VALUE(RIGHT(B584,1)+1))</f>
        <v/>
      </c>
      <c r="C585" s="6" t="str">
        <f t="shared" ref="C585:D585" si="680">C584</f>
        <v/>
      </c>
      <c r="D585" s="6" t="str">
        <f t="shared" si="680"/>
        <v/>
      </c>
      <c r="E585" s="10" t="str">
        <f>IF(ISBLANK(A584),"",E584+1)</f>
        <v/>
      </c>
      <c r="F585" s="11" t="str">
        <f t="shared" ref="F585:F589" si="683">F584</f>
        <v/>
      </c>
      <c r="G585" s="8"/>
    </row>
    <row r="586">
      <c r="A586" s="9" t="str">
        <f t="shared" si="681"/>
        <v/>
      </c>
      <c r="B586" s="9" t="str">
        <f>IF(ISBLANK(A584),"",LEFT(B585,27)&amp;VALUE(RIGHT(B585,1)+1))</f>
        <v/>
      </c>
      <c r="C586" s="6" t="str">
        <f t="shared" ref="C586:D586" si="682">C585</f>
        <v/>
      </c>
      <c r="D586" s="6" t="str">
        <f t="shared" si="682"/>
        <v/>
      </c>
      <c r="E586" s="10" t="str">
        <f>IF(ISBLANK(A584),"",E585+1)</f>
        <v/>
      </c>
      <c r="F586" s="11" t="str">
        <f t="shared" si="683"/>
        <v/>
      </c>
      <c r="G586" s="8"/>
    </row>
    <row r="587">
      <c r="A587" s="9" t="str">
        <f t="shared" si="681"/>
        <v/>
      </c>
      <c r="B587" s="9" t="str">
        <f>IF(ISBLANK(A584),"",LEFT(B586,27)&amp;VALUE(RIGHT(B586,1)+1))</f>
        <v/>
      </c>
      <c r="C587" s="6" t="str">
        <f t="shared" ref="C587:D587" si="684">C586</f>
        <v/>
      </c>
      <c r="D587" s="6" t="str">
        <f t="shared" si="684"/>
        <v/>
      </c>
      <c r="E587" s="10" t="str">
        <f>IF(ISBLANK(A584),"",E586+1)</f>
        <v/>
      </c>
      <c r="F587" s="11" t="str">
        <f t="shared" si="683"/>
        <v/>
      </c>
      <c r="G587" s="8"/>
    </row>
    <row r="588">
      <c r="A588" s="9" t="str">
        <f t="shared" si="681"/>
        <v/>
      </c>
      <c r="B588" s="9" t="str">
        <f>IF(ISBLANK(A584),"",LEFT(B587,27)&amp;VALUE(RIGHT(B587,1)+1))</f>
        <v/>
      </c>
      <c r="C588" s="6" t="str">
        <f t="shared" ref="C588:D588" si="685">C587</f>
        <v/>
      </c>
      <c r="D588" s="6" t="str">
        <f t="shared" si="685"/>
        <v/>
      </c>
      <c r="E588" s="10" t="str">
        <f>IF(ISBLANK(A584),"",E587+1)</f>
        <v/>
      </c>
      <c r="F588" s="11" t="str">
        <f t="shared" si="683"/>
        <v/>
      </c>
      <c r="G588" s="8"/>
    </row>
    <row r="589">
      <c r="A589" s="12" t="str">
        <f t="shared" si="681"/>
        <v/>
      </c>
      <c r="B589" s="12" t="str">
        <f>IF(ISBLANK(A584),"",LEFT(B588,27)&amp;VALUE(RIGHT(B588,1)+1))</f>
        <v/>
      </c>
      <c r="C589" s="13" t="str">
        <f t="shared" ref="C589:D589" si="686">C588</f>
        <v/>
      </c>
      <c r="D589" s="13" t="str">
        <f t="shared" si="686"/>
        <v/>
      </c>
      <c r="E589" s="14" t="str">
        <f>IF(ISBLANK(A584),"",E588+1)</f>
        <v/>
      </c>
      <c r="F589" s="15" t="str">
        <f t="shared" si="683"/>
        <v/>
      </c>
      <c r="G589" s="16"/>
    </row>
    <row r="590">
      <c r="A590" s="5"/>
      <c r="B590" s="6" t="str">
        <f t="array" ref="B590">IF(ISBLANK(A590),"",IF(A590="PROREP (L)",VLOOKUP(LEFT($A590,6),'Data Feed (25C)'!$A$1:$G$10,2,FALSE),IF(A590="PROREP (S)", INDEX('Data Feed (25C)'!B:B, MATCH(LEFT($A590,6), 'Data Feed (25C)'!$A$1:$A$10, 0) + 1), VLOOKUP($A590,'Data Feed (25C)'!$A$1:$G$10,2,FALSE))))</f>
        <v/>
      </c>
      <c r="C590" s="6" t="str">
        <f t="array" ref="C590">IF(ISBLANK(A590),"",IF(A590="PROREP (L)",VLOOKUP(LEFT($A590,6),'Data Feed (25C)'!$A$1:$G$10,3,FALSE),IF(A590="PROREP (S)", INDEX('Data Feed (25C)'!C:C, MATCH(LEFT($A590,6), 'Data Feed (25C)'!$A$1:$A$10, 0) + 1, +1), VLOOKUP($A590,'Data Feed (25C)'!$A$1:$G$10,3,FALSE))))</f>
        <v/>
      </c>
      <c r="D590" s="6" t="str">
        <f t="array" ref="D590">IF(ISBLANK(A590),"",IF(A590="PROREP (L)",VLOOKUP(LEFT($A590,6),'Data Feed (25C)'!$A$1:$G$10,4,FALSE),IF(A590="PROREP (S)", INDEX('Data Feed (25C)'!D:D, MATCH(LEFT($A590,6), 'Data Feed (25C)'!$A$1:$A$10, 0) + 1, +1), VLOOKUP($A590,'Data Feed (25C)'!$A$1:$G$10,4,FALSE))))</f>
        <v/>
      </c>
      <c r="E590" s="6" t="str">
        <f t="array" ref="E590">IF(ISBLANK(A590),"",IF(A590="PROREP (L)",VLOOKUP(LEFT($A590,6),'Data Feed (25C)'!$A$1:$G$10,7,FALSE),IF(A590="PROREP (S)", INDEX('Data Feed (25C)'!G:G, MATCH(LEFT($A590,6), 'Data Feed (25C)'!$A$1:$A$10, 0) + 1, +1), VLOOKUP($A590,'Data Feed (25C)'!$A$1:$G$10,7,FALSE))))</f>
        <v/>
      </c>
      <c r="F590" s="7"/>
      <c r="G590" s="8"/>
    </row>
    <row r="591">
      <c r="A591" s="9" t="str">
        <f t="shared" ref="A591:A595" si="688">A590</f>
        <v/>
      </c>
      <c r="B591" s="9" t="str">
        <f>IF(ISBLANK(A590),"",LEFT(B590,27)&amp;VALUE(RIGHT(B590,1)+1))</f>
        <v/>
      </c>
      <c r="C591" s="6" t="str">
        <f t="shared" ref="C591:D591" si="687">C590</f>
        <v/>
      </c>
      <c r="D591" s="6" t="str">
        <f t="shared" si="687"/>
        <v/>
      </c>
      <c r="E591" s="10" t="str">
        <f>IF(ISBLANK(A590),"",E590+1)</f>
        <v/>
      </c>
      <c r="F591" s="11" t="str">
        <f t="shared" ref="F591:F595" si="690">F590</f>
        <v/>
      </c>
      <c r="G591" s="8"/>
    </row>
    <row r="592">
      <c r="A592" s="9" t="str">
        <f t="shared" si="688"/>
        <v/>
      </c>
      <c r="B592" s="9" t="str">
        <f>IF(ISBLANK(A590),"",LEFT(B591,27)&amp;VALUE(RIGHT(B591,1)+1))</f>
        <v/>
      </c>
      <c r="C592" s="6" t="str">
        <f t="shared" ref="C592:D592" si="689">C591</f>
        <v/>
      </c>
      <c r="D592" s="6" t="str">
        <f t="shared" si="689"/>
        <v/>
      </c>
      <c r="E592" s="10" t="str">
        <f>IF(ISBLANK(A590),"",E591+1)</f>
        <v/>
      </c>
      <c r="F592" s="11" t="str">
        <f t="shared" si="690"/>
        <v/>
      </c>
      <c r="G592" s="8"/>
    </row>
    <row r="593">
      <c r="A593" s="9" t="str">
        <f t="shared" si="688"/>
        <v/>
      </c>
      <c r="B593" s="9" t="str">
        <f>IF(ISBLANK(A590),"",LEFT(B592,27)&amp;VALUE(RIGHT(B592,1)+1))</f>
        <v/>
      </c>
      <c r="C593" s="6" t="str">
        <f t="shared" ref="C593:D593" si="691">C592</f>
        <v/>
      </c>
      <c r="D593" s="6" t="str">
        <f t="shared" si="691"/>
        <v/>
      </c>
      <c r="E593" s="10" t="str">
        <f>IF(ISBLANK(A590),"",E592+1)</f>
        <v/>
      </c>
      <c r="F593" s="11" t="str">
        <f t="shared" si="690"/>
        <v/>
      </c>
      <c r="G593" s="8"/>
    </row>
    <row r="594">
      <c r="A594" s="9" t="str">
        <f t="shared" si="688"/>
        <v/>
      </c>
      <c r="B594" s="9" t="str">
        <f>IF(ISBLANK(A590),"",LEFT(B593,27)&amp;VALUE(RIGHT(B593,1)+1))</f>
        <v/>
      </c>
      <c r="C594" s="6" t="str">
        <f t="shared" ref="C594:D594" si="692">C593</f>
        <v/>
      </c>
      <c r="D594" s="6" t="str">
        <f t="shared" si="692"/>
        <v/>
      </c>
      <c r="E594" s="10" t="str">
        <f>IF(ISBLANK(A590),"",E593+1)</f>
        <v/>
      </c>
      <c r="F594" s="11" t="str">
        <f t="shared" si="690"/>
        <v/>
      </c>
      <c r="G594" s="8"/>
    </row>
    <row r="595">
      <c r="A595" s="12" t="str">
        <f t="shared" si="688"/>
        <v/>
      </c>
      <c r="B595" s="12" t="str">
        <f>IF(ISBLANK(A590),"",LEFT(B594,27)&amp;VALUE(RIGHT(B594,1)+1))</f>
        <v/>
      </c>
      <c r="C595" s="13" t="str">
        <f t="shared" ref="C595:D595" si="693">C594</f>
        <v/>
      </c>
      <c r="D595" s="13" t="str">
        <f t="shared" si="693"/>
        <v/>
      </c>
      <c r="E595" s="14" t="str">
        <f>IF(ISBLANK(A590),"",E594+1)</f>
        <v/>
      </c>
      <c r="F595" s="15" t="str">
        <f t="shared" si="690"/>
        <v/>
      </c>
      <c r="G595" s="16"/>
    </row>
    <row r="596">
      <c r="A596" s="5"/>
      <c r="B596" s="6" t="str">
        <f t="array" ref="B596">IF(ISBLANK(A596),"",IF(A596="PROREP (L)",VLOOKUP(LEFT($A596,6),'Data Feed (25C)'!$A$1:$G$10,2,FALSE),IF(A596="PROREP (S)", INDEX('Data Feed (25C)'!B:B, MATCH(LEFT($A596,6), 'Data Feed (25C)'!$A$1:$A$10, 0) + 1), VLOOKUP($A596,'Data Feed (25C)'!$A$1:$G$10,2,FALSE))))</f>
        <v/>
      </c>
      <c r="C596" s="6" t="str">
        <f t="array" ref="C596">IF(ISBLANK(A596),"",IF(A596="PROREP (L)",VLOOKUP(LEFT($A596,6),'Data Feed (25C)'!$A$1:$G$10,3,FALSE),IF(A596="PROREP (S)", INDEX('Data Feed (25C)'!C:C, MATCH(LEFT($A596,6), 'Data Feed (25C)'!$A$1:$A$10, 0) + 1, +1), VLOOKUP($A596,'Data Feed (25C)'!$A$1:$G$10,3,FALSE))))</f>
        <v/>
      </c>
      <c r="D596" s="6" t="str">
        <f t="array" ref="D596">IF(ISBLANK(A596),"",IF(A596="PROREP (L)",VLOOKUP(LEFT($A596,6),'Data Feed (25C)'!$A$1:$G$10,4,FALSE),IF(A596="PROREP (S)", INDEX('Data Feed (25C)'!D:D, MATCH(LEFT($A596,6), 'Data Feed (25C)'!$A$1:$A$10, 0) + 1, +1), VLOOKUP($A596,'Data Feed (25C)'!$A$1:$G$10,4,FALSE))))</f>
        <v/>
      </c>
      <c r="E596" s="6" t="str">
        <f t="array" ref="E596">IF(ISBLANK(A596),"",IF(A596="PROREP (L)",VLOOKUP(LEFT($A596,6),'Data Feed (25C)'!$A$1:$G$10,7,FALSE),IF(A596="PROREP (S)", INDEX('Data Feed (25C)'!G:G, MATCH(LEFT($A596,6), 'Data Feed (25C)'!$A$1:$A$10, 0) + 1, +1), VLOOKUP($A596,'Data Feed (25C)'!$A$1:$G$10,7,FALSE))))</f>
        <v/>
      </c>
      <c r="F596" s="7"/>
      <c r="G596" s="8"/>
    </row>
    <row r="597">
      <c r="A597" s="9" t="str">
        <f t="shared" ref="A597:A601" si="695">A596</f>
        <v/>
      </c>
      <c r="B597" s="9" t="str">
        <f>IF(ISBLANK(A596),"",LEFT(B596,27)&amp;VALUE(RIGHT(B596,1)+1))</f>
        <v/>
      </c>
      <c r="C597" s="6" t="str">
        <f t="shared" ref="C597:D597" si="694">C596</f>
        <v/>
      </c>
      <c r="D597" s="6" t="str">
        <f t="shared" si="694"/>
        <v/>
      </c>
      <c r="E597" s="10" t="str">
        <f>IF(ISBLANK(A596),"",E596+1)</f>
        <v/>
      </c>
      <c r="F597" s="11" t="str">
        <f t="shared" ref="F597:F601" si="697">F596</f>
        <v/>
      </c>
      <c r="G597" s="8"/>
    </row>
    <row r="598">
      <c r="A598" s="9" t="str">
        <f t="shared" si="695"/>
        <v/>
      </c>
      <c r="B598" s="9" t="str">
        <f>IF(ISBLANK(A596),"",LEFT(B597,27)&amp;VALUE(RIGHT(B597,1)+1))</f>
        <v/>
      </c>
      <c r="C598" s="6" t="str">
        <f t="shared" ref="C598:D598" si="696">C597</f>
        <v/>
      </c>
      <c r="D598" s="6" t="str">
        <f t="shared" si="696"/>
        <v/>
      </c>
      <c r="E598" s="10" t="str">
        <f>IF(ISBLANK(A596),"",E597+1)</f>
        <v/>
      </c>
      <c r="F598" s="11" t="str">
        <f t="shared" si="697"/>
        <v/>
      </c>
      <c r="G598" s="8"/>
    </row>
    <row r="599">
      <c r="A599" s="9" t="str">
        <f t="shared" si="695"/>
        <v/>
      </c>
      <c r="B599" s="9" t="str">
        <f>IF(ISBLANK(A596),"",LEFT(B598,27)&amp;VALUE(RIGHT(B598,1)+1))</f>
        <v/>
      </c>
      <c r="C599" s="6" t="str">
        <f t="shared" ref="C599:D599" si="698">C598</f>
        <v/>
      </c>
      <c r="D599" s="6" t="str">
        <f t="shared" si="698"/>
        <v/>
      </c>
      <c r="E599" s="10" t="str">
        <f>IF(ISBLANK(A596),"",E598+1)</f>
        <v/>
      </c>
      <c r="F599" s="11" t="str">
        <f t="shared" si="697"/>
        <v/>
      </c>
      <c r="G599" s="8"/>
    </row>
    <row r="600">
      <c r="A600" s="9" t="str">
        <f t="shared" si="695"/>
        <v/>
      </c>
      <c r="B600" s="9" t="str">
        <f>IF(ISBLANK(A596),"",LEFT(B599,27)&amp;VALUE(RIGHT(B599,1)+1))</f>
        <v/>
      </c>
      <c r="C600" s="6" t="str">
        <f t="shared" ref="C600:D600" si="699">C599</f>
        <v/>
      </c>
      <c r="D600" s="6" t="str">
        <f t="shared" si="699"/>
        <v/>
      </c>
      <c r="E600" s="10" t="str">
        <f>IF(ISBLANK(A596),"",E599+1)</f>
        <v/>
      </c>
      <c r="F600" s="11" t="str">
        <f t="shared" si="697"/>
        <v/>
      </c>
      <c r="G600" s="8"/>
    </row>
    <row r="601">
      <c r="A601" s="12" t="str">
        <f t="shared" si="695"/>
        <v/>
      </c>
      <c r="B601" s="12" t="str">
        <f>IF(ISBLANK(A596),"",LEFT(B600,27)&amp;VALUE(RIGHT(B600,1)+1))</f>
        <v/>
      </c>
      <c r="C601" s="13" t="str">
        <f t="shared" ref="C601:D601" si="700">C600</f>
        <v/>
      </c>
      <c r="D601" s="13" t="str">
        <f t="shared" si="700"/>
        <v/>
      </c>
      <c r="E601" s="14" t="str">
        <f>IF(ISBLANK(A596),"",E600+1)</f>
        <v/>
      </c>
      <c r="F601" s="15" t="str">
        <f t="shared" si="697"/>
        <v/>
      </c>
      <c r="G601" s="16"/>
    </row>
    <row r="602">
      <c r="A602" s="5"/>
      <c r="B602" s="6" t="str">
        <f t="array" ref="B602">IF(ISBLANK(A602),"",IF(A602="PROREP (L)",VLOOKUP(LEFT($A602,6),'Data Feed (25C)'!$A$1:$G$10,2,FALSE),IF(A602="PROREP (S)", INDEX('Data Feed (25C)'!B:B, MATCH(LEFT($A602,6), 'Data Feed (25C)'!$A$1:$A$10, 0) + 1), VLOOKUP($A602,'Data Feed (25C)'!$A$1:$G$10,2,FALSE))))</f>
        <v/>
      </c>
      <c r="C602" s="6" t="str">
        <f t="array" ref="C602">IF(ISBLANK(A602),"",IF(A602="PROREP (L)",VLOOKUP(LEFT($A602,6),'Data Feed (25C)'!$A$1:$G$10,3,FALSE),IF(A602="PROREP (S)", INDEX('Data Feed (25C)'!C:C, MATCH(LEFT($A602,6), 'Data Feed (25C)'!$A$1:$A$10, 0) + 1, +1), VLOOKUP($A602,'Data Feed (25C)'!$A$1:$G$10,3,FALSE))))</f>
        <v/>
      </c>
      <c r="D602" s="6" t="str">
        <f t="array" ref="D602">IF(ISBLANK(A602),"",IF(A602="PROREP (L)",VLOOKUP(LEFT($A602,6),'Data Feed (25C)'!$A$1:$G$10,4,FALSE),IF(A602="PROREP (S)", INDEX('Data Feed (25C)'!D:D, MATCH(LEFT($A602,6), 'Data Feed (25C)'!$A$1:$A$10, 0) + 1, +1), VLOOKUP($A602,'Data Feed (25C)'!$A$1:$G$10,4,FALSE))))</f>
        <v/>
      </c>
      <c r="E602" s="6" t="str">
        <f t="array" ref="E602">IF(ISBLANK(A602),"",IF(A602="PROREP (L)",VLOOKUP(LEFT($A602,6),'Data Feed (25C)'!$A$1:$G$10,7,FALSE),IF(A602="PROREP (S)", INDEX('Data Feed (25C)'!G:G, MATCH(LEFT($A602,6), 'Data Feed (25C)'!$A$1:$A$10, 0) + 1, +1), VLOOKUP($A602,'Data Feed (25C)'!$A$1:$G$10,7,FALSE))))</f>
        <v/>
      </c>
      <c r="F602" s="7"/>
      <c r="G602" s="8"/>
    </row>
    <row r="603">
      <c r="A603" s="9" t="str">
        <f t="shared" ref="A603:A607" si="702">A602</f>
        <v/>
      </c>
      <c r="B603" s="9" t="str">
        <f>IF(ISBLANK(A602),"",LEFT(B602,27)&amp;VALUE(RIGHT(B602,1)+1))</f>
        <v/>
      </c>
      <c r="C603" s="6" t="str">
        <f t="shared" ref="C603:D603" si="701">C602</f>
        <v/>
      </c>
      <c r="D603" s="6" t="str">
        <f t="shared" si="701"/>
        <v/>
      </c>
      <c r="E603" s="10" t="str">
        <f>IF(ISBLANK(A602),"",E602+1)</f>
        <v/>
      </c>
      <c r="F603" s="11" t="str">
        <f t="shared" ref="F603:F607" si="704">F602</f>
        <v/>
      </c>
      <c r="G603" s="8"/>
    </row>
    <row r="604">
      <c r="A604" s="9" t="str">
        <f t="shared" si="702"/>
        <v/>
      </c>
      <c r="B604" s="9" t="str">
        <f>IF(ISBLANK(A602),"",LEFT(B603,27)&amp;VALUE(RIGHT(B603,1)+1))</f>
        <v/>
      </c>
      <c r="C604" s="6" t="str">
        <f t="shared" ref="C604:D604" si="703">C603</f>
        <v/>
      </c>
      <c r="D604" s="6" t="str">
        <f t="shared" si="703"/>
        <v/>
      </c>
      <c r="E604" s="10" t="str">
        <f>IF(ISBLANK(A602),"",E603+1)</f>
        <v/>
      </c>
      <c r="F604" s="11" t="str">
        <f t="shared" si="704"/>
        <v/>
      </c>
      <c r="G604" s="8"/>
    </row>
    <row r="605">
      <c r="A605" s="9" t="str">
        <f t="shared" si="702"/>
        <v/>
      </c>
      <c r="B605" s="9" t="str">
        <f>IF(ISBLANK(A602),"",LEFT(B604,27)&amp;VALUE(RIGHT(B604,1)+1))</f>
        <v/>
      </c>
      <c r="C605" s="6" t="str">
        <f t="shared" ref="C605:D605" si="705">C604</f>
        <v/>
      </c>
      <c r="D605" s="6" t="str">
        <f t="shared" si="705"/>
        <v/>
      </c>
      <c r="E605" s="10" t="str">
        <f>IF(ISBLANK(A602),"",E604+1)</f>
        <v/>
      </c>
      <c r="F605" s="11" t="str">
        <f t="shared" si="704"/>
        <v/>
      </c>
      <c r="G605" s="8"/>
    </row>
    <row r="606">
      <c r="A606" s="9" t="str">
        <f t="shared" si="702"/>
        <v/>
      </c>
      <c r="B606" s="9" t="str">
        <f>IF(ISBLANK(A602),"",LEFT(B605,27)&amp;VALUE(RIGHT(B605,1)+1))</f>
        <v/>
      </c>
      <c r="C606" s="6" t="str">
        <f t="shared" ref="C606:D606" si="706">C605</f>
        <v/>
      </c>
      <c r="D606" s="6" t="str">
        <f t="shared" si="706"/>
        <v/>
      </c>
      <c r="E606" s="10" t="str">
        <f>IF(ISBLANK(A602),"",E605+1)</f>
        <v/>
      </c>
      <c r="F606" s="11" t="str">
        <f t="shared" si="704"/>
        <v/>
      </c>
      <c r="G606" s="8"/>
    </row>
    <row r="607">
      <c r="A607" s="12" t="str">
        <f t="shared" si="702"/>
        <v/>
      </c>
      <c r="B607" s="12" t="str">
        <f>IF(ISBLANK(A602),"",LEFT(B606,27)&amp;VALUE(RIGHT(B606,1)+1))</f>
        <v/>
      </c>
      <c r="C607" s="13" t="str">
        <f t="shared" ref="C607:D607" si="707">C606</f>
        <v/>
      </c>
      <c r="D607" s="13" t="str">
        <f t="shared" si="707"/>
        <v/>
      </c>
      <c r="E607" s="14" t="str">
        <f>IF(ISBLANK(A602),"",E606+1)</f>
        <v/>
      </c>
      <c r="F607" s="15" t="str">
        <f t="shared" si="704"/>
        <v/>
      </c>
      <c r="G607" s="16"/>
    </row>
    <row r="608">
      <c r="A608" s="5"/>
      <c r="B608" s="6" t="str">
        <f t="array" ref="B608">IF(ISBLANK(A608),"",IF(A608="PROREP (L)",VLOOKUP(LEFT($A608,6),'Data Feed (25C)'!$A$1:$G$10,2,FALSE),IF(A608="PROREP (S)", INDEX('Data Feed (25C)'!B:B, MATCH(LEFT($A608,6), 'Data Feed (25C)'!$A$1:$A$10, 0) + 1), VLOOKUP($A608,'Data Feed (25C)'!$A$1:$G$10,2,FALSE))))</f>
        <v/>
      </c>
      <c r="C608" s="6" t="str">
        <f t="array" ref="C608">IF(ISBLANK(A608),"",IF(A608="PROREP (L)",VLOOKUP(LEFT($A608,6),'Data Feed (25C)'!$A$1:$G$10,3,FALSE),IF(A608="PROREP (S)", INDEX('Data Feed (25C)'!C:C, MATCH(LEFT($A608,6), 'Data Feed (25C)'!$A$1:$A$10, 0) + 1, +1), VLOOKUP($A608,'Data Feed (25C)'!$A$1:$G$10,3,FALSE))))</f>
        <v/>
      </c>
      <c r="D608" s="6" t="str">
        <f t="array" ref="D608">IF(ISBLANK(A608),"",IF(A608="PROREP (L)",VLOOKUP(LEFT($A608,6),'Data Feed (25C)'!$A$1:$G$10,4,FALSE),IF(A608="PROREP (S)", INDEX('Data Feed (25C)'!D:D, MATCH(LEFT($A608,6), 'Data Feed (25C)'!$A$1:$A$10, 0) + 1, +1), VLOOKUP($A608,'Data Feed (25C)'!$A$1:$G$10,4,FALSE))))</f>
        <v/>
      </c>
      <c r="E608" s="6" t="str">
        <f t="array" ref="E608">IF(ISBLANK(A608),"",IF(A608="PROREP (L)",VLOOKUP(LEFT($A608,6),'Data Feed (25C)'!$A$1:$G$10,7,FALSE),IF(A608="PROREP (S)", INDEX('Data Feed (25C)'!G:G, MATCH(LEFT($A608,6), 'Data Feed (25C)'!$A$1:$A$10, 0) + 1, +1), VLOOKUP($A608,'Data Feed (25C)'!$A$1:$G$10,7,FALSE))))</f>
        <v/>
      </c>
      <c r="F608" s="7"/>
      <c r="G608" s="8"/>
    </row>
    <row r="609">
      <c r="A609" s="9" t="str">
        <f t="shared" ref="A609:A613" si="709">A608</f>
        <v/>
      </c>
      <c r="B609" s="9" t="str">
        <f>IF(ISBLANK(A608),"",LEFT(B608,27)&amp;VALUE(RIGHT(B608,1)+1))</f>
        <v/>
      </c>
      <c r="C609" s="6" t="str">
        <f t="shared" ref="C609:D609" si="708">C608</f>
        <v/>
      </c>
      <c r="D609" s="6" t="str">
        <f t="shared" si="708"/>
        <v/>
      </c>
      <c r="E609" s="10" t="str">
        <f>IF(ISBLANK(A608),"",E608+1)</f>
        <v/>
      </c>
      <c r="F609" s="11" t="str">
        <f t="shared" ref="F609:F613" si="711">F608</f>
        <v/>
      </c>
      <c r="G609" s="8"/>
    </row>
    <row r="610">
      <c r="A610" s="9" t="str">
        <f t="shared" si="709"/>
        <v/>
      </c>
      <c r="B610" s="9" t="str">
        <f>IF(ISBLANK(A608),"",LEFT(B609,27)&amp;VALUE(RIGHT(B609,1)+1))</f>
        <v/>
      </c>
      <c r="C610" s="6" t="str">
        <f t="shared" ref="C610:D610" si="710">C609</f>
        <v/>
      </c>
      <c r="D610" s="6" t="str">
        <f t="shared" si="710"/>
        <v/>
      </c>
      <c r="E610" s="10" t="str">
        <f>IF(ISBLANK(A608),"",E609+1)</f>
        <v/>
      </c>
      <c r="F610" s="11" t="str">
        <f t="shared" si="711"/>
        <v/>
      </c>
      <c r="G610" s="8"/>
    </row>
    <row r="611">
      <c r="A611" s="9" t="str">
        <f t="shared" si="709"/>
        <v/>
      </c>
      <c r="B611" s="9" t="str">
        <f>IF(ISBLANK(A608),"",LEFT(B610,27)&amp;VALUE(RIGHT(B610,1)+1))</f>
        <v/>
      </c>
      <c r="C611" s="6" t="str">
        <f t="shared" ref="C611:D611" si="712">C610</f>
        <v/>
      </c>
      <c r="D611" s="6" t="str">
        <f t="shared" si="712"/>
        <v/>
      </c>
      <c r="E611" s="10" t="str">
        <f>IF(ISBLANK(A608),"",E610+1)</f>
        <v/>
      </c>
      <c r="F611" s="11" t="str">
        <f t="shared" si="711"/>
        <v/>
      </c>
      <c r="G611" s="8"/>
    </row>
    <row r="612">
      <c r="A612" s="9" t="str">
        <f t="shared" si="709"/>
        <v/>
      </c>
      <c r="B612" s="9" t="str">
        <f>IF(ISBLANK(A608),"",LEFT(B611,27)&amp;VALUE(RIGHT(B611,1)+1))</f>
        <v/>
      </c>
      <c r="C612" s="6" t="str">
        <f t="shared" ref="C612:D612" si="713">C611</f>
        <v/>
      </c>
      <c r="D612" s="6" t="str">
        <f t="shared" si="713"/>
        <v/>
      </c>
      <c r="E612" s="10" t="str">
        <f>IF(ISBLANK(A608),"",E611+1)</f>
        <v/>
      </c>
      <c r="F612" s="11" t="str">
        <f t="shared" si="711"/>
        <v/>
      </c>
      <c r="G612" s="8"/>
    </row>
    <row r="613">
      <c r="A613" s="12" t="str">
        <f t="shared" si="709"/>
        <v/>
      </c>
      <c r="B613" s="12" t="str">
        <f>IF(ISBLANK(A608),"",LEFT(B612,27)&amp;VALUE(RIGHT(B612,1)+1))</f>
        <v/>
      </c>
      <c r="C613" s="13" t="str">
        <f t="shared" ref="C613:D613" si="714">C612</f>
        <v/>
      </c>
      <c r="D613" s="13" t="str">
        <f t="shared" si="714"/>
        <v/>
      </c>
      <c r="E613" s="14" t="str">
        <f>IF(ISBLANK(A608),"",E612+1)</f>
        <v/>
      </c>
      <c r="F613" s="15" t="str">
        <f t="shared" si="711"/>
        <v/>
      </c>
      <c r="G613" s="16"/>
    </row>
    <row r="614">
      <c r="A614" s="5"/>
      <c r="B614" s="6" t="str">
        <f t="array" ref="B614">IF(ISBLANK(A614),"",IF(A614="PROREP (L)",VLOOKUP(LEFT($A614,6),'Data Feed (25C)'!$A$1:$G$10,2,FALSE),IF(A614="PROREP (S)", INDEX('Data Feed (25C)'!B:B, MATCH(LEFT($A614,6), 'Data Feed (25C)'!$A$1:$A$10, 0) + 1), VLOOKUP($A614,'Data Feed (25C)'!$A$1:$G$10,2,FALSE))))</f>
        <v/>
      </c>
      <c r="C614" s="6" t="str">
        <f t="array" ref="C614">IF(ISBLANK(A614),"",IF(A614="PROREP (L)",VLOOKUP(LEFT($A614,6),'Data Feed (25C)'!$A$1:$G$10,3,FALSE),IF(A614="PROREP (S)", INDEX('Data Feed (25C)'!C:C, MATCH(LEFT($A614,6), 'Data Feed (25C)'!$A$1:$A$10, 0) + 1, +1), VLOOKUP($A614,'Data Feed (25C)'!$A$1:$G$10,3,FALSE))))</f>
        <v/>
      </c>
      <c r="D614" s="6" t="str">
        <f t="array" ref="D614">IF(ISBLANK(A614),"",IF(A614="PROREP (L)",VLOOKUP(LEFT($A614,6),'Data Feed (25C)'!$A$1:$G$10,4,FALSE),IF(A614="PROREP (S)", INDEX('Data Feed (25C)'!D:D, MATCH(LEFT($A614,6), 'Data Feed (25C)'!$A$1:$A$10, 0) + 1, +1), VLOOKUP($A614,'Data Feed (25C)'!$A$1:$G$10,4,FALSE))))</f>
        <v/>
      </c>
      <c r="E614" s="6" t="str">
        <f t="array" ref="E614">IF(ISBLANK(A614),"",IF(A614="PROREP (L)",VLOOKUP(LEFT($A614,6),'Data Feed (25C)'!$A$1:$G$10,7,FALSE),IF(A614="PROREP (S)", INDEX('Data Feed (25C)'!G:G, MATCH(LEFT($A614,6), 'Data Feed (25C)'!$A$1:$A$10, 0) + 1, +1), VLOOKUP($A614,'Data Feed (25C)'!$A$1:$G$10,7,FALSE))))</f>
        <v/>
      </c>
      <c r="F614" s="7"/>
      <c r="G614" s="8"/>
    </row>
    <row r="615">
      <c r="A615" s="9" t="str">
        <f t="shared" ref="A615:A619" si="716">A614</f>
        <v/>
      </c>
      <c r="B615" s="9" t="str">
        <f>IF(ISBLANK(A614),"",LEFT(B614,27)&amp;VALUE(RIGHT(B614,1)+1))</f>
        <v/>
      </c>
      <c r="C615" s="6" t="str">
        <f t="shared" ref="C615:D615" si="715">C614</f>
        <v/>
      </c>
      <c r="D615" s="6" t="str">
        <f t="shared" si="715"/>
        <v/>
      </c>
      <c r="E615" s="10" t="str">
        <f>IF(ISBLANK(A614),"",E614+1)</f>
        <v/>
      </c>
      <c r="F615" s="11" t="str">
        <f t="shared" ref="F615:F619" si="718">F614</f>
        <v/>
      </c>
      <c r="G615" s="8"/>
    </row>
    <row r="616">
      <c r="A616" s="9" t="str">
        <f t="shared" si="716"/>
        <v/>
      </c>
      <c r="B616" s="9" t="str">
        <f>IF(ISBLANK(A614),"",LEFT(B615,27)&amp;VALUE(RIGHT(B615,1)+1))</f>
        <v/>
      </c>
      <c r="C616" s="6" t="str">
        <f t="shared" ref="C616:D616" si="717">C615</f>
        <v/>
      </c>
      <c r="D616" s="6" t="str">
        <f t="shared" si="717"/>
        <v/>
      </c>
      <c r="E616" s="10" t="str">
        <f>IF(ISBLANK(A614),"",E615+1)</f>
        <v/>
      </c>
      <c r="F616" s="11" t="str">
        <f t="shared" si="718"/>
        <v/>
      </c>
      <c r="G616" s="8"/>
    </row>
    <row r="617">
      <c r="A617" s="9" t="str">
        <f t="shared" si="716"/>
        <v/>
      </c>
      <c r="B617" s="9" t="str">
        <f>IF(ISBLANK(A614),"",LEFT(B616,27)&amp;VALUE(RIGHT(B616,1)+1))</f>
        <v/>
      </c>
      <c r="C617" s="6" t="str">
        <f t="shared" ref="C617:D617" si="719">C616</f>
        <v/>
      </c>
      <c r="D617" s="6" t="str">
        <f t="shared" si="719"/>
        <v/>
      </c>
      <c r="E617" s="10" t="str">
        <f>IF(ISBLANK(A614),"",E616+1)</f>
        <v/>
      </c>
      <c r="F617" s="11" t="str">
        <f t="shared" si="718"/>
        <v/>
      </c>
      <c r="G617" s="8"/>
    </row>
    <row r="618">
      <c r="A618" s="9" t="str">
        <f t="shared" si="716"/>
        <v/>
      </c>
      <c r="B618" s="9" t="str">
        <f>IF(ISBLANK(A614),"",LEFT(B617,27)&amp;VALUE(RIGHT(B617,1)+1))</f>
        <v/>
      </c>
      <c r="C618" s="6" t="str">
        <f t="shared" ref="C618:D618" si="720">C617</f>
        <v/>
      </c>
      <c r="D618" s="6" t="str">
        <f t="shared" si="720"/>
        <v/>
      </c>
      <c r="E618" s="10" t="str">
        <f>IF(ISBLANK(A614),"",E617+1)</f>
        <v/>
      </c>
      <c r="F618" s="11" t="str">
        <f t="shared" si="718"/>
        <v/>
      </c>
      <c r="G618" s="8"/>
    </row>
    <row r="619">
      <c r="A619" s="12" t="str">
        <f t="shared" si="716"/>
        <v/>
      </c>
      <c r="B619" s="12" t="str">
        <f>IF(ISBLANK(A614),"",LEFT(B618,27)&amp;VALUE(RIGHT(B618,1)+1))</f>
        <v/>
      </c>
      <c r="C619" s="13" t="str">
        <f t="shared" ref="C619:D619" si="721">C618</f>
        <v/>
      </c>
      <c r="D619" s="13" t="str">
        <f t="shared" si="721"/>
        <v/>
      </c>
      <c r="E619" s="14" t="str">
        <f>IF(ISBLANK(A614),"",E618+1)</f>
        <v/>
      </c>
      <c r="F619" s="15" t="str">
        <f t="shared" si="718"/>
        <v/>
      </c>
      <c r="G619" s="16"/>
    </row>
    <row r="620">
      <c r="A620" s="5"/>
      <c r="B620" s="6" t="str">
        <f t="array" ref="B620">IF(ISBLANK(A620),"",IF(A620="PROREP (L)",VLOOKUP(LEFT($A620,6),'Data Feed (25C)'!$A$1:$G$10,2,FALSE),IF(A620="PROREP (S)", INDEX('Data Feed (25C)'!B:B, MATCH(LEFT($A620,6), 'Data Feed (25C)'!$A$1:$A$10, 0) + 1), VLOOKUP($A620,'Data Feed (25C)'!$A$1:$G$10,2,FALSE))))</f>
        <v/>
      </c>
      <c r="C620" s="6" t="str">
        <f t="array" ref="C620">IF(ISBLANK(A620),"",IF(A620="PROREP (L)",VLOOKUP(LEFT($A620,6),'Data Feed (25C)'!$A$1:$G$10,3,FALSE),IF(A620="PROREP (S)", INDEX('Data Feed (25C)'!C:C, MATCH(LEFT($A620,6), 'Data Feed (25C)'!$A$1:$A$10, 0) + 1, +1), VLOOKUP($A620,'Data Feed (25C)'!$A$1:$G$10,3,FALSE))))</f>
        <v/>
      </c>
      <c r="D620" s="6" t="str">
        <f t="array" ref="D620">IF(ISBLANK(A620),"",IF(A620="PROREP (L)",VLOOKUP(LEFT($A620,6),'Data Feed (25C)'!$A$1:$G$10,4,FALSE),IF(A620="PROREP (S)", INDEX('Data Feed (25C)'!D:D, MATCH(LEFT($A620,6), 'Data Feed (25C)'!$A$1:$A$10, 0) + 1, +1), VLOOKUP($A620,'Data Feed (25C)'!$A$1:$G$10,4,FALSE))))</f>
        <v/>
      </c>
      <c r="E620" s="6" t="str">
        <f t="array" ref="E620">IF(ISBLANK(A620),"",IF(A620="PROREP (L)",VLOOKUP(LEFT($A620,6),'Data Feed (25C)'!$A$1:$G$10,7,FALSE),IF(A620="PROREP (S)", INDEX('Data Feed (25C)'!G:G, MATCH(LEFT($A620,6), 'Data Feed (25C)'!$A$1:$A$10, 0) + 1, +1), VLOOKUP($A620,'Data Feed (25C)'!$A$1:$G$10,7,FALSE))))</f>
        <v/>
      </c>
      <c r="F620" s="7"/>
      <c r="G620" s="8"/>
    </row>
    <row r="621">
      <c r="A621" s="9" t="str">
        <f t="shared" ref="A621:A625" si="723">A620</f>
        <v/>
      </c>
      <c r="B621" s="9" t="str">
        <f>IF(ISBLANK(A620),"",LEFT(B620,27)&amp;VALUE(RIGHT(B620,1)+1))</f>
        <v/>
      </c>
      <c r="C621" s="6" t="str">
        <f t="shared" ref="C621:D621" si="722">C620</f>
        <v/>
      </c>
      <c r="D621" s="6" t="str">
        <f t="shared" si="722"/>
        <v/>
      </c>
      <c r="E621" s="10" t="str">
        <f>IF(ISBLANK(A620),"",E620+1)</f>
        <v/>
      </c>
      <c r="F621" s="11" t="str">
        <f t="shared" ref="F621:F625" si="725">F620</f>
        <v/>
      </c>
      <c r="G621" s="8"/>
    </row>
    <row r="622">
      <c r="A622" s="9" t="str">
        <f t="shared" si="723"/>
        <v/>
      </c>
      <c r="B622" s="9" t="str">
        <f>IF(ISBLANK(A620),"",LEFT(B621,27)&amp;VALUE(RIGHT(B621,1)+1))</f>
        <v/>
      </c>
      <c r="C622" s="6" t="str">
        <f t="shared" ref="C622:D622" si="724">C621</f>
        <v/>
      </c>
      <c r="D622" s="6" t="str">
        <f t="shared" si="724"/>
        <v/>
      </c>
      <c r="E622" s="10" t="str">
        <f>IF(ISBLANK(A620),"",E621+1)</f>
        <v/>
      </c>
      <c r="F622" s="11" t="str">
        <f t="shared" si="725"/>
        <v/>
      </c>
      <c r="G622" s="8"/>
    </row>
    <row r="623">
      <c r="A623" s="9" t="str">
        <f t="shared" si="723"/>
        <v/>
      </c>
      <c r="B623" s="9" t="str">
        <f>IF(ISBLANK(A620),"",LEFT(B622,27)&amp;VALUE(RIGHT(B622,1)+1))</f>
        <v/>
      </c>
      <c r="C623" s="6" t="str">
        <f t="shared" ref="C623:D623" si="726">C622</f>
        <v/>
      </c>
      <c r="D623" s="6" t="str">
        <f t="shared" si="726"/>
        <v/>
      </c>
      <c r="E623" s="10" t="str">
        <f>IF(ISBLANK(A620),"",E622+1)</f>
        <v/>
      </c>
      <c r="F623" s="11" t="str">
        <f t="shared" si="725"/>
        <v/>
      </c>
      <c r="G623" s="8"/>
    </row>
    <row r="624">
      <c r="A624" s="9" t="str">
        <f t="shared" si="723"/>
        <v/>
      </c>
      <c r="B624" s="9" t="str">
        <f>IF(ISBLANK(A620),"",LEFT(B623,27)&amp;VALUE(RIGHT(B623,1)+1))</f>
        <v/>
      </c>
      <c r="C624" s="6" t="str">
        <f t="shared" ref="C624:D624" si="727">C623</f>
        <v/>
      </c>
      <c r="D624" s="6" t="str">
        <f t="shared" si="727"/>
        <v/>
      </c>
      <c r="E624" s="10" t="str">
        <f>IF(ISBLANK(A620),"",E623+1)</f>
        <v/>
      </c>
      <c r="F624" s="11" t="str">
        <f t="shared" si="725"/>
        <v/>
      </c>
      <c r="G624" s="8"/>
    </row>
    <row r="625">
      <c r="A625" s="12" t="str">
        <f t="shared" si="723"/>
        <v/>
      </c>
      <c r="B625" s="12" t="str">
        <f>IF(ISBLANK(A620),"",LEFT(B624,27)&amp;VALUE(RIGHT(B624,1)+1))</f>
        <v/>
      </c>
      <c r="C625" s="13" t="str">
        <f t="shared" ref="C625:D625" si="728">C624</f>
        <v/>
      </c>
      <c r="D625" s="13" t="str">
        <f t="shared" si="728"/>
        <v/>
      </c>
      <c r="E625" s="14" t="str">
        <f>IF(ISBLANK(A620),"",E624+1)</f>
        <v/>
      </c>
      <c r="F625" s="15" t="str">
        <f t="shared" si="725"/>
        <v/>
      </c>
      <c r="G625" s="16"/>
    </row>
    <row r="626">
      <c r="A626" s="5"/>
      <c r="B626" s="6" t="str">
        <f t="array" ref="B626">IF(ISBLANK(A626),"",IF(A626="PROREP (L)",VLOOKUP(LEFT($A626,6),'Data Feed (25C)'!$A$1:$G$10,2,FALSE),IF(A626="PROREP (S)", INDEX('Data Feed (25C)'!B:B, MATCH(LEFT($A626,6), 'Data Feed (25C)'!$A$1:$A$10, 0) + 1), VLOOKUP($A626,'Data Feed (25C)'!$A$1:$G$10,2,FALSE))))</f>
        <v/>
      </c>
      <c r="C626" s="6" t="str">
        <f t="array" ref="C626">IF(ISBLANK(A626),"",IF(A626="PROREP (L)",VLOOKUP(LEFT($A626,6),'Data Feed (25C)'!$A$1:$G$10,3,FALSE),IF(A626="PROREP (S)", INDEX('Data Feed (25C)'!C:C, MATCH(LEFT($A626,6), 'Data Feed (25C)'!$A$1:$A$10, 0) + 1, +1), VLOOKUP($A626,'Data Feed (25C)'!$A$1:$G$10,3,FALSE))))</f>
        <v/>
      </c>
      <c r="D626" s="6" t="str">
        <f t="array" ref="D626">IF(ISBLANK(A626),"",IF(A626="PROREP (L)",VLOOKUP(LEFT($A626,6),'Data Feed (25C)'!$A$1:$G$10,4,FALSE),IF(A626="PROREP (S)", INDEX('Data Feed (25C)'!D:D, MATCH(LEFT($A626,6), 'Data Feed (25C)'!$A$1:$A$10, 0) + 1, +1), VLOOKUP($A626,'Data Feed (25C)'!$A$1:$G$10,4,FALSE))))</f>
        <v/>
      </c>
      <c r="E626" s="6" t="str">
        <f t="array" ref="E626">IF(ISBLANK(A626),"",IF(A626="PROREP (L)",VLOOKUP(LEFT($A626,6),'Data Feed (25C)'!$A$1:$G$10,7,FALSE),IF(A626="PROREP (S)", INDEX('Data Feed (25C)'!G:G, MATCH(LEFT($A626,6), 'Data Feed (25C)'!$A$1:$A$10, 0) + 1, +1), VLOOKUP($A626,'Data Feed (25C)'!$A$1:$G$10,7,FALSE))))</f>
        <v/>
      </c>
      <c r="F626" s="7"/>
      <c r="G626" s="8"/>
    </row>
    <row r="627">
      <c r="A627" s="9" t="str">
        <f t="shared" ref="A627:A631" si="730">A626</f>
        <v/>
      </c>
      <c r="B627" s="9" t="str">
        <f>IF(ISBLANK(A626),"",LEFT(B626,27)&amp;VALUE(RIGHT(B626,1)+1))</f>
        <v/>
      </c>
      <c r="C627" s="6" t="str">
        <f t="shared" ref="C627:D627" si="729">C626</f>
        <v/>
      </c>
      <c r="D627" s="6" t="str">
        <f t="shared" si="729"/>
        <v/>
      </c>
      <c r="E627" s="10" t="str">
        <f>IF(ISBLANK(A626),"",E626+1)</f>
        <v/>
      </c>
      <c r="F627" s="11" t="str">
        <f t="shared" ref="F627:F631" si="732">F626</f>
        <v/>
      </c>
      <c r="G627" s="8"/>
    </row>
    <row r="628">
      <c r="A628" s="9" t="str">
        <f t="shared" si="730"/>
        <v/>
      </c>
      <c r="B628" s="9" t="str">
        <f>IF(ISBLANK(A626),"",LEFT(B627,27)&amp;VALUE(RIGHT(B627,1)+1))</f>
        <v/>
      </c>
      <c r="C628" s="6" t="str">
        <f t="shared" ref="C628:D628" si="731">C627</f>
        <v/>
      </c>
      <c r="D628" s="6" t="str">
        <f t="shared" si="731"/>
        <v/>
      </c>
      <c r="E628" s="10" t="str">
        <f>IF(ISBLANK(A626),"",E627+1)</f>
        <v/>
      </c>
      <c r="F628" s="11" t="str">
        <f t="shared" si="732"/>
        <v/>
      </c>
      <c r="G628" s="8"/>
    </row>
    <row r="629">
      <c r="A629" s="9" t="str">
        <f t="shared" si="730"/>
        <v/>
      </c>
      <c r="B629" s="9" t="str">
        <f>IF(ISBLANK(A626),"",LEFT(B628,27)&amp;VALUE(RIGHT(B628,1)+1))</f>
        <v/>
      </c>
      <c r="C629" s="6" t="str">
        <f t="shared" ref="C629:D629" si="733">C628</f>
        <v/>
      </c>
      <c r="D629" s="6" t="str">
        <f t="shared" si="733"/>
        <v/>
      </c>
      <c r="E629" s="10" t="str">
        <f>IF(ISBLANK(A626),"",E628+1)</f>
        <v/>
      </c>
      <c r="F629" s="11" t="str">
        <f t="shared" si="732"/>
        <v/>
      </c>
      <c r="G629" s="8"/>
    </row>
    <row r="630">
      <c r="A630" s="9" t="str">
        <f t="shared" si="730"/>
        <v/>
      </c>
      <c r="B630" s="9" t="str">
        <f>IF(ISBLANK(A626),"",LEFT(B629,27)&amp;VALUE(RIGHT(B629,1)+1))</f>
        <v/>
      </c>
      <c r="C630" s="6" t="str">
        <f t="shared" ref="C630:D630" si="734">C629</f>
        <v/>
      </c>
      <c r="D630" s="6" t="str">
        <f t="shared" si="734"/>
        <v/>
      </c>
      <c r="E630" s="10" t="str">
        <f>IF(ISBLANK(A626),"",E629+1)</f>
        <v/>
      </c>
      <c r="F630" s="11" t="str">
        <f t="shared" si="732"/>
        <v/>
      </c>
      <c r="G630" s="8"/>
    </row>
    <row r="631">
      <c r="A631" s="12" t="str">
        <f t="shared" si="730"/>
        <v/>
      </c>
      <c r="B631" s="12" t="str">
        <f>IF(ISBLANK(A626),"",LEFT(B630,27)&amp;VALUE(RIGHT(B630,1)+1))</f>
        <v/>
      </c>
      <c r="C631" s="13" t="str">
        <f t="shared" ref="C631:D631" si="735">C630</f>
        <v/>
      </c>
      <c r="D631" s="13" t="str">
        <f t="shared" si="735"/>
        <v/>
      </c>
      <c r="E631" s="14" t="str">
        <f>IF(ISBLANK(A626),"",E630+1)</f>
        <v/>
      </c>
      <c r="F631" s="15" t="str">
        <f t="shared" si="732"/>
        <v/>
      </c>
      <c r="G631" s="16"/>
    </row>
    <row r="632">
      <c r="A632" s="5"/>
      <c r="B632" s="6" t="str">
        <f t="array" ref="B632">IF(ISBLANK(A632),"",IF(A632="PROREP (L)",VLOOKUP(LEFT($A632,6),'Data Feed (25C)'!$A$1:$G$10,2,FALSE),IF(A632="PROREP (S)", INDEX('Data Feed (25C)'!B:B, MATCH(LEFT($A632,6), 'Data Feed (25C)'!$A$1:$A$10, 0) + 1), VLOOKUP($A632,'Data Feed (25C)'!$A$1:$G$10,2,FALSE))))</f>
        <v/>
      </c>
      <c r="C632" s="6" t="str">
        <f t="array" ref="C632">IF(ISBLANK(A632),"",IF(A632="PROREP (L)",VLOOKUP(LEFT($A632,6),'Data Feed (25C)'!$A$1:$G$10,3,FALSE),IF(A632="PROREP (S)", INDEX('Data Feed (25C)'!C:C, MATCH(LEFT($A632,6), 'Data Feed (25C)'!$A$1:$A$10, 0) + 1, +1), VLOOKUP($A632,'Data Feed (25C)'!$A$1:$G$10,3,FALSE))))</f>
        <v/>
      </c>
      <c r="D632" s="6" t="str">
        <f t="array" ref="D632">IF(ISBLANK(A632),"",IF(A632="PROREP (L)",VLOOKUP(LEFT($A632,6),'Data Feed (25C)'!$A$1:$G$10,4,FALSE),IF(A632="PROREP (S)", INDEX('Data Feed (25C)'!D:D, MATCH(LEFT($A632,6), 'Data Feed (25C)'!$A$1:$A$10, 0) + 1, +1), VLOOKUP($A632,'Data Feed (25C)'!$A$1:$G$10,4,FALSE))))</f>
        <v/>
      </c>
      <c r="E632" s="6" t="str">
        <f t="array" ref="E632">IF(ISBLANK(A632),"",IF(A632="PROREP (L)",VLOOKUP(LEFT($A632,6),'Data Feed (25C)'!$A$1:$G$10,7,FALSE),IF(A632="PROREP (S)", INDEX('Data Feed (25C)'!G:G, MATCH(LEFT($A632,6), 'Data Feed (25C)'!$A$1:$A$10, 0) + 1, +1), VLOOKUP($A632,'Data Feed (25C)'!$A$1:$G$10,7,FALSE))))</f>
        <v/>
      </c>
      <c r="F632" s="7"/>
      <c r="G632" s="8"/>
    </row>
    <row r="633">
      <c r="A633" s="9" t="str">
        <f t="shared" ref="A633:A637" si="737">A632</f>
        <v/>
      </c>
      <c r="B633" s="9" t="str">
        <f>IF(ISBLANK(A632),"",LEFT(B632,27)&amp;VALUE(RIGHT(B632,1)+1))</f>
        <v/>
      </c>
      <c r="C633" s="6" t="str">
        <f t="shared" ref="C633:D633" si="736">C632</f>
        <v/>
      </c>
      <c r="D633" s="6" t="str">
        <f t="shared" si="736"/>
        <v/>
      </c>
      <c r="E633" s="10" t="str">
        <f>IF(ISBLANK(A632),"",E632+1)</f>
        <v/>
      </c>
      <c r="F633" s="11" t="str">
        <f t="shared" ref="F633:F637" si="739">F632</f>
        <v/>
      </c>
      <c r="G633" s="8"/>
    </row>
    <row r="634">
      <c r="A634" s="9" t="str">
        <f t="shared" si="737"/>
        <v/>
      </c>
      <c r="B634" s="9" t="str">
        <f>IF(ISBLANK(A632),"",LEFT(B633,27)&amp;VALUE(RIGHT(B633,1)+1))</f>
        <v/>
      </c>
      <c r="C634" s="6" t="str">
        <f t="shared" ref="C634:D634" si="738">C633</f>
        <v/>
      </c>
      <c r="D634" s="6" t="str">
        <f t="shared" si="738"/>
        <v/>
      </c>
      <c r="E634" s="10" t="str">
        <f>IF(ISBLANK(A632),"",E633+1)</f>
        <v/>
      </c>
      <c r="F634" s="11" t="str">
        <f t="shared" si="739"/>
        <v/>
      </c>
      <c r="G634" s="8"/>
    </row>
    <row r="635">
      <c r="A635" s="9" t="str">
        <f t="shared" si="737"/>
        <v/>
      </c>
      <c r="B635" s="9" t="str">
        <f>IF(ISBLANK(A632),"",LEFT(B634,27)&amp;VALUE(RIGHT(B634,1)+1))</f>
        <v/>
      </c>
      <c r="C635" s="6" t="str">
        <f t="shared" ref="C635:D635" si="740">C634</f>
        <v/>
      </c>
      <c r="D635" s="6" t="str">
        <f t="shared" si="740"/>
        <v/>
      </c>
      <c r="E635" s="10" t="str">
        <f>IF(ISBLANK(A632),"",E634+1)</f>
        <v/>
      </c>
      <c r="F635" s="11" t="str">
        <f t="shared" si="739"/>
        <v/>
      </c>
      <c r="G635" s="8"/>
    </row>
    <row r="636">
      <c r="A636" s="9" t="str">
        <f t="shared" si="737"/>
        <v/>
      </c>
      <c r="B636" s="9" t="str">
        <f>IF(ISBLANK(A632),"",LEFT(B635,27)&amp;VALUE(RIGHT(B635,1)+1))</f>
        <v/>
      </c>
      <c r="C636" s="6" t="str">
        <f t="shared" ref="C636:D636" si="741">C635</f>
        <v/>
      </c>
      <c r="D636" s="6" t="str">
        <f t="shared" si="741"/>
        <v/>
      </c>
      <c r="E636" s="10" t="str">
        <f>IF(ISBLANK(A632),"",E635+1)</f>
        <v/>
      </c>
      <c r="F636" s="11" t="str">
        <f t="shared" si="739"/>
        <v/>
      </c>
      <c r="G636" s="8"/>
    </row>
    <row r="637">
      <c r="A637" s="12" t="str">
        <f t="shared" si="737"/>
        <v/>
      </c>
      <c r="B637" s="12" t="str">
        <f>IF(ISBLANK(A632),"",LEFT(B636,27)&amp;VALUE(RIGHT(B636,1)+1))</f>
        <v/>
      </c>
      <c r="C637" s="13" t="str">
        <f t="shared" ref="C637:D637" si="742">C636</f>
        <v/>
      </c>
      <c r="D637" s="13" t="str">
        <f t="shared" si="742"/>
        <v/>
      </c>
      <c r="E637" s="14" t="str">
        <f>IF(ISBLANK(A632),"",E636+1)</f>
        <v/>
      </c>
      <c r="F637" s="15" t="str">
        <f t="shared" si="739"/>
        <v/>
      </c>
      <c r="G637" s="16"/>
    </row>
    <row r="638">
      <c r="A638" s="5"/>
      <c r="B638" s="6" t="str">
        <f t="array" ref="B638">IF(ISBLANK(A638),"",IF(A638="PROREP (L)",VLOOKUP(LEFT($A638,6),'Data Feed (25C)'!$A$1:$G$10,2,FALSE),IF(A638="PROREP (S)", INDEX('Data Feed (25C)'!B:B, MATCH(LEFT($A638,6), 'Data Feed (25C)'!$A$1:$A$10, 0) + 1), VLOOKUP($A638,'Data Feed (25C)'!$A$1:$G$10,2,FALSE))))</f>
        <v/>
      </c>
      <c r="C638" s="6" t="str">
        <f t="array" ref="C638">IF(ISBLANK(A638),"",IF(A638="PROREP (L)",VLOOKUP(LEFT($A638,6),'Data Feed (25C)'!$A$1:$G$10,3,FALSE),IF(A638="PROREP (S)", INDEX('Data Feed (25C)'!C:C, MATCH(LEFT($A638,6), 'Data Feed (25C)'!$A$1:$A$10, 0) + 1, +1), VLOOKUP($A638,'Data Feed (25C)'!$A$1:$G$10,3,FALSE))))</f>
        <v/>
      </c>
      <c r="D638" s="6" t="str">
        <f t="array" ref="D638">IF(ISBLANK(A638),"",IF(A638="PROREP (L)",VLOOKUP(LEFT($A638,6),'Data Feed (25C)'!$A$1:$G$10,4,FALSE),IF(A638="PROREP (S)", INDEX('Data Feed (25C)'!D:D, MATCH(LEFT($A638,6), 'Data Feed (25C)'!$A$1:$A$10, 0) + 1, +1), VLOOKUP($A638,'Data Feed (25C)'!$A$1:$G$10,4,FALSE))))</f>
        <v/>
      </c>
      <c r="E638" s="6" t="str">
        <f t="array" ref="E638">IF(ISBLANK(A638),"",IF(A638="PROREP (L)",VLOOKUP(LEFT($A638,6),'Data Feed (25C)'!$A$1:$G$10,7,FALSE),IF(A638="PROREP (S)", INDEX('Data Feed (25C)'!G:G, MATCH(LEFT($A638,6), 'Data Feed (25C)'!$A$1:$A$10, 0) + 1, +1), VLOOKUP($A638,'Data Feed (25C)'!$A$1:$G$10,7,FALSE))))</f>
        <v/>
      </c>
      <c r="F638" s="7"/>
      <c r="G638" s="8"/>
    </row>
    <row r="639">
      <c r="A639" s="9" t="str">
        <f t="shared" ref="A639:A643" si="744">A638</f>
        <v/>
      </c>
      <c r="B639" s="9" t="str">
        <f>IF(ISBLANK(A638),"",LEFT(B638,27)&amp;VALUE(RIGHT(B638,1)+1))</f>
        <v/>
      </c>
      <c r="C639" s="6" t="str">
        <f t="shared" ref="C639:D639" si="743">C638</f>
        <v/>
      </c>
      <c r="D639" s="6" t="str">
        <f t="shared" si="743"/>
        <v/>
      </c>
      <c r="E639" s="10" t="str">
        <f>IF(ISBLANK(A638),"",E638+1)</f>
        <v/>
      </c>
      <c r="F639" s="11" t="str">
        <f t="shared" ref="F639:F643" si="746">F638</f>
        <v/>
      </c>
      <c r="G639" s="8"/>
    </row>
    <row r="640">
      <c r="A640" s="9" t="str">
        <f t="shared" si="744"/>
        <v/>
      </c>
      <c r="B640" s="9" t="str">
        <f>IF(ISBLANK(A638),"",LEFT(B639,27)&amp;VALUE(RIGHT(B639,1)+1))</f>
        <v/>
      </c>
      <c r="C640" s="6" t="str">
        <f t="shared" ref="C640:D640" si="745">C639</f>
        <v/>
      </c>
      <c r="D640" s="6" t="str">
        <f t="shared" si="745"/>
        <v/>
      </c>
      <c r="E640" s="10" t="str">
        <f>IF(ISBLANK(A638),"",E639+1)</f>
        <v/>
      </c>
      <c r="F640" s="11" t="str">
        <f t="shared" si="746"/>
        <v/>
      </c>
      <c r="G640" s="8"/>
    </row>
    <row r="641">
      <c r="A641" s="9" t="str">
        <f t="shared" si="744"/>
        <v/>
      </c>
      <c r="B641" s="9" t="str">
        <f>IF(ISBLANK(A638),"",LEFT(B640,27)&amp;VALUE(RIGHT(B640,1)+1))</f>
        <v/>
      </c>
      <c r="C641" s="6" t="str">
        <f t="shared" ref="C641:D641" si="747">C640</f>
        <v/>
      </c>
      <c r="D641" s="6" t="str">
        <f t="shared" si="747"/>
        <v/>
      </c>
      <c r="E641" s="10" t="str">
        <f>IF(ISBLANK(A638),"",E640+1)</f>
        <v/>
      </c>
      <c r="F641" s="11" t="str">
        <f t="shared" si="746"/>
        <v/>
      </c>
      <c r="G641" s="8"/>
    </row>
    <row r="642">
      <c r="A642" s="9" t="str">
        <f t="shared" si="744"/>
        <v/>
      </c>
      <c r="B642" s="9" t="str">
        <f>IF(ISBLANK(A638),"",LEFT(B641,27)&amp;VALUE(RIGHT(B641,1)+1))</f>
        <v/>
      </c>
      <c r="C642" s="6" t="str">
        <f t="shared" ref="C642:D642" si="748">C641</f>
        <v/>
      </c>
      <c r="D642" s="6" t="str">
        <f t="shared" si="748"/>
        <v/>
      </c>
      <c r="E642" s="10" t="str">
        <f>IF(ISBLANK(A638),"",E641+1)</f>
        <v/>
      </c>
      <c r="F642" s="11" t="str">
        <f t="shared" si="746"/>
        <v/>
      </c>
      <c r="G642" s="8"/>
    </row>
    <row r="643">
      <c r="A643" s="12" t="str">
        <f t="shared" si="744"/>
        <v/>
      </c>
      <c r="B643" s="12" t="str">
        <f>IF(ISBLANK(A638),"",LEFT(B642,27)&amp;VALUE(RIGHT(B642,1)+1))</f>
        <v/>
      </c>
      <c r="C643" s="13" t="str">
        <f t="shared" ref="C643:D643" si="749">C642</f>
        <v/>
      </c>
      <c r="D643" s="13" t="str">
        <f t="shared" si="749"/>
        <v/>
      </c>
      <c r="E643" s="14" t="str">
        <f>IF(ISBLANK(A638),"",E642+1)</f>
        <v/>
      </c>
      <c r="F643" s="15" t="str">
        <f t="shared" si="746"/>
        <v/>
      </c>
      <c r="G643" s="16"/>
    </row>
    <row r="644">
      <c r="A644" s="5"/>
      <c r="B644" s="6" t="str">
        <f t="array" ref="B644">IF(ISBLANK(A644),"",IF(A644="PROREP (L)",VLOOKUP(LEFT($A644,6),'Data Feed (25C)'!$A$1:$G$10,2,FALSE),IF(A644="PROREP (S)", INDEX('Data Feed (25C)'!B:B, MATCH(LEFT($A644,6), 'Data Feed (25C)'!$A$1:$A$10, 0) + 1), VLOOKUP($A644,'Data Feed (25C)'!$A$1:$G$10,2,FALSE))))</f>
        <v/>
      </c>
      <c r="C644" s="6" t="str">
        <f t="array" ref="C644">IF(ISBLANK(A644),"",IF(A644="PROREP (L)",VLOOKUP(LEFT($A644,6),'Data Feed (25C)'!$A$1:$G$10,3,FALSE),IF(A644="PROREP (S)", INDEX('Data Feed (25C)'!C:C, MATCH(LEFT($A644,6), 'Data Feed (25C)'!$A$1:$A$10, 0) + 1, +1), VLOOKUP($A644,'Data Feed (25C)'!$A$1:$G$10,3,FALSE))))</f>
        <v/>
      </c>
      <c r="D644" s="6" t="str">
        <f t="array" ref="D644">IF(ISBLANK(A644),"",IF(A644="PROREP (L)",VLOOKUP(LEFT($A644,6),'Data Feed (25C)'!$A$1:$G$10,4,FALSE),IF(A644="PROREP (S)", INDEX('Data Feed (25C)'!D:D, MATCH(LEFT($A644,6), 'Data Feed (25C)'!$A$1:$A$10, 0) + 1, +1), VLOOKUP($A644,'Data Feed (25C)'!$A$1:$G$10,4,FALSE))))</f>
        <v/>
      </c>
      <c r="E644" s="6" t="str">
        <f t="array" ref="E644">IF(ISBLANK(A644),"",IF(A644="PROREP (L)",VLOOKUP(LEFT($A644,6),'Data Feed (25C)'!$A$1:$G$10,7,FALSE),IF(A644="PROREP (S)", INDEX('Data Feed (25C)'!G:G, MATCH(LEFT($A644,6), 'Data Feed (25C)'!$A$1:$A$10, 0) + 1, +1), VLOOKUP($A644,'Data Feed (25C)'!$A$1:$G$10,7,FALSE))))</f>
        <v/>
      </c>
      <c r="F644" s="7"/>
      <c r="G644" s="8"/>
    </row>
    <row r="645">
      <c r="A645" s="9" t="str">
        <f t="shared" ref="A645:A649" si="751">A644</f>
        <v/>
      </c>
      <c r="B645" s="9" t="str">
        <f>IF(ISBLANK(A644),"",LEFT(B644,27)&amp;VALUE(RIGHT(B644,1)+1))</f>
        <v/>
      </c>
      <c r="C645" s="6" t="str">
        <f t="shared" ref="C645:D645" si="750">C644</f>
        <v/>
      </c>
      <c r="D645" s="6" t="str">
        <f t="shared" si="750"/>
        <v/>
      </c>
      <c r="E645" s="10" t="str">
        <f>IF(ISBLANK(A644),"",E644+1)</f>
        <v/>
      </c>
      <c r="F645" s="11" t="str">
        <f t="shared" ref="F645:F649" si="753">F644</f>
        <v/>
      </c>
      <c r="G645" s="8"/>
    </row>
    <row r="646">
      <c r="A646" s="9" t="str">
        <f t="shared" si="751"/>
        <v/>
      </c>
      <c r="B646" s="9" t="str">
        <f>IF(ISBLANK(A644),"",LEFT(B645,27)&amp;VALUE(RIGHT(B645,1)+1))</f>
        <v/>
      </c>
      <c r="C646" s="6" t="str">
        <f t="shared" ref="C646:D646" si="752">C645</f>
        <v/>
      </c>
      <c r="D646" s="6" t="str">
        <f t="shared" si="752"/>
        <v/>
      </c>
      <c r="E646" s="10" t="str">
        <f>IF(ISBLANK(A644),"",E645+1)</f>
        <v/>
      </c>
      <c r="F646" s="11" t="str">
        <f t="shared" si="753"/>
        <v/>
      </c>
      <c r="G646" s="8"/>
    </row>
    <row r="647">
      <c r="A647" s="9" t="str">
        <f t="shared" si="751"/>
        <v/>
      </c>
      <c r="B647" s="9" t="str">
        <f>IF(ISBLANK(A644),"",LEFT(B646,27)&amp;VALUE(RIGHT(B646,1)+1))</f>
        <v/>
      </c>
      <c r="C647" s="6" t="str">
        <f t="shared" ref="C647:D647" si="754">C646</f>
        <v/>
      </c>
      <c r="D647" s="6" t="str">
        <f t="shared" si="754"/>
        <v/>
      </c>
      <c r="E647" s="10" t="str">
        <f>IF(ISBLANK(A644),"",E646+1)</f>
        <v/>
      </c>
      <c r="F647" s="11" t="str">
        <f t="shared" si="753"/>
        <v/>
      </c>
      <c r="G647" s="8"/>
    </row>
    <row r="648">
      <c r="A648" s="9" t="str">
        <f t="shared" si="751"/>
        <v/>
      </c>
      <c r="B648" s="9" t="str">
        <f>IF(ISBLANK(A644),"",LEFT(B647,27)&amp;VALUE(RIGHT(B647,1)+1))</f>
        <v/>
      </c>
      <c r="C648" s="6" t="str">
        <f t="shared" ref="C648:D648" si="755">C647</f>
        <v/>
      </c>
      <c r="D648" s="6" t="str">
        <f t="shared" si="755"/>
        <v/>
      </c>
      <c r="E648" s="10" t="str">
        <f>IF(ISBLANK(A644),"",E647+1)</f>
        <v/>
      </c>
      <c r="F648" s="11" t="str">
        <f t="shared" si="753"/>
        <v/>
      </c>
      <c r="G648" s="8"/>
    </row>
    <row r="649">
      <c r="A649" s="12" t="str">
        <f t="shared" si="751"/>
        <v/>
      </c>
      <c r="B649" s="12" t="str">
        <f>IF(ISBLANK(A644),"",LEFT(B648,27)&amp;VALUE(RIGHT(B648,1)+1))</f>
        <v/>
      </c>
      <c r="C649" s="13" t="str">
        <f t="shared" ref="C649:D649" si="756">C648</f>
        <v/>
      </c>
      <c r="D649" s="13" t="str">
        <f t="shared" si="756"/>
        <v/>
      </c>
      <c r="E649" s="14" t="str">
        <f>IF(ISBLANK(A644),"",E648+1)</f>
        <v/>
      </c>
      <c r="F649" s="15" t="str">
        <f t="shared" si="753"/>
        <v/>
      </c>
      <c r="G649" s="16"/>
    </row>
    <row r="650">
      <c r="A650" s="5"/>
      <c r="B650" s="6" t="str">
        <f t="array" ref="B650">IF(ISBLANK(A650),"",IF(A650="PROREP (L)",VLOOKUP(LEFT($A650,6),'Data Feed (25C)'!$A$1:$G$10,2,FALSE),IF(A650="PROREP (S)", INDEX('Data Feed (25C)'!B:B, MATCH(LEFT($A650,6), 'Data Feed (25C)'!$A$1:$A$10, 0) + 1), VLOOKUP($A650,'Data Feed (25C)'!$A$1:$G$10,2,FALSE))))</f>
        <v/>
      </c>
      <c r="C650" s="6" t="str">
        <f t="array" ref="C650">IF(ISBLANK(A650),"",IF(A650="PROREP (L)",VLOOKUP(LEFT($A650,6),'Data Feed (25C)'!$A$1:$G$10,3,FALSE),IF(A650="PROREP (S)", INDEX('Data Feed (25C)'!C:C, MATCH(LEFT($A650,6), 'Data Feed (25C)'!$A$1:$A$10, 0) + 1, +1), VLOOKUP($A650,'Data Feed (25C)'!$A$1:$G$10,3,FALSE))))</f>
        <v/>
      </c>
      <c r="D650" s="6" t="str">
        <f t="array" ref="D650">IF(ISBLANK(A650),"",IF(A650="PROREP (L)",VLOOKUP(LEFT($A650,6),'Data Feed (25C)'!$A$1:$G$10,4,FALSE),IF(A650="PROREP (S)", INDEX('Data Feed (25C)'!D:D, MATCH(LEFT($A650,6), 'Data Feed (25C)'!$A$1:$A$10, 0) + 1, +1), VLOOKUP($A650,'Data Feed (25C)'!$A$1:$G$10,4,FALSE))))</f>
        <v/>
      </c>
      <c r="E650" s="6" t="str">
        <f t="array" ref="E650">IF(ISBLANK(A650),"",IF(A650="PROREP (L)",VLOOKUP(LEFT($A650,6),'Data Feed (25C)'!$A$1:$G$10,7,FALSE),IF(A650="PROREP (S)", INDEX('Data Feed (25C)'!G:G, MATCH(LEFT($A650,6), 'Data Feed (25C)'!$A$1:$A$10, 0) + 1, +1), VLOOKUP($A650,'Data Feed (25C)'!$A$1:$G$10,7,FALSE))))</f>
        <v/>
      </c>
      <c r="F650" s="7"/>
      <c r="G650" s="8"/>
    </row>
    <row r="651">
      <c r="A651" s="9" t="str">
        <f t="shared" ref="A651:A655" si="758">A650</f>
        <v/>
      </c>
      <c r="B651" s="9" t="str">
        <f>IF(ISBLANK(A650),"",LEFT(B650,27)&amp;VALUE(RIGHT(B650,1)+1))</f>
        <v/>
      </c>
      <c r="C651" s="6" t="str">
        <f t="shared" ref="C651:D651" si="757">C650</f>
        <v/>
      </c>
      <c r="D651" s="6" t="str">
        <f t="shared" si="757"/>
        <v/>
      </c>
      <c r="E651" s="10" t="str">
        <f>IF(ISBLANK(A650),"",E650+1)</f>
        <v/>
      </c>
      <c r="F651" s="11" t="str">
        <f t="shared" ref="F651:F655" si="760">F650</f>
        <v/>
      </c>
      <c r="G651" s="8"/>
    </row>
    <row r="652">
      <c r="A652" s="9" t="str">
        <f t="shared" si="758"/>
        <v/>
      </c>
      <c r="B652" s="9" t="str">
        <f>IF(ISBLANK(A650),"",LEFT(B651,27)&amp;VALUE(RIGHT(B651,1)+1))</f>
        <v/>
      </c>
      <c r="C652" s="6" t="str">
        <f t="shared" ref="C652:D652" si="759">C651</f>
        <v/>
      </c>
      <c r="D652" s="6" t="str">
        <f t="shared" si="759"/>
        <v/>
      </c>
      <c r="E652" s="10" t="str">
        <f>IF(ISBLANK(A650),"",E651+1)</f>
        <v/>
      </c>
      <c r="F652" s="11" t="str">
        <f t="shared" si="760"/>
        <v/>
      </c>
      <c r="G652" s="8"/>
    </row>
    <row r="653">
      <c r="A653" s="9" t="str">
        <f t="shared" si="758"/>
        <v/>
      </c>
      <c r="B653" s="9" t="str">
        <f>IF(ISBLANK(A650),"",LEFT(B652,27)&amp;VALUE(RIGHT(B652,1)+1))</f>
        <v/>
      </c>
      <c r="C653" s="6" t="str">
        <f t="shared" ref="C653:D653" si="761">C652</f>
        <v/>
      </c>
      <c r="D653" s="6" t="str">
        <f t="shared" si="761"/>
        <v/>
      </c>
      <c r="E653" s="10" t="str">
        <f>IF(ISBLANK(A650),"",E652+1)</f>
        <v/>
      </c>
      <c r="F653" s="11" t="str">
        <f t="shared" si="760"/>
        <v/>
      </c>
      <c r="G653" s="8"/>
    </row>
    <row r="654">
      <c r="A654" s="9" t="str">
        <f t="shared" si="758"/>
        <v/>
      </c>
      <c r="B654" s="9" t="str">
        <f>IF(ISBLANK(A650),"",LEFT(B653,27)&amp;VALUE(RIGHT(B653,1)+1))</f>
        <v/>
      </c>
      <c r="C654" s="6" t="str">
        <f t="shared" ref="C654:D654" si="762">C653</f>
        <v/>
      </c>
      <c r="D654" s="6" t="str">
        <f t="shared" si="762"/>
        <v/>
      </c>
      <c r="E654" s="10" t="str">
        <f>IF(ISBLANK(A650),"",E653+1)</f>
        <v/>
      </c>
      <c r="F654" s="11" t="str">
        <f t="shared" si="760"/>
        <v/>
      </c>
      <c r="G654" s="8"/>
    </row>
    <row r="655">
      <c r="A655" s="12" t="str">
        <f t="shared" si="758"/>
        <v/>
      </c>
      <c r="B655" s="12" t="str">
        <f>IF(ISBLANK(A650),"",LEFT(B654,27)&amp;VALUE(RIGHT(B654,1)+1))</f>
        <v/>
      </c>
      <c r="C655" s="13" t="str">
        <f t="shared" ref="C655:D655" si="763">C654</f>
        <v/>
      </c>
      <c r="D655" s="13" t="str">
        <f t="shared" si="763"/>
        <v/>
      </c>
      <c r="E655" s="14" t="str">
        <f>IF(ISBLANK(A650),"",E654+1)</f>
        <v/>
      </c>
      <c r="F655" s="15" t="str">
        <f t="shared" si="760"/>
        <v/>
      </c>
      <c r="G655" s="16"/>
    </row>
    <row r="656">
      <c r="A656" s="5"/>
      <c r="B656" s="6" t="str">
        <f t="array" ref="B656">IF(ISBLANK(A656),"",IF(A656="PROREP (L)",VLOOKUP(LEFT($A656,6),'Data Feed (25C)'!$A$1:$G$10,2,FALSE),IF(A656="PROREP (S)", INDEX('Data Feed (25C)'!B:B, MATCH(LEFT($A656,6), 'Data Feed (25C)'!$A$1:$A$10, 0) + 1), VLOOKUP($A656,'Data Feed (25C)'!$A$1:$G$10,2,FALSE))))</f>
        <v/>
      </c>
      <c r="C656" s="6" t="str">
        <f t="array" ref="C656">IF(ISBLANK(A656),"",IF(A656="PROREP (L)",VLOOKUP(LEFT($A656,6),'Data Feed (25C)'!$A$1:$G$10,3,FALSE),IF(A656="PROREP (S)", INDEX('Data Feed (25C)'!C:C, MATCH(LEFT($A656,6), 'Data Feed (25C)'!$A$1:$A$10, 0) + 1, +1), VLOOKUP($A656,'Data Feed (25C)'!$A$1:$G$10,3,FALSE))))</f>
        <v/>
      </c>
      <c r="D656" s="6" t="str">
        <f t="array" ref="D656">IF(ISBLANK(A656),"",IF(A656="PROREP (L)",VLOOKUP(LEFT($A656,6),'Data Feed (25C)'!$A$1:$G$10,4,FALSE),IF(A656="PROREP (S)", INDEX('Data Feed (25C)'!D:D, MATCH(LEFT($A656,6), 'Data Feed (25C)'!$A$1:$A$10, 0) + 1, +1), VLOOKUP($A656,'Data Feed (25C)'!$A$1:$G$10,4,FALSE))))</f>
        <v/>
      </c>
      <c r="E656" s="6" t="str">
        <f t="array" ref="E656">IF(ISBLANK(A656),"",IF(A656="PROREP (L)",VLOOKUP(LEFT($A656,6),'Data Feed (25C)'!$A$1:$G$10,7,FALSE),IF(A656="PROREP (S)", INDEX('Data Feed (25C)'!G:G, MATCH(LEFT($A656,6), 'Data Feed (25C)'!$A$1:$A$10, 0) + 1, +1), VLOOKUP($A656,'Data Feed (25C)'!$A$1:$G$10,7,FALSE))))</f>
        <v/>
      </c>
      <c r="F656" s="7"/>
      <c r="G656" s="8"/>
    </row>
    <row r="657">
      <c r="A657" s="9" t="str">
        <f t="shared" ref="A657:A661" si="765">A656</f>
        <v/>
      </c>
      <c r="B657" s="9" t="str">
        <f>IF(ISBLANK(A656),"",LEFT(B656,27)&amp;VALUE(RIGHT(B656,1)+1))</f>
        <v/>
      </c>
      <c r="C657" s="6" t="str">
        <f t="shared" ref="C657:D657" si="764">C656</f>
        <v/>
      </c>
      <c r="D657" s="6" t="str">
        <f t="shared" si="764"/>
        <v/>
      </c>
      <c r="E657" s="10" t="str">
        <f>IF(ISBLANK(A656),"",E656+1)</f>
        <v/>
      </c>
      <c r="F657" s="11" t="str">
        <f t="shared" ref="F657:F661" si="767">F656</f>
        <v/>
      </c>
      <c r="G657" s="8"/>
    </row>
    <row r="658">
      <c r="A658" s="9" t="str">
        <f t="shared" si="765"/>
        <v/>
      </c>
      <c r="B658" s="9" t="str">
        <f>IF(ISBLANK(A656),"",LEFT(B657,27)&amp;VALUE(RIGHT(B657,1)+1))</f>
        <v/>
      </c>
      <c r="C658" s="6" t="str">
        <f t="shared" ref="C658:D658" si="766">C657</f>
        <v/>
      </c>
      <c r="D658" s="6" t="str">
        <f t="shared" si="766"/>
        <v/>
      </c>
      <c r="E658" s="10" t="str">
        <f>IF(ISBLANK(A656),"",E657+1)</f>
        <v/>
      </c>
      <c r="F658" s="11" t="str">
        <f t="shared" si="767"/>
        <v/>
      </c>
      <c r="G658" s="8"/>
    </row>
    <row r="659">
      <c r="A659" s="9" t="str">
        <f t="shared" si="765"/>
        <v/>
      </c>
      <c r="B659" s="9" t="str">
        <f>IF(ISBLANK(A656),"",LEFT(B658,27)&amp;VALUE(RIGHT(B658,1)+1))</f>
        <v/>
      </c>
      <c r="C659" s="6" t="str">
        <f t="shared" ref="C659:D659" si="768">C658</f>
        <v/>
      </c>
      <c r="D659" s="6" t="str">
        <f t="shared" si="768"/>
        <v/>
      </c>
      <c r="E659" s="10" t="str">
        <f>IF(ISBLANK(A656),"",E658+1)</f>
        <v/>
      </c>
      <c r="F659" s="11" t="str">
        <f t="shared" si="767"/>
        <v/>
      </c>
      <c r="G659" s="8"/>
    </row>
    <row r="660">
      <c r="A660" s="9" t="str">
        <f t="shared" si="765"/>
        <v/>
      </c>
      <c r="B660" s="9" t="str">
        <f>IF(ISBLANK(A656),"",LEFT(B659,27)&amp;VALUE(RIGHT(B659,1)+1))</f>
        <v/>
      </c>
      <c r="C660" s="6" t="str">
        <f t="shared" ref="C660:D660" si="769">C659</f>
        <v/>
      </c>
      <c r="D660" s="6" t="str">
        <f t="shared" si="769"/>
        <v/>
      </c>
      <c r="E660" s="10" t="str">
        <f>IF(ISBLANK(A656),"",E659+1)</f>
        <v/>
      </c>
      <c r="F660" s="11" t="str">
        <f t="shared" si="767"/>
        <v/>
      </c>
      <c r="G660" s="8"/>
    </row>
    <row r="661">
      <c r="A661" s="12" t="str">
        <f t="shared" si="765"/>
        <v/>
      </c>
      <c r="B661" s="12" t="str">
        <f>IF(ISBLANK(A656),"",LEFT(B660,27)&amp;VALUE(RIGHT(B660,1)+1))</f>
        <v/>
      </c>
      <c r="C661" s="13" t="str">
        <f t="shared" ref="C661:D661" si="770">C660</f>
        <v/>
      </c>
      <c r="D661" s="13" t="str">
        <f t="shared" si="770"/>
        <v/>
      </c>
      <c r="E661" s="14" t="str">
        <f>IF(ISBLANK(A656),"",E660+1)</f>
        <v/>
      </c>
      <c r="F661" s="15" t="str">
        <f t="shared" si="767"/>
        <v/>
      </c>
      <c r="G661" s="16"/>
    </row>
    <row r="662">
      <c r="A662" s="5"/>
      <c r="B662" s="6" t="str">
        <f t="array" ref="B662">IF(ISBLANK(A662),"",IF(A662="PROREP (L)",VLOOKUP(LEFT($A662,6),'Data Feed (25C)'!$A$1:$G$10,2,FALSE),IF(A662="PROREP (S)", INDEX('Data Feed (25C)'!B:B, MATCH(LEFT($A662,6), 'Data Feed (25C)'!$A$1:$A$10, 0) + 1), VLOOKUP($A662,'Data Feed (25C)'!$A$1:$G$10,2,FALSE))))</f>
        <v/>
      </c>
      <c r="C662" s="6" t="str">
        <f t="array" ref="C662">IF(ISBLANK(A662),"",IF(A662="PROREP (L)",VLOOKUP(LEFT($A662,6),'Data Feed (25C)'!$A$1:$G$10,3,FALSE),IF(A662="PROREP (S)", INDEX('Data Feed (25C)'!C:C, MATCH(LEFT($A662,6), 'Data Feed (25C)'!$A$1:$A$10, 0) + 1, +1), VLOOKUP($A662,'Data Feed (25C)'!$A$1:$G$10,3,FALSE))))</f>
        <v/>
      </c>
      <c r="D662" s="6" t="str">
        <f t="array" ref="D662">IF(ISBLANK(A662),"",IF(A662="PROREP (L)",VLOOKUP(LEFT($A662,6),'Data Feed (25C)'!$A$1:$G$10,4,FALSE),IF(A662="PROREP (S)", INDEX('Data Feed (25C)'!D:D, MATCH(LEFT($A662,6), 'Data Feed (25C)'!$A$1:$A$10, 0) + 1, +1), VLOOKUP($A662,'Data Feed (25C)'!$A$1:$G$10,4,FALSE))))</f>
        <v/>
      </c>
      <c r="E662" s="6" t="str">
        <f t="array" ref="E662">IF(ISBLANK(A662),"",IF(A662="PROREP (L)",VLOOKUP(LEFT($A662,6),'Data Feed (25C)'!$A$1:$G$10,7,FALSE),IF(A662="PROREP (S)", INDEX('Data Feed (25C)'!G:G, MATCH(LEFT($A662,6), 'Data Feed (25C)'!$A$1:$A$10, 0) + 1, +1), VLOOKUP($A662,'Data Feed (25C)'!$A$1:$G$10,7,FALSE))))</f>
        <v/>
      </c>
      <c r="F662" s="7"/>
      <c r="G662" s="8"/>
    </row>
    <row r="663">
      <c r="A663" s="9" t="str">
        <f t="shared" ref="A663:A667" si="772">A662</f>
        <v/>
      </c>
      <c r="B663" s="9" t="str">
        <f>IF(ISBLANK(A662),"",LEFT(B662,27)&amp;VALUE(RIGHT(B662,1)+1))</f>
        <v/>
      </c>
      <c r="C663" s="6" t="str">
        <f t="shared" ref="C663:D663" si="771">C662</f>
        <v/>
      </c>
      <c r="D663" s="6" t="str">
        <f t="shared" si="771"/>
        <v/>
      </c>
      <c r="E663" s="10" t="str">
        <f>IF(ISBLANK(A662),"",E662+1)</f>
        <v/>
      </c>
      <c r="F663" s="11" t="str">
        <f t="shared" ref="F663:F667" si="774">F662</f>
        <v/>
      </c>
      <c r="G663" s="8"/>
    </row>
    <row r="664">
      <c r="A664" s="9" t="str">
        <f t="shared" si="772"/>
        <v/>
      </c>
      <c r="B664" s="9" t="str">
        <f>IF(ISBLANK(A662),"",LEFT(B663,27)&amp;VALUE(RIGHT(B663,1)+1))</f>
        <v/>
      </c>
      <c r="C664" s="6" t="str">
        <f t="shared" ref="C664:D664" si="773">C663</f>
        <v/>
      </c>
      <c r="D664" s="6" t="str">
        <f t="shared" si="773"/>
        <v/>
      </c>
      <c r="E664" s="10" t="str">
        <f>IF(ISBLANK(A662),"",E663+1)</f>
        <v/>
      </c>
      <c r="F664" s="11" t="str">
        <f t="shared" si="774"/>
        <v/>
      </c>
      <c r="G664" s="8"/>
    </row>
    <row r="665">
      <c r="A665" s="9" t="str">
        <f t="shared" si="772"/>
        <v/>
      </c>
      <c r="B665" s="9" t="str">
        <f>IF(ISBLANK(A662),"",LEFT(B664,27)&amp;VALUE(RIGHT(B664,1)+1))</f>
        <v/>
      </c>
      <c r="C665" s="6" t="str">
        <f t="shared" ref="C665:D665" si="775">C664</f>
        <v/>
      </c>
      <c r="D665" s="6" t="str">
        <f t="shared" si="775"/>
        <v/>
      </c>
      <c r="E665" s="10" t="str">
        <f>IF(ISBLANK(A662),"",E664+1)</f>
        <v/>
      </c>
      <c r="F665" s="11" t="str">
        <f t="shared" si="774"/>
        <v/>
      </c>
      <c r="G665" s="8"/>
    </row>
    <row r="666">
      <c r="A666" s="9" t="str">
        <f t="shared" si="772"/>
        <v/>
      </c>
      <c r="B666" s="9" t="str">
        <f>IF(ISBLANK(A662),"",LEFT(B665,27)&amp;VALUE(RIGHT(B665,1)+1))</f>
        <v/>
      </c>
      <c r="C666" s="6" t="str">
        <f t="shared" ref="C666:D666" si="776">C665</f>
        <v/>
      </c>
      <c r="D666" s="6" t="str">
        <f t="shared" si="776"/>
        <v/>
      </c>
      <c r="E666" s="10" t="str">
        <f>IF(ISBLANK(A662),"",E665+1)</f>
        <v/>
      </c>
      <c r="F666" s="11" t="str">
        <f t="shared" si="774"/>
        <v/>
      </c>
      <c r="G666" s="8"/>
    </row>
    <row r="667">
      <c r="A667" s="12" t="str">
        <f t="shared" si="772"/>
        <v/>
      </c>
      <c r="B667" s="12" t="str">
        <f>IF(ISBLANK(A662),"",LEFT(B666,27)&amp;VALUE(RIGHT(B666,1)+1))</f>
        <v/>
      </c>
      <c r="C667" s="13" t="str">
        <f t="shared" ref="C667:D667" si="777">C666</f>
        <v/>
      </c>
      <c r="D667" s="13" t="str">
        <f t="shared" si="777"/>
        <v/>
      </c>
      <c r="E667" s="14" t="str">
        <f>IF(ISBLANK(A662),"",E666+1)</f>
        <v/>
      </c>
      <c r="F667" s="15" t="str">
        <f t="shared" si="774"/>
        <v/>
      </c>
      <c r="G667" s="16"/>
    </row>
    <row r="668">
      <c r="A668" s="5"/>
      <c r="B668" s="6" t="str">
        <f t="array" ref="B668">IF(ISBLANK(A668),"",IF(A668="PROREP (L)",VLOOKUP(LEFT($A668,6),'Data Feed (25C)'!$A$1:$G$10,2,FALSE),IF(A668="PROREP (S)", INDEX('Data Feed (25C)'!B:B, MATCH(LEFT($A668,6), 'Data Feed (25C)'!$A$1:$A$10, 0) + 1), VLOOKUP($A668,'Data Feed (25C)'!$A$1:$G$10,2,FALSE))))</f>
        <v/>
      </c>
      <c r="C668" s="6" t="str">
        <f t="array" ref="C668">IF(ISBLANK(A668),"",IF(A668="PROREP (L)",VLOOKUP(LEFT($A668,6),'Data Feed (25C)'!$A$1:$G$10,3,FALSE),IF(A668="PROREP (S)", INDEX('Data Feed (25C)'!C:C, MATCH(LEFT($A668,6), 'Data Feed (25C)'!$A$1:$A$10, 0) + 1, +1), VLOOKUP($A668,'Data Feed (25C)'!$A$1:$G$10,3,FALSE))))</f>
        <v/>
      </c>
      <c r="D668" s="6" t="str">
        <f t="array" ref="D668">IF(ISBLANK(A668),"",IF(A668="PROREP (L)",VLOOKUP(LEFT($A668,6),'Data Feed (25C)'!$A$1:$G$10,4,FALSE),IF(A668="PROREP (S)", INDEX('Data Feed (25C)'!D:D, MATCH(LEFT($A668,6), 'Data Feed (25C)'!$A$1:$A$10, 0) + 1, +1), VLOOKUP($A668,'Data Feed (25C)'!$A$1:$G$10,4,FALSE))))</f>
        <v/>
      </c>
      <c r="E668" s="6" t="str">
        <f t="array" ref="E668">IF(ISBLANK(A668),"",IF(A668="PROREP (L)",VLOOKUP(LEFT($A668,6),'Data Feed (25C)'!$A$1:$G$10,7,FALSE),IF(A668="PROREP (S)", INDEX('Data Feed (25C)'!G:G, MATCH(LEFT($A668,6), 'Data Feed (25C)'!$A$1:$A$10, 0) + 1, +1), VLOOKUP($A668,'Data Feed (25C)'!$A$1:$G$10,7,FALSE))))</f>
        <v/>
      </c>
      <c r="F668" s="7"/>
      <c r="G668" s="8"/>
    </row>
    <row r="669">
      <c r="A669" s="9" t="str">
        <f t="shared" ref="A669:A673" si="779">A668</f>
        <v/>
      </c>
      <c r="B669" s="9" t="str">
        <f>IF(ISBLANK(A668),"",LEFT(B668,27)&amp;VALUE(RIGHT(B668,1)+1))</f>
        <v/>
      </c>
      <c r="C669" s="6" t="str">
        <f t="shared" ref="C669:D669" si="778">C668</f>
        <v/>
      </c>
      <c r="D669" s="6" t="str">
        <f t="shared" si="778"/>
        <v/>
      </c>
      <c r="E669" s="10" t="str">
        <f>IF(ISBLANK(A668),"",E668+1)</f>
        <v/>
      </c>
      <c r="F669" s="11" t="str">
        <f t="shared" ref="F669:F673" si="781">F668</f>
        <v/>
      </c>
      <c r="G669" s="8"/>
    </row>
    <row r="670">
      <c r="A670" s="9" t="str">
        <f t="shared" si="779"/>
        <v/>
      </c>
      <c r="B670" s="9" t="str">
        <f>IF(ISBLANK(A668),"",LEFT(B669,27)&amp;VALUE(RIGHT(B669,1)+1))</f>
        <v/>
      </c>
      <c r="C670" s="6" t="str">
        <f t="shared" ref="C670:D670" si="780">C669</f>
        <v/>
      </c>
      <c r="D670" s="6" t="str">
        <f t="shared" si="780"/>
        <v/>
      </c>
      <c r="E670" s="10" t="str">
        <f>IF(ISBLANK(A668),"",E669+1)</f>
        <v/>
      </c>
      <c r="F670" s="11" t="str">
        <f t="shared" si="781"/>
        <v/>
      </c>
      <c r="G670" s="8"/>
    </row>
    <row r="671">
      <c r="A671" s="9" t="str">
        <f t="shared" si="779"/>
        <v/>
      </c>
      <c r="B671" s="9" t="str">
        <f>IF(ISBLANK(A668),"",LEFT(B670,27)&amp;VALUE(RIGHT(B670,1)+1))</f>
        <v/>
      </c>
      <c r="C671" s="6" t="str">
        <f t="shared" ref="C671:D671" si="782">C670</f>
        <v/>
      </c>
      <c r="D671" s="6" t="str">
        <f t="shared" si="782"/>
        <v/>
      </c>
      <c r="E671" s="10" t="str">
        <f>IF(ISBLANK(A668),"",E670+1)</f>
        <v/>
      </c>
      <c r="F671" s="11" t="str">
        <f t="shared" si="781"/>
        <v/>
      </c>
      <c r="G671" s="8"/>
    </row>
    <row r="672">
      <c r="A672" s="9" t="str">
        <f t="shared" si="779"/>
        <v/>
      </c>
      <c r="B672" s="9" t="str">
        <f>IF(ISBLANK(A668),"",LEFT(B671,27)&amp;VALUE(RIGHT(B671,1)+1))</f>
        <v/>
      </c>
      <c r="C672" s="6" t="str">
        <f t="shared" ref="C672:D672" si="783">C671</f>
        <v/>
      </c>
      <c r="D672" s="6" t="str">
        <f t="shared" si="783"/>
        <v/>
      </c>
      <c r="E672" s="10" t="str">
        <f>IF(ISBLANK(A668),"",E671+1)</f>
        <v/>
      </c>
      <c r="F672" s="11" t="str">
        <f t="shared" si="781"/>
        <v/>
      </c>
      <c r="G672" s="8"/>
    </row>
    <row r="673">
      <c r="A673" s="12" t="str">
        <f t="shared" si="779"/>
        <v/>
      </c>
      <c r="B673" s="12" t="str">
        <f>IF(ISBLANK(A668),"",LEFT(B672,27)&amp;VALUE(RIGHT(B672,1)+1))</f>
        <v/>
      </c>
      <c r="C673" s="13" t="str">
        <f t="shared" ref="C673:D673" si="784">C672</f>
        <v/>
      </c>
      <c r="D673" s="13" t="str">
        <f t="shared" si="784"/>
        <v/>
      </c>
      <c r="E673" s="14" t="str">
        <f>IF(ISBLANK(A668),"",E672+1)</f>
        <v/>
      </c>
      <c r="F673" s="15" t="str">
        <f t="shared" si="781"/>
        <v/>
      </c>
      <c r="G673" s="16"/>
    </row>
    <row r="674">
      <c r="A674" s="5"/>
      <c r="B674" s="6" t="str">
        <f t="array" ref="B674">IF(ISBLANK(A674),"",IF(A674="PROREP (L)",VLOOKUP(LEFT($A674,6),'Data Feed (25C)'!$A$1:$G$10,2,FALSE),IF(A674="PROREP (S)", INDEX('Data Feed (25C)'!B:B, MATCH(LEFT($A674,6), 'Data Feed (25C)'!$A$1:$A$10, 0) + 1), VLOOKUP($A674,'Data Feed (25C)'!$A$1:$G$10,2,FALSE))))</f>
        <v/>
      </c>
      <c r="C674" s="6" t="str">
        <f t="array" ref="C674">IF(ISBLANK(A674),"",IF(A674="PROREP (L)",VLOOKUP(LEFT($A674,6),'Data Feed (25C)'!$A$1:$G$10,3,FALSE),IF(A674="PROREP (S)", INDEX('Data Feed (25C)'!C:C, MATCH(LEFT($A674,6), 'Data Feed (25C)'!$A$1:$A$10, 0) + 1, +1), VLOOKUP($A674,'Data Feed (25C)'!$A$1:$G$10,3,FALSE))))</f>
        <v/>
      </c>
      <c r="D674" s="6" t="str">
        <f t="array" ref="D674">IF(ISBLANK(A674),"",IF(A674="PROREP (L)",VLOOKUP(LEFT($A674,6),'Data Feed (25C)'!$A$1:$G$10,4,FALSE),IF(A674="PROREP (S)", INDEX('Data Feed (25C)'!D:D, MATCH(LEFT($A674,6), 'Data Feed (25C)'!$A$1:$A$10, 0) + 1, +1), VLOOKUP($A674,'Data Feed (25C)'!$A$1:$G$10,4,FALSE))))</f>
        <v/>
      </c>
      <c r="E674" s="6" t="str">
        <f t="array" ref="E674">IF(ISBLANK(A674),"",IF(A674="PROREP (L)",VLOOKUP(LEFT($A674,6),'Data Feed (25C)'!$A$1:$G$10,7,FALSE),IF(A674="PROREP (S)", INDEX('Data Feed (25C)'!G:G, MATCH(LEFT($A674,6), 'Data Feed (25C)'!$A$1:$A$10, 0) + 1, +1), VLOOKUP($A674,'Data Feed (25C)'!$A$1:$G$10,7,FALSE))))</f>
        <v/>
      </c>
      <c r="F674" s="7"/>
      <c r="G674" s="8"/>
    </row>
    <row r="675">
      <c r="A675" s="9" t="str">
        <f t="shared" ref="A675:A679" si="786">A674</f>
        <v/>
      </c>
      <c r="B675" s="9" t="str">
        <f>IF(ISBLANK(A674),"",LEFT(B674,27)&amp;VALUE(RIGHT(B674,1)+1))</f>
        <v/>
      </c>
      <c r="C675" s="6" t="str">
        <f t="shared" ref="C675:D675" si="785">C674</f>
        <v/>
      </c>
      <c r="D675" s="6" t="str">
        <f t="shared" si="785"/>
        <v/>
      </c>
      <c r="E675" s="10" t="str">
        <f>IF(ISBLANK(A674),"",E674+1)</f>
        <v/>
      </c>
      <c r="F675" s="11" t="str">
        <f t="shared" ref="F675:F679" si="788">F674</f>
        <v/>
      </c>
      <c r="G675" s="8"/>
    </row>
    <row r="676">
      <c r="A676" s="9" t="str">
        <f t="shared" si="786"/>
        <v/>
      </c>
      <c r="B676" s="9" t="str">
        <f>IF(ISBLANK(A674),"",LEFT(B675,27)&amp;VALUE(RIGHT(B675,1)+1))</f>
        <v/>
      </c>
      <c r="C676" s="6" t="str">
        <f t="shared" ref="C676:D676" si="787">C675</f>
        <v/>
      </c>
      <c r="D676" s="6" t="str">
        <f t="shared" si="787"/>
        <v/>
      </c>
      <c r="E676" s="10" t="str">
        <f>IF(ISBLANK(A674),"",E675+1)</f>
        <v/>
      </c>
      <c r="F676" s="11" t="str">
        <f t="shared" si="788"/>
        <v/>
      </c>
      <c r="G676" s="8"/>
    </row>
    <row r="677">
      <c r="A677" s="9" t="str">
        <f t="shared" si="786"/>
        <v/>
      </c>
      <c r="B677" s="9" t="str">
        <f>IF(ISBLANK(A674),"",LEFT(B676,27)&amp;VALUE(RIGHT(B676,1)+1))</f>
        <v/>
      </c>
      <c r="C677" s="6" t="str">
        <f t="shared" ref="C677:D677" si="789">C676</f>
        <v/>
      </c>
      <c r="D677" s="6" t="str">
        <f t="shared" si="789"/>
        <v/>
      </c>
      <c r="E677" s="10" t="str">
        <f>IF(ISBLANK(A674),"",E676+1)</f>
        <v/>
      </c>
      <c r="F677" s="11" t="str">
        <f t="shared" si="788"/>
        <v/>
      </c>
      <c r="G677" s="8"/>
    </row>
    <row r="678">
      <c r="A678" s="9" t="str">
        <f t="shared" si="786"/>
        <v/>
      </c>
      <c r="B678" s="9" t="str">
        <f>IF(ISBLANK(A674),"",LEFT(B677,27)&amp;VALUE(RIGHT(B677,1)+1))</f>
        <v/>
      </c>
      <c r="C678" s="6" t="str">
        <f t="shared" ref="C678:D678" si="790">C677</f>
        <v/>
      </c>
      <c r="D678" s="6" t="str">
        <f t="shared" si="790"/>
        <v/>
      </c>
      <c r="E678" s="10" t="str">
        <f>IF(ISBLANK(A674),"",E677+1)</f>
        <v/>
      </c>
      <c r="F678" s="11" t="str">
        <f t="shared" si="788"/>
        <v/>
      </c>
      <c r="G678" s="8"/>
    </row>
    <row r="679">
      <c r="A679" s="12" t="str">
        <f t="shared" si="786"/>
        <v/>
      </c>
      <c r="B679" s="12" t="str">
        <f>IF(ISBLANK(A674),"",LEFT(B678,27)&amp;VALUE(RIGHT(B678,1)+1))</f>
        <v/>
      </c>
      <c r="C679" s="13" t="str">
        <f t="shared" ref="C679:D679" si="791">C678</f>
        <v/>
      </c>
      <c r="D679" s="13" t="str">
        <f t="shared" si="791"/>
        <v/>
      </c>
      <c r="E679" s="14" t="str">
        <f>IF(ISBLANK(A674),"",E678+1)</f>
        <v/>
      </c>
      <c r="F679" s="15" t="str">
        <f t="shared" si="788"/>
        <v/>
      </c>
      <c r="G679" s="16"/>
    </row>
    <row r="680">
      <c r="A680" s="5"/>
      <c r="B680" s="6" t="str">
        <f t="array" ref="B680">IF(ISBLANK(A680),"",IF(A680="PROREP (L)",VLOOKUP(LEFT($A680,6),'Data Feed (25C)'!$A$1:$G$10,2,FALSE),IF(A680="PROREP (S)", INDEX('Data Feed (25C)'!B:B, MATCH(LEFT($A680,6), 'Data Feed (25C)'!$A$1:$A$10, 0) + 1), VLOOKUP($A680,'Data Feed (25C)'!$A$1:$G$10,2,FALSE))))</f>
        <v/>
      </c>
      <c r="C680" s="6" t="str">
        <f t="array" ref="C680">IF(ISBLANK(A680),"",IF(A680="PROREP (L)",VLOOKUP(LEFT($A680,6),'Data Feed (25C)'!$A$1:$G$10,3,FALSE),IF(A680="PROREP (S)", INDEX('Data Feed (25C)'!C:C, MATCH(LEFT($A680,6), 'Data Feed (25C)'!$A$1:$A$10, 0) + 1, +1), VLOOKUP($A680,'Data Feed (25C)'!$A$1:$G$10,3,FALSE))))</f>
        <v/>
      </c>
      <c r="D680" s="6" t="str">
        <f t="array" ref="D680">IF(ISBLANK(A680),"",IF(A680="PROREP (L)",VLOOKUP(LEFT($A680,6),'Data Feed (25C)'!$A$1:$G$10,4,FALSE),IF(A680="PROREP (S)", INDEX('Data Feed (25C)'!D:D, MATCH(LEFT($A680,6), 'Data Feed (25C)'!$A$1:$A$10, 0) + 1, +1), VLOOKUP($A680,'Data Feed (25C)'!$A$1:$G$10,4,FALSE))))</f>
        <v/>
      </c>
      <c r="E680" s="6" t="str">
        <f t="array" ref="E680">IF(ISBLANK(A680),"",IF(A680="PROREP (L)",VLOOKUP(LEFT($A680,6),'Data Feed (25C)'!$A$1:$G$10,7,FALSE),IF(A680="PROREP (S)", INDEX('Data Feed (25C)'!G:G, MATCH(LEFT($A680,6), 'Data Feed (25C)'!$A$1:$A$10, 0) + 1, +1), VLOOKUP($A680,'Data Feed (25C)'!$A$1:$G$10,7,FALSE))))</f>
        <v/>
      </c>
      <c r="F680" s="7"/>
      <c r="G680" s="8"/>
    </row>
    <row r="681">
      <c r="A681" s="9" t="str">
        <f t="shared" ref="A681:A685" si="793">A680</f>
        <v/>
      </c>
      <c r="B681" s="9" t="str">
        <f>IF(ISBLANK(A680),"",LEFT(B680,27)&amp;VALUE(RIGHT(B680,1)+1))</f>
        <v/>
      </c>
      <c r="C681" s="6" t="str">
        <f t="shared" ref="C681:D681" si="792">C680</f>
        <v/>
      </c>
      <c r="D681" s="6" t="str">
        <f t="shared" si="792"/>
        <v/>
      </c>
      <c r="E681" s="10" t="str">
        <f>IF(ISBLANK(A680),"",E680+1)</f>
        <v/>
      </c>
      <c r="F681" s="11" t="str">
        <f t="shared" ref="F681:F685" si="795">F680</f>
        <v/>
      </c>
      <c r="G681" s="8"/>
    </row>
    <row r="682">
      <c r="A682" s="9" t="str">
        <f t="shared" si="793"/>
        <v/>
      </c>
      <c r="B682" s="9" t="str">
        <f>IF(ISBLANK(A680),"",LEFT(B681,27)&amp;VALUE(RIGHT(B681,1)+1))</f>
        <v/>
      </c>
      <c r="C682" s="6" t="str">
        <f t="shared" ref="C682:D682" si="794">C681</f>
        <v/>
      </c>
      <c r="D682" s="6" t="str">
        <f t="shared" si="794"/>
        <v/>
      </c>
      <c r="E682" s="10" t="str">
        <f>IF(ISBLANK(A680),"",E681+1)</f>
        <v/>
      </c>
      <c r="F682" s="11" t="str">
        <f t="shared" si="795"/>
        <v/>
      </c>
      <c r="G682" s="8"/>
    </row>
    <row r="683">
      <c r="A683" s="9" t="str">
        <f t="shared" si="793"/>
        <v/>
      </c>
      <c r="B683" s="9" t="str">
        <f>IF(ISBLANK(A680),"",LEFT(B682,27)&amp;VALUE(RIGHT(B682,1)+1))</f>
        <v/>
      </c>
      <c r="C683" s="6" t="str">
        <f t="shared" ref="C683:D683" si="796">C682</f>
        <v/>
      </c>
      <c r="D683" s="6" t="str">
        <f t="shared" si="796"/>
        <v/>
      </c>
      <c r="E683" s="10" t="str">
        <f>IF(ISBLANK(A680),"",E682+1)</f>
        <v/>
      </c>
      <c r="F683" s="11" t="str">
        <f t="shared" si="795"/>
        <v/>
      </c>
      <c r="G683" s="8"/>
    </row>
    <row r="684">
      <c r="A684" s="9" t="str">
        <f t="shared" si="793"/>
        <v/>
      </c>
      <c r="B684" s="9" t="str">
        <f>IF(ISBLANK(A680),"",LEFT(B683,27)&amp;VALUE(RIGHT(B683,1)+1))</f>
        <v/>
      </c>
      <c r="C684" s="6" t="str">
        <f t="shared" ref="C684:D684" si="797">C683</f>
        <v/>
      </c>
      <c r="D684" s="6" t="str">
        <f t="shared" si="797"/>
        <v/>
      </c>
      <c r="E684" s="10" t="str">
        <f>IF(ISBLANK(A680),"",E683+1)</f>
        <v/>
      </c>
      <c r="F684" s="11" t="str">
        <f t="shared" si="795"/>
        <v/>
      </c>
      <c r="G684" s="8"/>
    </row>
    <row r="685">
      <c r="A685" s="12" t="str">
        <f t="shared" si="793"/>
        <v/>
      </c>
      <c r="B685" s="12" t="str">
        <f>IF(ISBLANK(A680),"",LEFT(B684,27)&amp;VALUE(RIGHT(B684,1)+1))</f>
        <v/>
      </c>
      <c r="C685" s="13" t="str">
        <f t="shared" ref="C685:D685" si="798">C684</f>
        <v/>
      </c>
      <c r="D685" s="13" t="str">
        <f t="shared" si="798"/>
        <v/>
      </c>
      <c r="E685" s="14" t="str">
        <f>IF(ISBLANK(A680),"",E684+1)</f>
        <v/>
      </c>
      <c r="F685" s="15" t="str">
        <f t="shared" si="795"/>
        <v/>
      </c>
      <c r="G685" s="16"/>
    </row>
    <row r="686">
      <c r="A686" s="5"/>
      <c r="B686" s="6" t="str">
        <f t="array" ref="B686">IF(ISBLANK(A686),"",IF(A686="PROREP (L)",VLOOKUP(LEFT($A686,6),'Data Feed (25C)'!$A$1:$G$10,2,FALSE),IF(A686="PROREP (S)", INDEX('Data Feed (25C)'!B:B, MATCH(LEFT($A686,6), 'Data Feed (25C)'!$A$1:$A$10, 0) + 1), VLOOKUP($A686,'Data Feed (25C)'!$A$1:$G$10,2,FALSE))))</f>
        <v/>
      </c>
      <c r="C686" s="6" t="str">
        <f t="array" ref="C686">IF(ISBLANK(A686),"",IF(A686="PROREP (L)",VLOOKUP(LEFT($A686,6),'Data Feed (25C)'!$A$1:$G$10,3,FALSE),IF(A686="PROREP (S)", INDEX('Data Feed (25C)'!C:C, MATCH(LEFT($A686,6), 'Data Feed (25C)'!$A$1:$A$10, 0) + 1, +1), VLOOKUP($A686,'Data Feed (25C)'!$A$1:$G$10,3,FALSE))))</f>
        <v/>
      </c>
      <c r="D686" s="6" t="str">
        <f t="array" ref="D686">IF(ISBLANK(A686),"",IF(A686="PROREP (L)",VLOOKUP(LEFT($A686,6),'Data Feed (25C)'!$A$1:$G$10,4,FALSE),IF(A686="PROREP (S)", INDEX('Data Feed (25C)'!D:D, MATCH(LEFT($A686,6), 'Data Feed (25C)'!$A$1:$A$10, 0) + 1, +1), VLOOKUP($A686,'Data Feed (25C)'!$A$1:$G$10,4,FALSE))))</f>
        <v/>
      </c>
      <c r="E686" s="6" t="str">
        <f t="array" ref="E686">IF(ISBLANK(A686),"",IF(A686="PROREP (L)",VLOOKUP(LEFT($A686,6),'Data Feed (25C)'!$A$1:$G$10,7,FALSE),IF(A686="PROREP (S)", INDEX('Data Feed (25C)'!G:G, MATCH(LEFT($A686,6), 'Data Feed (25C)'!$A$1:$A$10, 0) + 1, +1), VLOOKUP($A686,'Data Feed (25C)'!$A$1:$G$10,7,FALSE))))</f>
        <v/>
      </c>
      <c r="F686" s="7"/>
      <c r="G686" s="8"/>
    </row>
    <row r="687">
      <c r="A687" s="9" t="str">
        <f t="shared" ref="A687:A691" si="800">A686</f>
        <v/>
      </c>
      <c r="B687" s="9" t="str">
        <f>IF(ISBLANK(A686),"",LEFT(B686,27)&amp;VALUE(RIGHT(B686,1)+1))</f>
        <v/>
      </c>
      <c r="C687" s="6" t="str">
        <f t="shared" ref="C687:D687" si="799">C686</f>
        <v/>
      </c>
      <c r="D687" s="6" t="str">
        <f t="shared" si="799"/>
        <v/>
      </c>
      <c r="E687" s="10" t="str">
        <f>IF(ISBLANK(A686),"",E686+1)</f>
        <v/>
      </c>
      <c r="F687" s="11" t="str">
        <f t="shared" ref="F687:F691" si="802">F686</f>
        <v/>
      </c>
      <c r="G687" s="8"/>
    </row>
    <row r="688">
      <c r="A688" s="9" t="str">
        <f t="shared" si="800"/>
        <v/>
      </c>
      <c r="B688" s="9" t="str">
        <f>IF(ISBLANK(A686),"",LEFT(B687,27)&amp;VALUE(RIGHT(B687,1)+1))</f>
        <v/>
      </c>
      <c r="C688" s="6" t="str">
        <f t="shared" ref="C688:D688" si="801">C687</f>
        <v/>
      </c>
      <c r="D688" s="6" t="str">
        <f t="shared" si="801"/>
        <v/>
      </c>
      <c r="E688" s="10" t="str">
        <f>IF(ISBLANK(A686),"",E687+1)</f>
        <v/>
      </c>
      <c r="F688" s="11" t="str">
        <f t="shared" si="802"/>
        <v/>
      </c>
      <c r="G688" s="8"/>
    </row>
    <row r="689">
      <c r="A689" s="9" t="str">
        <f t="shared" si="800"/>
        <v/>
      </c>
      <c r="B689" s="9" t="str">
        <f>IF(ISBLANK(A686),"",LEFT(B688,27)&amp;VALUE(RIGHT(B688,1)+1))</f>
        <v/>
      </c>
      <c r="C689" s="6" t="str">
        <f t="shared" ref="C689:D689" si="803">C688</f>
        <v/>
      </c>
      <c r="D689" s="6" t="str">
        <f t="shared" si="803"/>
        <v/>
      </c>
      <c r="E689" s="10" t="str">
        <f>IF(ISBLANK(A686),"",E688+1)</f>
        <v/>
      </c>
      <c r="F689" s="11" t="str">
        <f t="shared" si="802"/>
        <v/>
      </c>
      <c r="G689" s="8"/>
    </row>
    <row r="690">
      <c r="A690" s="9" t="str">
        <f t="shared" si="800"/>
        <v/>
      </c>
      <c r="B690" s="9" t="str">
        <f>IF(ISBLANK(A686),"",LEFT(B689,27)&amp;VALUE(RIGHT(B689,1)+1))</f>
        <v/>
      </c>
      <c r="C690" s="6" t="str">
        <f t="shared" ref="C690:D690" si="804">C689</f>
        <v/>
      </c>
      <c r="D690" s="6" t="str">
        <f t="shared" si="804"/>
        <v/>
      </c>
      <c r="E690" s="10" t="str">
        <f>IF(ISBLANK(A686),"",E689+1)</f>
        <v/>
      </c>
      <c r="F690" s="11" t="str">
        <f t="shared" si="802"/>
        <v/>
      </c>
      <c r="G690" s="8"/>
    </row>
    <row r="691">
      <c r="A691" s="12" t="str">
        <f t="shared" si="800"/>
        <v/>
      </c>
      <c r="B691" s="12" t="str">
        <f>IF(ISBLANK(A686),"",LEFT(B690,27)&amp;VALUE(RIGHT(B690,1)+1))</f>
        <v/>
      </c>
      <c r="C691" s="13" t="str">
        <f t="shared" ref="C691:D691" si="805">C690</f>
        <v/>
      </c>
      <c r="D691" s="13" t="str">
        <f t="shared" si="805"/>
        <v/>
      </c>
      <c r="E691" s="14" t="str">
        <f>IF(ISBLANK(A686),"",E690+1)</f>
        <v/>
      </c>
      <c r="F691" s="15" t="str">
        <f t="shared" si="802"/>
        <v/>
      </c>
      <c r="G691" s="16"/>
    </row>
    <row r="692">
      <c r="A692" s="5"/>
      <c r="B692" s="6" t="str">
        <f t="array" ref="B692">IF(ISBLANK(A692),"",IF(A692="PROREP (L)",VLOOKUP(LEFT($A692,6),'Data Feed (25C)'!$A$1:$G$10,2,FALSE),IF(A692="PROREP (S)", INDEX('Data Feed (25C)'!B:B, MATCH(LEFT($A692,6), 'Data Feed (25C)'!$A$1:$A$10, 0) + 1), VLOOKUP($A692,'Data Feed (25C)'!$A$1:$G$10,2,FALSE))))</f>
        <v/>
      </c>
      <c r="C692" s="6" t="str">
        <f t="array" ref="C692">IF(ISBLANK(A692),"",IF(A692="PROREP (L)",VLOOKUP(LEFT($A692,6),'Data Feed (25C)'!$A$1:$G$10,3,FALSE),IF(A692="PROREP (S)", INDEX('Data Feed (25C)'!C:C, MATCH(LEFT($A692,6), 'Data Feed (25C)'!$A$1:$A$10, 0) + 1, +1), VLOOKUP($A692,'Data Feed (25C)'!$A$1:$G$10,3,FALSE))))</f>
        <v/>
      </c>
      <c r="D692" s="6" t="str">
        <f t="array" ref="D692">IF(ISBLANK(A692),"",IF(A692="PROREP (L)",VLOOKUP(LEFT($A692,6),'Data Feed (25C)'!$A$1:$G$10,4,FALSE),IF(A692="PROREP (S)", INDEX('Data Feed (25C)'!D:D, MATCH(LEFT($A692,6), 'Data Feed (25C)'!$A$1:$A$10, 0) + 1, +1), VLOOKUP($A692,'Data Feed (25C)'!$A$1:$G$10,4,FALSE))))</f>
        <v/>
      </c>
      <c r="E692" s="6" t="str">
        <f t="array" ref="E692">IF(ISBLANK(A692),"",IF(A692="PROREP (L)",VLOOKUP(LEFT($A692,6),'Data Feed (25C)'!$A$1:$G$10,7,FALSE),IF(A692="PROREP (S)", INDEX('Data Feed (25C)'!G:G, MATCH(LEFT($A692,6), 'Data Feed (25C)'!$A$1:$A$10, 0) + 1, +1), VLOOKUP($A692,'Data Feed (25C)'!$A$1:$G$10,7,FALSE))))</f>
        <v/>
      </c>
      <c r="F692" s="7"/>
      <c r="G692" s="8"/>
    </row>
    <row r="693">
      <c r="A693" s="9" t="str">
        <f t="shared" ref="A693:A697" si="807">A692</f>
        <v/>
      </c>
      <c r="B693" s="9" t="str">
        <f>IF(ISBLANK(A692),"",LEFT(B692,27)&amp;VALUE(RIGHT(B692,1)+1))</f>
        <v/>
      </c>
      <c r="C693" s="6" t="str">
        <f t="shared" ref="C693:D693" si="806">C692</f>
        <v/>
      </c>
      <c r="D693" s="6" t="str">
        <f t="shared" si="806"/>
        <v/>
      </c>
      <c r="E693" s="10" t="str">
        <f>IF(ISBLANK(A692),"",E692+1)</f>
        <v/>
      </c>
      <c r="F693" s="11" t="str">
        <f t="shared" ref="F693:F697" si="809">F692</f>
        <v/>
      </c>
      <c r="G693" s="8"/>
    </row>
    <row r="694">
      <c r="A694" s="9" t="str">
        <f t="shared" si="807"/>
        <v/>
      </c>
      <c r="B694" s="9" t="str">
        <f>IF(ISBLANK(A692),"",LEFT(B693,27)&amp;VALUE(RIGHT(B693,1)+1))</f>
        <v/>
      </c>
      <c r="C694" s="6" t="str">
        <f t="shared" ref="C694:D694" si="808">C693</f>
        <v/>
      </c>
      <c r="D694" s="6" t="str">
        <f t="shared" si="808"/>
        <v/>
      </c>
      <c r="E694" s="10" t="str">
        <f>IF(ISBLANK(A692),"",E693+1)</f>
        <v/>
      </c>
      <c r="F694" s="11" t="str">
        <f t="shared" si="809"/>
        <v/>
      </c>
      <c r="G694" s="8"/>
    </row>
    <row r="695">
      <c r="A695" s="9" t="str">
        <f t="shared" si="807"/>
        <v/>
      </c>
      <c r="B695" s="9" t="str">
        <f>IF(ISBLANK(A692),"",LEFT(B694,27)&amp;VALUE(RIGHT(B694,1)+1))</f>
        <v/>
      </c>
      <c r="C695" s="6" t="str">
        <f t="shared" ref="C695:D695" si="810">C694</f>
        <v/>
      </c>
      <c r="D695" s="6" t="str">
        <f t="shared" si="810"/>
        <v/>
      </c>
      <c r="E695" s="10" t="str">
        <f>IF(ISBLANK(A692),"",E694+1)</f>
        <v/>
      </c>
      <c r="F695" s="11" t="str">
        <f t="shared" si="809"/>
        <v/>
      </c>
      <c r="G695" s="8"/>
    </row>
    <row r="696">
      <c r="A696" s="9" t="str">
        <f t="shared" si="807"/>
        <v/>
      </c>
      <c r="B696" s="9" t="str">
        <f>IF(ISBLANK(A692),"",LEFT(B695,27)&amp;VALUE(RIGHT(B695,1)+1))</f>
        <v/>
      </c>
      <c r="C696" s="6" t="str">
        <f t="shared" ref="C696:D696" si="811">C695</f>
        <v/>
      </c>
      <c r="D696" s="6" t="str">
        <f t="shared" si="811"/>
        <v/>
      </c>
      <c r="E696" s="10" t="str">
        <f>IF(ISBLANK(A692),"",E695+1)</f>
        <v/>
      </c>
      <c r="F696" s="11" t="str">
        <f t="shared" si="809"/>
        <v/>
      </c>
      <c r="G696" s="8"/>
    </row>
    <row r="697">
      <c r="A697" s="12" t="str">
        <f t="shared" si="807"/>
        <v/>
      </c>
      <c r="B697" s="12" t="str">
        <f>IF(ISBLANK(A692),"",LEFT(B696,27)&amp;VALUE(RIGHT(B696,1)+1))</f>
        <v/>
      </c>
      <c r="C697" s="13" t="str">
        <f t="shared" ref="C697:D697" si="812">C696</f>
        <v/>
      </c>
      <c r="D697" s="13" t="str">
        <f t="shared" si="812"/>
        <v/>
      </c>
      <c r="E697" s="14" t="str">
        <f>IF(ISBLANK(A692),"",E696+1)</f>
        <v/>
      </c>
      <c r="F697" s="15" t="str">
        <f t="shared" si="809"/>
        <v/>
      </c>
      <c r="G697" s="16"/>
    </row>
    <row r="698">
      <c r="A698" s="5"/>
      <c r="B698" s="6" t="str">
        <f t="array" ref="B698">IF(ISBLANK(A698),"",IF(A698="PROREP (L)",VLOOKUP(LEFT($A698,6),'Data Feed (25C)'!$A$1:$G$10,2,FALSE),IF(A698="PROREP (S)", INDEX('Data Feed (25C)'!B:B, MATCH(LEFT($A698,6), 'Data Feed (25C)'!$A$1:$A$10, 0) + 1), VLOOKUP($A698,'Data Feed (25C)'!$A$1:$G$10,2,FALSE))))</f>
        <v/>
      </c>
      <c r="C698" s="6" t="str">
        <f t="array" ref="C698">IF(ISBLANK(A698),"",IF(A698="PROREP (L)",VLOOKUP(LEFT($A698,6),'Data Feed (25C)'!$A$1:$G$10,3,FALSE),IF(A698="PROREP (S)", INDEX('Data Feed (25C)'!C:C, MATCH(LEFT($A698,6), 'Data Feed (25C)'!$A$1:$A$10, 0) + 1, +1), VLOOKUP($A698,'Data Feed (25C)'!$A$1:$G$10,3,FALSE))))</f>
        <v/>
      </c>
      <c r="D698" s="6" t="str">
        <f t="array" ref="D698">IF(ISBLANK(A698),"",IF(A698="PROREP (L)",VLOOKUP(LEFT($A698,6),'Data Feed (25C)'!$A$1:$G$10,4,FALSE),IF(A698="PROREP (S)", INDEX('Data Feed (25C)'!D:D, MATCH(LEFT($A698,6), 'Data Feed (25C)'!$A$1:$A$10, 0) + 1, +1), VLOOKUP($A698,'Data Feed (25C)'!$A$1:$G$10,4,FALSE))))</f>
        <v/>
      </c>
      <c r="E698" s="6" t="str">
        <f t="array" ref="E698">IF(ISBLANK(A698),"",IF(A698="PROREP (L)",VLOOKUP(LEFT($A698,6),'Data Feed (25C)'!$A$1:$G$10,7,FALSE),IF(A698="PROREP (S)", INDEX('Data Feed (25C)'!G:G, MATCH(LEFT($A698,6), 'Data Feed (25C)'!$A$1:$A$10, 0) + 1, +1), VLOOKUP($A698,'Data Feed (25C)'!$A$1:$G$10,7,FALSE))))</f>
        <v/>
      </c>
      <c r="F698" s="7"/>
      <c r="G698" s="8"/>
    </row>
    <row r="699">
      <c r="A699" s="9" t="str">
        <f t="shared" ref="A699:A703" si="814">A698</f>
        <v/>
      </c>
      <c r="B699" s="9" t="str">
        <f>IF(ISBLANK(A698),"",LEFT(B698,27)&amp;VALUE(RIGHT(B698,1)+1))</f>
        <v/>
      </c>
      <c r="C699" s="6" t="str">
        <f t="shared" ref="C699:D699" si="813">C698</f>
        <v/>
      </c>
      <c r="D699" s="6" t="str">
        <f t="shared" si="813"/>
        <v/>
      </c>
      <c r="E699" s="10" t="str">
        <f>IF(ISBLANK(A698),"",E698+1)</f>
        <v/>
      </c>
      <c r="F699" s="11" t="str">
        <f t="shared" ref="F699:F703" si="816">F698</f>
        <v/>
      </c>
      <c r="G699" s="8"/>
    </row>
    <row r="700">
      <c r="A700" s="9" t="str">
        <f t="shared" si="814"/>
        <v/>
      </c>
      <c r="B700" s="9" t="str">
        <f>IF(ISBLANK(A698),"",LEFT(B699,27)&amp;VALUE(RIGHT(B699,1)+1))</f>
        <v/>
      </c>
      <c r="C700" s="6" t="str">
        <f t="shared" ref="C700:D700" si="815">C699</f>
        <v/>
      </c>
      <c r="D700" s="6" t="str">
        <f t="shared" si="815"/>
        <v/>
      </c>
      <c r="E700" s="10" t="str">
        <f>IF(ISBLANK(A698),"",E699+1)</f>
        <v/>
      </c>
      <c r="F700" s="11" t="str">
        <f t="shared" si="816"/>
        <v/>
      </c>
      <c r="G700" s="8"/>
    </row>
    <row r="701">
      <c r="A701" s="9" t="str">
        <f t="shared" si="814"/>
        <v/>
      </c>
      <c r="B701" s="9" t="str">
        <f>IF(ISBLANK(A698),"",LEFT(B700,27)&amp;VALUE(RIGHT(B700,1)+1))</f>
        <v/>
      </c>
      <c r="C701" s="6" t="str">
        <f t="shared" ref="C701:D701" si="817">C700</f>
        <v/>
      </c>
      <c r="D701" s="6" t="str">
        <f t="shared" si="817"/>
        <v/>
      </c>
      <c r="E701" s="10" t="str">
        <f>IF(ISBLANK(A698),"",E700+1)</f>
        <v/>
      </c>
      <c r="F701" s="11" t="str">
        <f t="shared" si="816"/>
        <v/>
      </c>
      <c r="G701" s="8"/>
    </row>
    <row r="702">
      <c r="A702" s="9" t="str">
        <f t="shared" si="814"/>
        <v/>
      </c>
      <c r="B702" s="9" t="str">
        <f>IF(ISBLANK(A698),"",LEFT(B701,27)&amp;VALUE(RIGHT(B701,1)+1))</f>
        <v/>
      </c>
      <c r="C702" s="6" t="str">
        <f t="shared" ref="C702:D702" si="818">C701</f>
        <v/>
      </c>
      <c r="D702" s="6" t="str">
        <f t="shared" si="818"/>
        <v/>
      </c>
      <c r="E702" s="10" t="str">
        <f>IF(ISBLANK(A698),"",E701+1)</f>
        <v/>
      </c>
      <c r="F702" s="11" t="str">
        <f t="shared" si="816"/>
        <v/>
      </c>
      <c r="G702" s="8"/>
    </row>
    <row r="703">
      <c r="A703" s="12" t="str">
        <f t="shared" si="814"/>
        <v/>
      </c>
      <c r="B703" s="12" t="str">
        <f>IF(ISBLANK(A698),"",LEFT(B702,27)&amp;VALUE(RIGHT(B702,1)+1))</f>
        <v/>
      </c>
      <c r="C703" s="13" t="str">
        <f t="shared" ref="C703:D703" si="819">C702</f>
        <v/>
      </c>
      <c r="D703" s="13" t="str">
        <f t="shared" si="819"/>
        <v/>
      </c>
      <c r="E703" s="14" t="str">
        <f>IF(ISBLANK(A698),"",E702+1)</f>
        <v/>
      </c>
      <c r="F703" s="15" t="str">
        <f t="shared" si="816"/>
        <v/>
      </c>
      <c r="G703" s="16"/>
    </row>
    <row r="704">
      <c r="A704" s="5"/>
      <c r="B704" s="6" t="str">
        <f t="array" ref="B704">IF(ISBLANK(A704),"",IF(A704="PROREP (L)",VLOOKUP(LEFT($A704,6),'Data Feed (25C)'!$A$1:$G$10,2,FALSE),IF(A704="PROREP (S)", INDEX('Data Feed (25C)'!B:B, MATCH(LEFT($A704,6), 'Data Feed (25C)'!$A$1:$A$10, 0) + 1), VLOOKUP($A704,'Data Feed (25C)'!$A$1:$G$10,2,FALSE))))</f>
        <v/>
      </c>
      <c r="C704" s="6" t="str">
        <f t="array" ref="C704">IF(ISBLANK(A704),"",IF(A704="PROREP (L)",VLOOKUP(LEFT($A704,6),'Data Feed (25C)'!$A$1:$G$10,3,FALSE),IF(A704="PROREP (S)", INDEX('Data Feed (25C)'!C:C, MATCH(LEFT($A704,6), 'Data Feed (25C)'!$A$1:$A$10, 0) + 1, +1), VLOOKUP($A704,'Data Feed (25C)'!$A$1:$G$10,3,FALSE))))</f>
        <v/>
      </c>
      <c r="D704" s="6" t="str">
        <f t="array" ref="D704">IF(ISBLANK(A704),"",IF(A704="PROREP (L)",VLOOKUP(LEFT($A704,6),'Data Feed (25C)'!$A$1:$G$10,4,FALSE),IF(A704="PROREP (S)", INDEX('Data Feed (25C)'!D:D, MATCH(LEFT($A704,6), 'Data Feed (25C)'!$A$1:$A$10, 0) + 1, +1), VLOOKUP($A704,'Data Feed (25C)'!$A$1:$G$10,4,FALSE))))</f>
        <v/>
      </c>
      <c r="E704" s="6" t="str">
        <f t="array" ref="E704">IF(ISBLANK(A704),"",IF(A704="PROREP (L)",VLOOKUP(LEFT($A704,6),'Data Feed (25C)'!$A$1:$G$10,7,FALSE),IF(A704="PROREP (S)", INDEX('Data Feed (25C)'!G:G, MATCH(LEFT($A704,6), 'Data Feed (25C)'!$A$1:$A$10, 0) + 1, +1), VLOOKUP($A704,'Data Feed (25C)'!$A$1:$G$10,7,FALSE))))</f>
        <v/>
      </c>
      <c r="F704" s="7"/>
      <c r="G704" s="8"/>
    </row>
    <row r="705">
      <c r="A705" s="9" t="str">
        <f t="shared" ref="A705:A709" si="821">A704</f>
        <v/>
      </c>
      <c r="B705" s="9" t="str">
        <f>IF(ISBLANK(A704),"",LEFT(B704,27)&amp;VALUE(RIGHT(B704,1)+1))</f>
        <v/>
      </c>
      <c r="C705" s="6" t="str">
        <f t="shared" ref="C705:D705" si="820">C704</f>
        <v/>
      </c>
      <c r="D705" s="6" t="str">
        <f t="shared" si="820"/>
        <v/>
      </c>
      <c r="E705" s="10" t="str">
        <f>IF(ISBLANK(A704),"",E704+1)</f>
        <v/>
      </c>
      <c r="F705" s="11" t="str">
        <f t="shared" ref="F705:F709" si="823">F704</f>
        <v/>
      </c>
      <c r="G705" s="8"/>
    </row>
    <row r="706">
      <c r="A706" s="9" t="str">
        <f t="shared" si="821"/>
        <v/>
      </c>
      <c r="B706" s="9" t="str">
        <f>IF(ISBLANK(A704),"",LEFT(B705,27)&amp;VALUE(RIGHT(B705,1)+1))</f>
        <v/>
      </c>
      <c r="C706" s="6" t="str">
        <f t="shared" ref="C706:D706" si="822">C705</f>
        <v/>
      </c>
      <c r="D706" s="6" t="str">
        <f t="shared" si="822"/>
        <v/>
      </c>
      <c r="E706" s="10" t="str">
        <f>IF(ISBLANK(A704),"",E705+1)</f>
        <v/>
      </c>
      <c r="F706" s="11" t="str">
        <f t="shared" si="823"/>
        <v/>
      </c>
      <c r="G706" s="8"/>
    </row>
    <row r="707">
      <c r="A707" s="9" t="str">
        <f t="shared" si="821"/>
        <v/>
      </c>
      <c r="B707" s="9" t="str">
        <f>IF(ISBLANK(A704),"",LEFT(B706,27)&amp;VALUE(RIGHT(B706,1)+1))</f>
        <v/>
      </c>
      <c r="C707" s="6" t="str">
        <f t="shared" ref="C707:D707" si="824">C706</f>
        <v/>
      </c>
      <c r="D707" s="6" t="str">
        <f t="shared" si="824"/>
        <v/>
      </c>
      <c r="E707" s="10" t="str">
        <f>IF(ISBLANK(A704),"",E706+1)</f>
        <v/>
      </c>
      <c r="F707" s="11" t="str">
        <f t="shared" si="823"/>
        <v/>
      </c>
      <c r="G707" s="8"/>
    </row>
    <row r="708">
      <c r="A708" s="9" t="str">
        <f t="shared" si="821"/>
        <v/>
      </c>
      <c r="B708" s="9" t="str">
        <f>IF(ISBLANK(A704),"",LEFT(B707,27)&amp;VALUE(RIGHT(B707,1)+1))</f>
        <v/>
      </c>
      <c r="C708" s="6" t="str">
        <f t="shared" ref="C708:D708" si="825">C707</f>
        <v/>
      </c>
      <c r="D708" s="6" t="str">
        <f t="shared" si="825"/>
        <v/>
      </c>
      <c r="E708" s="10" t="str">
        <f>IF(ISBLANK(A704),"",E707+1)</f>
        <v/>
      </c>
      <c r="F708" s="11" t="str">
        <f t="shared" si="823"/>
        <v/>
      </c>
      <c r="G708" s="8"/>
    </row>
    <row r="709">
      <c r="A709" s="12" t="str">
        <f t="shared" si="821"/>
        <v/>
      </c>
      <c r="B709" s="12" t="str">
        <f>IF(ISBLANK(A704),"",LEFT(B708,27)&amp;VALUE(RIGHT(B708,1)+1))</f>
        <v/>
      </c>
      <c r="C709" s="13" t="str">
        <f t="shared" ref="C709:D709" si="826">C708</f>
        <v/>
      </c>
      <c r="D709" s="13" t="str">
        <f t="shared" si="826"/>
        <v/>
      </c>
      <c r="E709" s="14" t="str">
        <f>IF(ISBLANK(A704),"",E708+1)</f>
        <v/>
      </c>
      <c r="F709" s="15" t="str">
        <f t="shared" si="823"/>
        <v/>
      </c>
      <c r="G709" s="16"/>
    </row>
    <row r="710">
      <c r="A710" s="5"/>
      <c r="B710" s="6" t="str">
        <f t="array" ref="B710">IF(ISBLANK(A710),"",IF(A710="PROREP (L)",VLOOKUP(LEFT($A710,6),'Data Feed (25C)'!$A$1:$G$10,2,FALSE),IF(A710="PROREP (S)", INDEX('Data Feed (25C)'!B:B, MATCH(LEFT($A710,6), 'Data Feed (25C)'!$A$1:$A$10, 0) + 1), VLOOKUP($A710,'Data Feed (25C)'!$A$1:$G$10,2,FALSE))))</f>
        <v/>
      </c>
      <c r="C710" s="6" t="str">
        <f t="array" ref="C710">IF(ISBLANK(A710),"",IF(A710="PROREP (L)",VLOOKUP(LEFT($A710,6),'Data Feed (25C)'!$A$1:$G$10,3,FALSE),IF(A710="PROREP (S)", INDEX('Data Feed (25C)'!C:C, MATCH(LEFT($A710,6), 'Data Feed (25C)'!$A$1:$A$10, 0) + 1, +1), VLOOKUP($A710,'Data Feed (25C)'!$A$1:$G$10,3,FALSE))))</f>
        <v/>
      </c>
      <c r="D710" s="6" t="str">
        <f t="array" ref="D710">IF(ISBLANK(A710),"",IF(A710="PROREP (L)",VLOOKUP(LEFT($A710,6),'Data Feed (25C)'!$A$1:$G$10,4,FALSE),IF(A710="PROREP (S)", INDEX('Data Feed (25C)'!D:D, MATCH(LEFT($A710,6), 'Data Feed (25C)'!$A$1:$A$10, 0) + 1, +1), VLOOKUP($A710,'Data Feed (25C)'!$A$1:$G$10,4,FALSE))))</f>
        <v/>
      </c>
      <c r="E710" s="6" t="str">
        <f t="array" ref="E710">IF(ISBLANK(A710),"",IF(A710="PROREP (L)",VLOOKUP(LEFT($A710,6),'Data Feed (25C)'!$A$1:$G$10,7,FALSE),IF(A710="PROREP (S)", INDEX('Data Feed (25C)'!G:G, MATCH(LEFT($A710,6), 'Data Feed (25C)'!$A$1:$A$10, 0) + 1, +1), VLOOKUP($A710,'Data Feed (25C)'!$A$1:$G$10,7,FALSE))))</f>
        <v/>
      </c>
      <c r="F710" s="7"/>
      <c r="G710" s="8"/>
    </row>
    <row r="711">
      <c r="A711" s="9" t="str">
        <f t="shared" ref="A711:A715" si="828">A710</f>
        <v/>
      </c>
      <c r="B711" s="9" t="str">
        <f>IF(ISBLANK(A710),"",LEFT(B710,27)&amp;VALUE(RIGHT(B710,1)+1))</f>
        <v/>
      </c>
      <c r="C711" s="6" t="str">
        <f t="shared" ref="C711:D711" si="827">C710</f>
        <v/>
      </c>
      <c r="D711" s="6" t="str">
        <f t="shared" si="827"/>
        <v/>
      </c>
      <c r="E711" s="10" t="str">
        <f>IF(ISBLANK(A710),"",E710+1)</f>
        <v/>
      </c>
      <c r="F711" s="11" t="str">
        <f t="shared" ref="F711:F715" si="830">F710</f>
        <v/>
      </c>
      <c r="G711" s="8"/>
    </row>
    <row r="712">
      <c r="A712" s="9" t="str">
        <f t="shared" si="828"/>
        <v/>
      </c>
      <c r="B712" s="9" t="str">
        <f>IF(ISBLANK(A710),"",LEFT(B711,27)&amp;VALUE(RIGHT(B711,1)+1))</f>
        <v/>
      </c>
      <c r="C712" s="6" t="str">
        <f t="shared" ref="C712:D712" si="829">C711</f>
        <v/>
      </c>
      <c r="D712" s="6" t="str">
        <f t="shared" si="829"/>
        <v/>
      </c>
      <c r="E712" s="10" t="str">
        <f>IF(ISBLANK(A710),"",E711+1)</f>
        <v/>
      </c>
      <c r="F712" s="11" t="str">
        <f t="shared" si="830"/>
        <v/>
      </c>
      <c r="G712" s="8"/>
    </row>
    <row r="713">
      <c r="A713" s="9" t="str">
        <f t="shared" si="828"/>
        <v/>
      </c>
      <c r="B713" s="9" t="str">
        <f>IF(ISBLANK(A710),"",LEFT(B712,27)&amp;VALUE(RIGHT(B712,1)+1))</f>
        <v/>
      </c>
      <c r="C713" s="6" t="str">
        <f t="shared" ref="C713:D713" si="831">C712</f>
        <v/>
      </c>
      <c r="D713" s="6" t="str">
        <f t="shared" si="831"/>
        <v/>
      </c>
      <c r="E713" s="10" t="str">
        <f>IF(ISBLANK(A710),"",E712+1)</f>
        <v/>
      </c>
      <c r="F713" s="11" t="str">
        <f t="shared" si="830"/>
        <v/>
      </c>
      <c r="G713" s="8"/>
    </row>
    <row r="714">
      <c r="A714" s="9" t="str">
        <f t="shared" si="828"/>
        <v/>
      </c>
      <c r="B714" s="9" t="str">
        <f>IF(ISBLANK(A710),"",LEFT(B713,27)&amp;VALUE(RIGHT(B713,1)+1))</f>
        <v/>
      </c>
      <c r="C714" s="6" t="str">
        <f t="shared" ref="C714:D714" si="832">C713</f>
        <v/>
      </c>
      <c r="D714" s="6" t="str">
        <f t="shared" si="832"/>
        <v/>
      </c>
      <c r="E714" s="10" t="str">
        <f>IF(ISBLANK(A710),"",E713+1)</f>
        <v/>
      </c>
      <c r="F714" s="11" t="str">
        <f t="shared" si="830"/>
        <v/>
      </c>
      <c r="G714" s="8"/>
    </row>
    <row r="715">
      <c r="A715" s="12" t="str">
        <f t="shared" si="828"/>
        <v/>
      </c>
      <c r="B715" s="12" t="str">
        <f>IF(ISBLANK(A710),"",LEFT(B714,27)&amp;VALUE(RIGHT(B714,1)+1))</f>
        <v/>
      </c>
      <c r="C715" s="13" t="str">
        <f t="shared" ref="C715:D715" si="833">C714</f>
        <v/>
      </c>
      <c r="D715" s="13" t="str">
        <f t="shared" si="833"/>
        <v/>
      </c>
      <c r="E715" s="14" t="str">
        <f>IF(ISBLANK(A710),"",E714+1)</f>
        <v/>
      </c>
      <c r="F715" s="15" t="str">
        <f t="shared" si="830"/>
        <v/>
      </c>
      <c r="G715" s="16"/>
    </row>
    <row r="716">
      <c r="A716" s="5"/>
      <c r="B716" s="6" t="str">
        <f t="array" ref="B716">IF(ISBLANK(A716),"",IF(A716="PROREP (L)",VLOOKUP(LEFT($A716,6),'Data Feed (25C)'!$A$1:$G$10,2,FALSE),IF(A716="PROREP (S)", INDEX('Data Feed (25C)'!B:B, MATCH(LEFT($A716,6), 'Data Feed (25C)'!$A$1:$A$10, 0) + 1), VLOOKUP($A716,'Data Feed (25C)'!$A$1:$G$10,2,FALSE))))</f>
        <v/>
      </c>
      <c r="C716" s="6" t="str">
        <f t="array" ref="C716">IF(ISBLANK(A716),"",IF(A716="PROREP (L)",VLOOKUP(LEFT($A716,6),'Data Feed (25C)'!$A$1:$G$10,3,FALSE),IF(A716="PROREP (S)", INDEX('Data Feed (25C)'!C:C, MATCH(LEFT($A716,6), 'Data Feed (25C)'!$A$1:$A$10, 0) + 1, +1), VLOOKUP($A716,'Data Feed (25C)'!$A$1:$G$10,3,FALSE))))</f>
        <v/>
      </c>
      <c r="D716" s="6" t="str">
        <f t="array" ref="D716">IF(ISBLANK(A716),"",IF(A716="PROREP (L)",VLOOKUP(LEFT($A716,6),'Data Feed (25C)'!$A$1:$G$10,4,FALSE),IF(A716="PROREP (S)", INDEX('Data Feed (25C)'!D:D, MATCH(LEFT($A716,6), 'Data Feed (25C)'!$A$1:$A$10, 0) + 1, +1), VLOOKUP($A716,'Data Feed (25C)'!$A$1:$G$10,4,FALSE))))</f>
        <v/>
      </c>
      <c r="E716" s="6" t="str">
        <f t="array" ref="E716">IF(ISBLANK(A716),"",IF(A716="PROREP (L)",VLOOKUP(LEFT($A716,6),'Data Feed (25C)'!$A$1:$G$10,7,FALSE),IF(A716="PROREP (S)", INDEX('Data Feed (25C)'!G:G, MATCH(LEFT($A716,6), 'Data Feed (25C)'!$A$1:$A$10, 0) + 1, +1), VLOOKUP($A716,'Data Feed (25C)'!$A$1:$G$10,7,FALSE))))</f>
        <v/>
      </c>
      <c r="F716" s="7"/>
      <c r="G716" s="8"/>
    </row>
    <row r="717">
      <c r="A717" s="9" t="str">
        <f t="shared" ref="A717:A721" si="835">A716</f>
        <v/>
      </c>
      <c r="B717" s="9" t="str">
        <f>IF(ISBLANK(A716),"",LEFT(B716,27)&amp;VALUE(RIGHT(B716,1)+1))</f>
        <v/>
      </c>
      <c r="C717" s="6" t="str">
        <f t="shared" ref="C717:D717" si="834">C716</f>
        <v/>
      </c>
      <c r="D717" s="6" t="str">
        <f t="shared" si="834"/>
        <v/>
      </c>
      <c r="E717" s="10" t="str">
        <f>IF(ISBLANK(A716),"",E716+1)</f>
        <v/>
      </c>
      <c r="F717" s="11" t="str">
        <f t="shared" ref="F717:F721" si="837">F716</f>
        <v/>
      </c>
      <c r="G717" s="8"/>
    </row>
    <row r="718">
      <c r="A718" s="9" t="str">
        <f t="shared" si="835"/>
        <v/>
      </c>
      <c r="B718" s="9" t="str">
        <f>IF(ISBLANK(A716),"",LEFT(B717,27)&amp;VALUE(RIGHT(B717,1)+1))</f>
        <v/>
      </c>
      <c r="C718" s="6" t="str">
        <f t="shared" ref="C718:D718" si="836">C717</f>
        <v/>
      </c>
      <c r="D718" s="6" t="str">
        <f t="shared" si="836"/>
        <v/>
      </c>
      <c r="E718" s="10" t="str">
        <f>IF(ISBLANK(A716),"",E717+1)</f>
        <v/>
      </c>
      <c r="F718" s="11" t="str">
        <f t="shared" si="837"/>
        <v/>
      </c>
      <c r="G718" s="8"/>
    </row>
    <row r="719">
      <c r="A719" s="9" t="str">
        <f t="shared" si="835"/>
        <v/>
      </c>
      <c r="B719" s="9" t="str">
        <f>IF(ISBLANK(A716),"",LEFT(B718,27)&amp;VALUE(RIGHT(B718,1)+1))</f>
        <v/>
      </c>
      <c r="C719" s="6" t="str">
        <f t="shared" ref="C719:D719" si="838">C718</f>
        <v/>
      </c>
      <c r="D719" s="6" t="str">
        <f t="shared" si="838"/>
        <v/>
      </c>
      <c r="E719" s="10" t="str">
        <f>IF(ISBLANK(A716),"",E718+1)</f>
        <v/>
      </c>
      <c r="F719" s="11" t="str">
        <f t="shared" si="837"/>
        <v/>
      </c>
      <c r="G719" s="8"/>
    </row>
    <row r="720">
      <c r="A720" s="9" t="str">
        <f t="shared" si="835"/>
        <v/>
      </c>
      <c r="B720" s="9" t="str">
        <f>IF(ISBLANK(A716),"",LEFT(B719,27)&amp;VALUE(RIGHT(B719,1)+1))</f>
        <v/>
      </c>
      <c r="C720" s="6" t="str">
        <f t="shared" ref="C720:D720" si="839">C719</f>
        <v/>
      </c>
      <c r="D720" s="6" t="str">
        <f t="shared" si="839"/>
        <v/>
      </c>
      <c r="E720" s="10" t="str">
        <f>IF(ISBLANK(A716),"",E719+1)</f>
        <v/>
      </c>
      <c r="F720" s="11" t="str">
        <f t="shared" si="837"/>
        <v/>
      </c>
      <c r="G720" s="8"/>
    </row>
    <row r="721">
      <c r="A721" s="12" t="str">
        <f t="shared" si="835"/>
        <v/>
      </c>
      <c r="B721" s="12" t="str">
        <f>IF(ISBLANK(A716),"",LEFT(B720,27)&amp;VALUE(RIGHT(B720,1)+1))</f>
        <v/>
      </c>
      <c r="C721" s="13" t="str">
        <f t="shared" ref="C721:D721" si="840">C720</f>
        <v/>
      </c>
      <c r="D721" s="13" t="str">
        <f t="shared" si="840"/>
        <v/>
      </c>
      <c r="E721" s="14" t="str">
        <f>IF(ISBLANK(A716),"",E720+1)</f>
        <v/>
      </c>
      <c r="F721" s="15" t="str">
        <f t="shared" si="837"/>
        <v/>
      </c>
      <c r="G721" s="16"/>
    </row>
    <row r="722">
      <c r="A722" s="5"/>
      <c r="B722" s="6" t="str">
        <f t="array" ref="B722">IF(ISBLANK(A722),"",IF(A722="PROREP (L)",VLOOKUP(LEFT($A722,6),'Data Feed (25C)'!$A$1:$G$10,2,FALSE),IF(A722="PROREP (S)", INDEX('Data Feed (25C)'!B:B, MATCH(LEFT($A722,6), 'Data Feed (25C)'!$A$1:$A$10, 0) + 1), VLOOKUP($A722,'Data Feed (25C)'!$A$1:$G$10,2,FALSE))))</f>
        <v/>
      </c>
      <c r="C722" s="6" t="str">
        <f t="array" ref="C722">IF(ISBLANK(A722),"",IF(A722="PROREP (L)",VLOOKUP(LEFT($A722,6),'Data Feed (25C)'!$A$1:$G$10,3,FALSE),IF(A722="PROREP (S)", INDEX('Data Feed (25C)'!C:C, MATCH(LEFT($A722,6), 'Data Feed (25C)'!$A$1:$A$10, 0) + 1, +1), VLOOKUP($A722,'Data Feed (25C)'!$A$1:$G$10,3,FALSE))))</f>
        <v/>
      </c>
      <c r="D722" s="6" t="str">
        <f t="array" ref="D722">IF(ISBLANK(A722),"",IF(A722="PROREP (L)",VLOOKUP(LEFT($A722,6),'Data Feed (25C)'!$A$1:$G$10,4,FALSE),IF(A722="PROREP (S)", INDEX('Data Feed (25C)'!D:D, MATCH(LEFT($A722,6), 'Data Feed (25C)'!$A$1:$A$10, 0) + 1, +1), VLOOKUP($A722,'Data Feed (25C)'!$A$1:$G$10,4,FALSE))))</f>
        <v/>
      </c>
      <c r="E722" s="6" t="str">
        <f t="array" ref="E722">IF(ISBLANK(A722),"",IF(A722="PROREP (L)",VLOOKUP(LEFT($A722,6),'Data Feed (25C)'!$A$1:$G$10,7,FALSE),IF(A722="PROREP (S)", INDEX('Data Feed (25C)'!G:G, MATCH(LEFT($A722,6), 'Data Feed (25C)'!$A$1:$A$10, 0) + 1, +1), VLOOKUP($A722,'Data Feed (25C)'!$A$1:$G$10,7,FALSE))))</f>
        <v/>
      </c>
      <c r="F722" s="7"/>
      <c r="G722" s="8"/>
    </row>
    <row r="723">
      <c r="A723" s="9" t="str">
        <f t="shared" ref="A723:A727" si="842">A722</f>
        <v/>
      </c>
      <c r="B723" s="9" t="str">
        <f>IF(ISBLANK(A722),"",LEFT(B722,27)&amp;VALUE(RIGHT(B722,1)+1))</f>
        <v/>
      </c>
      <c r="C723" s="6" t="str">
        <f t="shared" ref="C723:D723" si="841">C722</f>
        <v/>
      </c>
      <c r="D723" s="6" t="str">
        <f t="shared" si="841"/>
        <v/>
      </c>
      <c r="E723" s="10" t="str">
        <f>IF(ISBLANK(A722),"",E722+1)</f>
        <v/>
      </c>
      <c r="F723" s="11" t="str">
        <f t="shared" ref="F723:F727" si="844">F722</f>
        <v/>
      </c>
      <c r="G723" s="8"/>
    </row>
    <row r="724">
      <c r="A724" s="9" t="str">
        <f t="shared" si="842"/>
        <v/>
      </c>
      <c r="B724" s="9" t="str">
        <f>IF(ISBLANK(A722),"",LEFT(B723,27)&amp;VALUE(RIGHT(B723,1)+1))</f>
        <v/>
      </c>
      <c r="C724" s="6" t="str">
        <f t="shared" ref="C724:D724" si="843">C723</f>
        <v/>
      </c>
      <c r="D724" s="6" t="str">
        <f t="shared" si="843"/>
        <v/>
      </c>
      <c r="E724" s="10" t="str">
        <f>IF(ISBLANK(A722),"",E723+1)</f>
        <v/>
      </c>
      <c r="F724" s="11" t="str">
        <f t="shared" si="844"/>
        <v/>
      </c>
      <c r="G724" s="8"/>
    </row>
    <row r="725">
      <c r="A725" s="9" t="str">
        <f t="shared" si="842"/>
        <v/>
      </c>
      <c r="B725" s="9" t="str">
        <f>IF(ISBLANK(A722),"",LEFT(B724,27)&amp;VALUE(RIGHT(B724,1)+1))</f>
        <v/>
      </c>
      <c r="C725" s="6" t="str">
        <f t="shared" ref="C725:D725" si="845">C724</f>
        <v/>
      </c>
      <c r="D725" s="6" t="str">
        <f t="shared" si="845"/>
        <v/>
      </c>
      <c r="E725" s="10" t="str">
        <f>IF(ISBLANK(A722),"",E724+1)</f>
        <v/>
      </c>
      <c r="F725" s="11" t="str">
        <f t="shared" si="844"/>
        <v/>
      </c>
      <c r="G725" s="8"/>
    </row>
    <row r="726">
      <c r="A726" s="9" t="str">
        <f t="shared" si="842"/>
        <v/>
      </c>
      <c r="B726" s="9" t="str">
        <f>IF(ISBLANK(A722),"",LEFT(B725,27)&amp;VALUE(RIGHT(B725,1)+1))</f>
        <v/>
      </c>
      <c r="C726" s="6" t="str">
        <f t="shared" ref="C726:D726" si="846">C725</f>
        <v/>
      </c>
      <c r="D726" s="6" t="str">
        <f t="shared" si="846"/>
        <v/>
      </c>
      <c r="E726" s="10" t="str">
        <f>IF(ISBLANK(A722),"",E725+1)</f>
        <v/>
      </c>
      <c r="F726" s="11" t="str">
        <f t="shared" si="844"/>
        <v/>
      </c>
      <c r="G726" s="8"/>
    </row>
    <row r="727">
      <c r="A727" s="12" t="str">
        <f t="shared" si="842"/>
        <v/>
      </c>
      <c r="B727" s="12" t="str">
        <f>IF(ISBLANK(A722),"",LEFT(B726,27)&amp;VALUE(RIGHT(B726,1)+1))</f>
        <v/>
      </c>
      <c r="C727" s="13" t="str">
        <f t="shared" ref="C727:D727" si="847">C726</f>
        <v/>
      </c>
      <c r="D727" s="13" t="str">
        <f t="shared" si="847"/>
        <v/>
      </c>
      <c r="E727" s="14" t="str">
        <f>IF(ISBLANK(A722),"",E726+1)</f>
        <v/>
      </c>
      <c r="F727" s="15" t="str">
        <f t="shared" si="844"/>
        <v/>
      </c>
      <c r="G727" s="16"/>
    </row>
    <row r="728">
      <c r="A728" s="5"/>
      <c r="B728" s="6" t="str">
        <f t="array" ref="B728">IF(ISBLANK(A728),"",IF(A728="PROREP (L)",VLOOKUP(LEFT($A728,6),'Data Feed (25C)'!$A$1:$G$10,2,FALSE),IF(A728="PROREP (S)", INDEX('Data Feed (25C)'!B:B, MATCH(LEFT($A728,6), 'Data Feed (25C)'!$A$1:$A$10, 0) + 1), VLOOKUP($A728,'Data Feed (25C)'!$A$1:$G$10,2,FALSE))))</f>
        <v/>
      </c>
      <c r="C728" s="6" t="str">
        <f t="array" ref="C728">IF(ISBLANK(A728),"",IF(A728="PROREP (L)",VLOOKUP(LEFT($A728,6),'Data Feed (25C)'!$A$1:$G$10,3,FALSE),IF(A728="PROREP (S)", INDEX('Data Feed (25C)'!C:C, MATCH(LEFT($A728,6), 'Data Feed (25C)'!$A$1:$A$10, 0) + 1, +1), VLOOKUP($A728,'Data Feed (25C)'!$A$1:$G$10,3,FALSE))))</f>
        <v/>
      </c>
      <c r="D728" s="6" t="str">
        <f t="array" ref="D728">IF(ISBLANK(A728),"",IF(A728="PROREP (L)",VLOOKUP(LEFT($A728,6),'Data Feed (25C)'!$A$1:$G$10,4,FALSE),IF(A728="PROREP (S)", INDEX('Data Feed (25C)'!D:D, MATCH(LEFT($A728,6), 'Data Feed (25C)'!$A$1:$A$10, 0) + 1, +1), VLOOKUP($A728,'Data Feed (25C)'!$A$1:$G$10,4,FALSE))))</f>
        <v/>
      </c>
      <c r="E728" s="6" t="str">
        <f t="array" ref="E728">IF(ISBLANK(A728),"",IF(A728="PROREP (L)",VLOOKUP(LEFT($A728,6),'Data Feed (25C)'!$A$1:$G$10,7,FALSE),IF(A728="PROREP (S)", INDEX('Data Feed (25C)'!G:G, MATCH(LEFT($A728,6), 'Data Feed (25C)'!$A$1:$A$10, 0) + 1, +1), VLOOKUP($A728,'Data Feed (25C)'!$A$1:$G$10,7,FALSE))))</f>
        <v/>
      </c>
      <c r="F728" s="7"/>
      <c r="G728" s="8"/>
    </row>
    <row r="729">
      <c r="A729" s="9" t="str">
        <f t="shared" ref="A729:A733" si="849">A728</f>
        <v/>
      </c>
      <c r="B729" s="9" t="str">
        <f>IF(ISBLANK(A728),"",LEFT(B728,27)&amp;VALUE(RIGHT(B728,1)+1))</f>
        <v/>
      </c>
      <c r="C729" s="6" t="str">
        <f t="shared" ref="C729:D729" si="848">C728</f>
        <v/>
      </c>
      <c r="D729" s="6" t="str">
        <f t="shared" si="848"/>
        <v/>
      </c>
      <c r="E729" s="10" t="str">
        <f>IF(ISBLANK(A728),"",E728+1)</f>
        <v/>
      </c>
      <c r="F729" s="11" t="str">
        <f t="shared" ref="F729:F733" si="851">F728</f>
        <v/>
      </c>
      <c r="G729" s="8"/>
    </row>
    <row r="730">
      <c r="A730" s="9" t="str">
        <f t="shared" si="849"/>
        <v/>
      </c>
      <c r="B730" s="9" t="str">
        <f>IF(ISBLANK(A728),"",LEFT(B729,27)&amp;VALUE(RIGHT(B729,1)+1))</f>
        <v/>
      </c>
      <c r="C730" s="6" t="str">
        <f t="shared" ref="C730:D730" si="850">C729</f>
        <v/>
      </c>
      <c r="D730" s="6" t="str">
        <f t="shared" si="850"/>
        <v/>
      </c>
      <c r="E730" s="10" t="str">
        <f>IF(ISBLANK(A728),"",E729+1)</f>
        <v/>
      </c>
      <c r="F730" s="11" t="str">
        <f t="shared" si="851"/>
        <v/>
      </c>
      <c r="G730" s="8"/>
    </row>
    <row r="731">
      <c r="A731" s="9" t="str">
        <f t="shared" si="849"/>
        <v/>
      </c>
      <c r="B731" s="9" t="str">
        <f>IF(ISBLANK(A728),"",LEFT(B730,27)&amp;VALUE(RIGHT(B730,1)+1))</f>
        <v/>
      </c>
      <c r="C731" s="6" t="str">
        <f t="shared" ref="C731:D731" si="852">C730</f>
        <v/>
      </c>
      <c r="D731" s="6" t="str">
        <f t="shared" si="852"/>
        <v/>
      </c>
      <c r="E731" s="10" t="str">
        <f>IF(ISBLANK(A728),"",E730+1)</f>
        <v/>
      </c>
      <c r="F731" s="11" t="str">
        <f t="shared" si="851"/>
        <v/>
      </c>
      <c r="G731" s="8"/>
    </row>
    <row r="732">
      <c r="A732" s="9" t="str">
        <f t="shared" si="849"/>
        <v/>
      </c>
      <c r="B732" s="9" t="str">
        <f>IF(ISBLANK(A728),"",LEFT(B731,27)&amp;VALUE(RIGHT(B731,1)+1))</f>
        <v/>
      </c>
      <c r="C732" s="6" t="str">
        <f t="shared" ref="C732:D732" si="853">C731</f>
        <v/>
      </c>
      <c r="D732" s="6" t="str">
        <f t="shared" si="853"/>
        <v/>
      </c>
      <c r="E732" s="10" t="str">
        <f>IF(ISBLANK(A728),"",E731+1)</f>
        <v/>
      </c>
      <c r="F732" s="11" t="str">
        <f t="shared" si="851"/>
        <v/>
      </c>
      <c r="G732" s="8"/>
    </row>
    <row r="733">
      <c r="A733" s="12" t="str">
        <f t="shared" si="849"/>
        <v/>
      </c>
      <c r="B733" s="12" t="str">
        <f>IF(ISBLANK(A728),"",LEFT(B732,27)&amp;VALUE(RIGHT(B732,1)+1))</f>
        <v/>
      </c>
      <c r="C733" s="13" t="str">
        <f t="shared" ref="C733:D733" si="854">C732</f>
        <v/>
      </c>
      <c r="D733" s="13" t="str">
        <f t="shared" si="854"/>
        <v/>
      </c>
      <c r="E733" s="14" t="str">
        <f>IF(ISBLANK(A728),"",E732+1)</f>
        <v/>
      </c>
      <c r="F733" s="15" t="str">
        <f t="shared" si="851"/>
        <v/>
      </c>
      <c r="G733" s="16"/>
    </row>
    <row r="734">
      <c r="A734" s="5"/>
      <c r="B734" s="6" t="str">
        <f t="array" ref="B734">IF(ISBLANK(A734),"",IF(A734="PROREP (L)",VLOOKUP(LEFT($A734,6),'Data Feed (25C)'!$A$1:$G$10,2,FALSE),IF(A734="PROREP (S)", INDEX('Data Feed (25C)'!B:B, MATCH(LEFT($A734,6), 'Data Feed (25C)'!$A$1:$A$10, 0) + 1), VLOOKUP($A734,'Data Feed (25C)'!$A$1:$G$10,2,FALSE))))</f>
        <v/>
      </c>
      <c r="C734" s="6" t="str">
        <f t="array" ref="C734">IF(ISBLANK(A734),"",IF(A734="PROREP (L)",VLOOKUP(LEFT($A734,6),'Data Feed (25C)'!$A$1:$G$10,3,FALSE),IF(A734="PROREP (S)", INDEX('Data Feed (25C)'!C:C, MATCH(LEFT($A734,6), 'Data Feed (25C)'!$A$1:$A$10, 0) + 1, +1), VLOOKUP($A734,'Data Feed (25C)'!$A$1:$G$10,3,FALSE))))</f>
        <v/>
      </c>
      <c r="D734" s="6" t="str">
        <f t="array" ref="D734">IF(ISBLANK(A734),"",IF(A734="PROREP (L)",VLOOKUP(LEFT($A734,6),'Data Feed (25C)'!$A$1:$G$10,4,FALSE),IF(A734="PROREP (S)", INDEX('Data Feed (25C)'!D:D, MATCH(LEFT($A734,6), 'Data Feed (25C)'!$A$1:$A$10, 0) + 1, +1), VLOOKUP($A734,'Data Feed (25C)'!$A$1:$G$10,4,FALSE))))</f>
        <v/>
      </c>
      <c r="E734" s="6" t="str">
        <f t="array" ref="E734">IF(ISBLANK(A734),"",IF(A734="PROREP (L)",VLOOKUP(LEFT($A734,6),'Data Feed (25C)'!$A$1:$G$10,7,FALSE),IF(A734="PROREP (S)", INDEX('Data Feed (25C)'!G:G, MATCH(LEFT($A734,6), 'Data Feed (25C)'!$A$1:$A$10, 0) + 1, +1), VLOOKUP($A734,'Data Feed (25C)'!$A$1:$G$10,7,FALSE))))</f>
        <v/>
      </c>
      <c r="F734" s="7"/>
      <c r="G734" s="8"/>
    </row>
    <row r="735">
      <c r="A735" s="9" t="str">
        <f t="shared" ref="A735:A739" si="856">A734</f>
        <v/>
      </c>
      <c r="B735" s="9" t="str">
        <f>IF(ISBLANK(A734),"",LEFT(B734,27)&amp;VALUE(RIGHT(B734,1)+1))</f>
        <v/>
      </c>
      <c r="C735" s="6" t="str">
        <f t="shared" ref="C735:D735" si="855">C734</f>
        <v/>
      </c>
      <c r="D735" s="6" t="str">
        <f t="shared" si="855"/>
        <v/>
      </c>
      <c r="E735" s="10" t="str">
        <f>IF(ISBLANK(A734),"",E734+1)</f>
        <v/>
      </c>
      <c r="F735" s="11" t="str">
        <f t="shared" ref="F735:F739" si="858">F734</f>
        <v/>
      </c>
      <c r="G735" s="8"/>
    </row>
    <row r="736">
      <c r="A736" s="9" t="str">
        <f t="shared" si="856"/>
        <v/>
      </c>
      <c r="B736" s="9" t="str">
        <f>IF(ISBLANK(A734),"",LEFT(B735,27)&amp;VALUE(RIGHT(B735,1)+1))</f>
        <v/>
      </c>
      <c r="C736" s="6" t="str">
        <f t="shared" ref="C736:D736" si="857">C735</f>
        <v/>
      </c>
      <c r="D736" s="6" t="str">
        <f t="shared" si="857"/>
        <v/>
      </c>
      <c r="E736" s="10" t="str">
        <f>IF(ISBLANK(A734),"",E735+1)</f>
        <v/>
      </c>
      <c r="F736" s="11" t="str">
        <f t="shared" si="858"/>
        <v/>
      </c>
      <c r="G736" s="8"/>
    </row>
    <row r="737">
      <c r="A737" s="9" t="str">
        <f t="shared" si="856"/>
        <v/>
      </c>
      <c r="B737" s="9" t="str">
        <f>IF(ISBLANK(A734),"",LEFT(B736,27)&amp;VALUE(RIGHT(B736,1)+1))</f>
        <v/>
      </c>
      <c r="C737" s="6" t="str">
        <f t="shared" ref="C737:D737" si="859">C736</f>
        <v/>
      </c>
      <c r="D737" s="6" t="str">
        <f t="shared" si="859"/>
        <v/>
      </c>
      <c r="E737" s="10" t="str">
        <f>IF(ISBLANK(A734),"",E736+1)</f>
        <v/>
      </c>
      <c r="F737" s="11" t="str">
        <f t="shared" si="858"/>
        <v/>
      </c>
      <c r="G737" s="8"/>
    </row>
    <row r="738">
      <c r="A738" s="9" t="str">
        <f t="shared" si="856"/>
        <v/>
      </c>
      <c r="B738" s="9" t="str">
        <f>IF(ISBLANK(A734),"",LEFT(B737,27)&amp;VALUE(RIGHT(B737,1)+1))</f>
        <v/>
      </c>
      <c r="C738" s="6" t="str">
        <f t="shared" ref="C738:D738" si="860">C737</f>
        <v/>
      </c>
      <c r="D738" s="6" t="str">
        <f t="shared" si="860"/>
        <v/>
      </c>
      <c r="E738" s="10" t="str">
        <f>IF(ISBLANK(A734),"",E737+1)</f>
        <v/>
      </c>
      <c r="F738" s="11" t="str">
        <f t="shared" si="858"/>
        <v/>
      </c>
      <c r="G738" s="8"/>
    </row>
    <row r="739">
      <c r="A739" s="12" t="str">
        <f t="shared" si="856"/>
        <v/>
      </c>
      <c r="B739" s="12" t="str">
        <f>IF(ISBLANK(A734),"",LEFT(B738,27)&amp;VALUE(RIGHT(B738,1)+1))</f>
        <v/>
      </c>
      <c r="C739" s="13" t="str">
        <f t="shared" ref="C739:D739" si="861">C738</f>
        <v/>
      </c>
      <c r="D739" s="13" t="str">
        <f t="shared" si="861"/>
        <v/>
      </c>
      <c r="E739" s="14" t="str">
        <f>IF(ISBLANK(A734),"",E738+1)</f>
        <v/>
      </c>
      <c r="F739" s="15" t="str">
        <f t="shared" si="858"/>
        <v/>
      </c>
      <c r="G739" s="16"/>
    </row>
    <row r="740">
      <c r="A740" s="5"/>
      <c r="B740" s="6" t="str">
        <f t="array" ref="B740">IF(ISBLANK(A740),"",IF(A740="PROREP (L)",VLOOKUP(LEFT($A740,6),'Data Feed (25C)'!$A$1:$G$10,2,FALSE),IF(A740="PROREP (S)", INDEX('Data Feed (25C)'!B:B, MATCH(LEFT($A740,6), 'Data Feed (25C)'!$A$1:$A$10, 0) + 1), VLOOKUP($A740,'Data Feed (25C)'!$A$1:$G$10,2,FALSE))))</f>
        <v/>
      </c>
      <c r="C740" s="6" t="str">
        <f t="array" ref="C740">IF(ISBLANK(A740),"",IF(A740="PROREP (L)",VLOOKUP(LEFT($A740,6),'Data Feed (25C)'!$A$1:$G$10,3,FALSE),IF(A740="PROREP (S)", INDEX('Data Feed (25C)'!C:C, MATCH(LEFT($A740,6), 'Data Feed (25C)'!$A$1:$A$10, 0) + 1, +1), VLOOKUP($A740,'Data Feed (25C)'!$A$1:$G$10,3,FALSE))))</f>
        <v/>
      </c>
      <c r="D740" s="6" t="str">
        <f t="array" ref="D740">IF(ISBLANK(A740),"",IF(A740="PROREP (L)",VLOOKUP(LEFT($A740,6),'Data Feed (25C)'!$A$1:$G$10,4,FALSE),IF(A740="PROREP (S)", INDEX('Data Feed (25C)'!D:D, MATCH(LEFT($A740,6), 'Data Feed (25C)'!$A$1:$A$10, 0) + 1, +1), VLOOKUP($A740,'Data Feed (25C)'!$A$1:$G$10,4,FALSE))))</f>
        <v/>
      </c>
      <c r="E740" s="6" t="str">
        <f t="array" ref="E740">IF(ISBLANK(A740),"",IF(A740="PROREP (L)",VLOOKUP(LEFT($A740,6),'Data Feed (25C)'!$A$1:$G$10,7,FALSE),IF(A740="PROREP (S)", INDEX('Data Feed (25C)'!G:G, MATCH(LEFT($A740,6), 'Data Feed (25C)'!$A$1:$A$10, 0) + 1, +1), VLOOKUP($A740,'Data Feed (25C)'!$A$1:$G$10,7,FALSE))))</f>
        <v/>
      </c>
      <c r="F740" s="7"/>
      <c r="G740" s="8"/>
    </row>
    <row r="741">
      <c r="A741" s="9" t="str">
        <f t="shared" ref="A741:A745" si="863">A740</f>
        <v/>
      </c>
      <c r="B741" s="9" t="str">
        <f>IF(ISBLANK(A740),"",LEFT(B740,27)&amp;VALUE(RIGHT(B740,1)+1))</f>
        <v/>
      </c>
      <c r="C741" s="6" t="str">
        <f t="shared" ref="C741:D741" si="862">C740</f>
        <v/>
      </c>
      <c r="D741" s="6" t="str">
        <f t="shared" si="862"/>
        <v/>
      </c>
      <c r="E741" s="10" t="str">
        <f>IF(ISBLANK(A740),"",E740+1)</f>
        <v/>
      </c>
      <c r="F741" s="11" t="str">
        <f t="shared" ref="F741:F745" si="865">F740</f>
        <v/>
      </c>
      <c r="G741" s="8"/>
    </row>
    <row r="742">
      <c r="A742" s="9" t="str">
        <f t="shared" si="863"/>
        <v/>
      </c>
      <c r="B742" s="9" t="str">
        <f>IF(ISBLANK(A740),"",LEFT(B741,27)&amp;VALUE(RIGHT(B741,1)+1))</f>
        <v/>
      </c>
      <c r="C742" s="6" t="str">
        <f t="shared" ref="C742:D742" si="864">C741</f>
        <v/>
      </c>
      <c r="D742" s="6" t="str">
        <f t="shared" si="864"/>
        <v/>
      </c>
      <c r="E742" s="10" t="str">
        <f>IF(ISBLANK(A740),"",E741+1)</f>
        <v/>
      </c>
      <c r="F742" s="11" t="str">
        <f t="shared" si="865"/>
        <v/>
      </c>
      <c r="G742" s="8"/>
    </row>
    <row r="743">
      <c r="A743" s="9" t="str">
        <f t="shared" si="863"/>
        <v/>
      </c>
      <c r="B743" s="9" t="str">
        <f>IF(ISBLANK(A740),"",LEFT(B742,27)&amp;VALUE(RIGHT(B742,1)+1))</f>
        <v/>
      </c>
      <c r="C743" s="6" t="str">
        <f t="shared" ref="C743:D743" si="866">C742</f>
        <v/>
      </c>
      <c r="D743" s="6" t="str">
        <f t="shared" si="866"/>
        <v/>
      </c>
      <c r="E743" s="10" t="str">
        <f>IF(ISBLANK(A740),"",E742+1)</f>
        <v/>
      </c>
      <c r="F743" s="11" t="str">
        <f t="shared" si="865"/>
        <v/>
      </c>
      <c r="G743" s="8"/>
    </row>
    <row r="744">
      <c r="A744" s="9" t="str">
        <f t="shared" si="863"/>
        <v/>
      </c>
      <c r="B744" s="9" t="str">
        <f>IF(ISBLANK(A740),"",LEFT(B743,27)&amp;VALUE(RIGHT(B743,1)+1))</f>
        <v/>
      </c>
      <c r="C744" s="6" t="str">
        <f t="shared" ref="C744:D744" si="867">C743</f>
        <v/>
      </c>
      <c r="D744" s="6" t="str">
        <f t="shared" si="867"/>
        <v/>
      </c>
      <c r="E744" s="10" t="str">
        <f>IF(ISBLANK(A740),"",E743+1)</f>
        <v/>
      </c>
      <c r="F744" s="11" t="str">
        <f t="shared" si="865"/>
        <v/>
      </c>
      <c r="G744" s="8"/>
    </row>
    <row r="745">
      <c r="A745" s="12" t="str">
        <f t="shared" si="863"/>
        <v/>
      </c>
      <c r="B745" s="12" t="str">
        <f>IF(ISBLANK(A740),"",LEFT(B744,27)&amp;VALUE(RIGHT(B744,1)+1))</f>
        <v/>
      </c>
      <c r="C745" s="13" t="str">
        <f t="shared" ref="C745:D745" si="868">C744</f>
        <v/>
      </c>
      <c r="D745" s="13" t="str">
        <f t="shared" si="868"/>
        <v/>
      </c>
      <c r="E745" s="14" t="str">
        <f>IF(ISBLANK(A740),"",E744+1)</f>
        <v/>
      </c>
      <c r="F745" s="15" t="str">
        <f t="shared" si="865"/>
        <v/>
      </c>
      <c r="G745" s="16"/>
    </row>
    <row r="746">
      <c r="A746" s="5"/>
      <c r="B746" s="6" t="str">
        <f t="array" ref="B746">IF(ISBLANK(A746),"",IF(A746="PROREP (L)",VLOOKUP(LEFT($A746,6),'Data Feed (25C)'!$A$1:$G$10,2,FALSE),IF(A746="PROREP (S)", INDEX('Data Feed (25C)'!B:B, MATCH(LEFT($A746,6), 'Data Feed (25C)'!$A$1:$A$10, 0) + 1), VLOOKUP($A746,'Data Feed (25C)'!$A$1:$G$10,2,FALSE))))</f>
        <v/>
      </c>
      <c r="C746" s="6" t="str">
        <f t="array" ref="C746">IF(ISBLANK(A746),"",IF(A746="PROREP (L)",VLOOKUP(LEFT($A746,6),'Data Feed (25C)'!$A$1:$G$10,3,FALSE),IF(A746="PROREP (S)", INDEX('Data Feed (25C)'!C:C, MATCH(LEFT($A746,6), 'Data Feed (25C)'!$A$1:$A$10, 0) + 1, +1), VLOOKUP($A746,'Data Feed (25C)'!$A$1:$G$10,3,FALSE))))</f>
        <v/>
      </c>
      <c r="D746" s="6" t="str">
        <f t="array" ref="D746">IF(ISBLANK(A746),"",IF(A746="PROREP (L)",VLOOKUP(LEFT($A746,6),'Data Feed (25C)'!$A$1:$G$10,4,FALSE),IF(A746="PROREP (S)", INDEX('Data Feed (25C)'!D:D, MATCH(LEFT($A746,6), 'Data Feed (25C)'!$A$1:$A$10, 0) + 1, +1), VLOOKUP($A746,'Data Feed (25C)'!$A$1:$G$10,4,FALSE))))</f>
        <v/>
      </c>
      <c r="E746" s="6" t="str">
        <f t="array" ref="E746">IF(ISBLANK(A746),"",IF(A746="PROREP (L)",VLOOKUP(LEFT($A746,6),'Data Feed (25C)'!$A$1:$G$10,7,FALSE),IF(A746="PROREP (S)", INDEX('Data Feed (25C)'!G:G, MATCH(LEFT($A746,6), 'Data Feed (25C)'!$A$1:$A$10, 0) + 1, +1), VLOOKUP($A746,'Data Feed (25C)'!$A$1:$G$10,7,FALSE))))</f>
        <v/>
      </c>
      <c r="F746" s="7"/>
      <c r="G746" s="8"/>
    </row>
    <row r="747">
      <c r="A747" s="9" t="str">
        <f t="shared" ref="A747:A751" si="870">A746</f>
        <v/>
      </c>
      <c r="B747" s="9" t="str">
        <f>IF(ISBLANK(A746),"",LEFT(B746,27)&amp;VALUE(RIGHT(B746,1)+1))</f>
        <v/>
      </c>
      <c r="C747" s="6" t="str">
        <f t="shared" ref="C747:D747" si="869">C746</f>
        <v/>
      </c>
      <c r="D747" s="6" t="str">
        <f t="shared" si="869"/>
        <v/>
      </c>
      <c r="E747" s="10" t="str">
        <f>IF(ISBLANK(A746),"",E746+1)</f>
        <v/>
      </c>
      <c r="F747" s="11" t="str">
        <f t="shared" ref="F747:F751" si="872">F746</f>
        <v/>
      </c>
      <c r="G747" s="8"/>
    </row>
    <row r="748">
      <c r="A748" s="9" t="str">
        <f t="shared" si="870"/>
        <v/>
      </c>
      <c r="B748" s="9" t="str">
        <f>IF(ISBLANK(A746),"",LEFT(B747,27)&amp;VALUE(RIGHT(B747,1)+1))</f>
        <v/>
      </c>
      <c r="C748" s="6" t="str">
        <f t="shared" ref="C748:D748" si="871">C747</f>
        <v/>
      </c>
      <c r="D748" s="6" t="str">
        <f t="shared" si="871"/>
        <v/>
      </c>
      <c r="E748" s="10" t="str">
        <f>IF(ISBLANK(A746),"",E747+1)</f>
        <v/>
      </c>
      <c r="F748" s="11" t="str">
        <f t="shared" si="872"/>
        <v/>
      </c>
      <c r="G748" s="8"/>
    </row>
    <row r="749">
      <c r="A749" s="9" t="str">
        <f t="shared" si="870"/>
        <v/>
      </c>
      <c r="B749" s="9" t="str">
        <f>IF(ISBLANK(A746),"",LEFT(B748,27)&amp;VALUE(RIGHT(B748,1)+1))</f>
        <v/>
      </c>
      <c r="C749" s="6" t="str">
        <f t="shared" ref="C749:D749" si="873">C748</f>
        <v/>
      </c>
      <c r="D749" s="6" t="str">
        <f t="shared" si="873"/>
        <v/>
      </c>
      <c r="E749" s="10" t="str">
        <f>IF(ISBLANK(A746),"",E748+1)</f>
        <v/>
      </c>
      <c r="F749" s="11" t="str">
        <f t="shared" si="872"/>
        <v/>
      </c>
      <c r="G749" s="8"/>
    </row>
    <row r="750">
      <c r="A750" s="9" t="str">
        <f t="shared" si="870"/>
        <v/>
      </c>
      <c r="B750" s="9" t="str">
        <f>IF(ISBLANK(A746),"",LEFT(B749,27)&amp;VALUE(RIGHT(B749,1)+1))</f>
        <v/>
      </c>
      <c r="C750" s="6" t="str">
        <f t="shared" ref="C750:D750" si="874">C749</f>
        <v/>
      </c>
      <c r="D750" s="6" t="str">
        <f t="shared" si="874"/>
        <v/>
      </c>
      <c r="E750" s="10" t="str">
        <f>IF(ISBLANK(A746),"",E749+1)</f>
        <v/>
      </c>
      <c r="F750" s="11" t="str">
        <f t="shared" si="872"/>
        <v/>
      </c>
      <c r="G750" s="8"/>
    </row>
    <row r="751">
      <c r="A751" s="12" t="str">
        <f t="shared" si="870"/>
        <v/>
      </c>
      <c r="B751" s="12" t="str">
        <f>IF(ISBLANK(A746),"",LEFT(B750,27)&amp;VALUE(RIGHT(B750,1)+1))</f>
        <v/>
      </c>
      <c r="C751" s="13" t="str">
        <f t="shared" ref="C751:D751" si="875">C750</f>
        <v/>
      </c>
      <c r="D751" s="13" t="str">
        <f t="shared" si="875"/>
        <v/>
      </c>
      <c r="E751" s="14" t="str">
        <f>IF(ISBLANK(A746),"",E750+1)</f>
        <v/>
      </c>
      <c r="F751" s="15" t="str">
        <f t="shared" si="872"/>
        <v/>
      </c>
      <c r="G751" s="16"/>
    </row>
    <row r="752">
      <c r="A752" s="5"/>
      <c r="B752" s="6" t="str">
        <f t="array" ref="B752">IF(ISBLANK(A752),"",IF(A752="PROREP (L)",VLOOKUP(LEFT($A752,6),'Data Feed (25C)'!$A$1:$G$10,2,FALSE),IF(A752="PROREP (S)", INDEX('Data Feed (25C)'!B:B, MATCH(LEFT($A752,6), 'Data Feed (25C)'!$A$1:$A$10, 0) + 1), VLOOKUP($A752,'Data Feed (25C)'!$A$1:$G$10,2,FALSE))))</f>
        <v/>
      </c>
      <c r="C752" s="6" t="str">
        <f t="array" ref="C752">IF(ISBLANK(A752),"",IF(A752="PROREP (L)",VLOOKUP(LEFT($A752,6),'Data Feed (25C)'!$A$1:$G$10,3,FALSE),IF(A752="PROREP (S)", INDEX('Data Feed (25C)'!C:C, MATCH(LEFT($A752,6), 'Data Feed (25C)'!$A$1:$A$10, 0) + 1, +1), VLOOKUP($A752,'Data Feed (25C)'!$A$1:$G$10,3,FALSE))))</f>
        <v/>
      </c>
      <c r="D752" s="6" t="str">
        <f t="array" ref="D752">IF(ISBLANK(A752),"",IF(A752="PROREP (L)",VLOOKUP(LEFT($A752,6),'Data Feed (25C)'!$A$1:$G$10,4,FALSE),IF(A752="PROREP (S)", INDEX('Data Feed (25C)'!D:D, MATCH(LEFT($A752,6), 'Data Feed (25C)'!$A$1:$A$10, 0) + 1, +1), VLOOKUP($A752,'Data Feed (25C)'!$A$1:$G$10,4,FALSE))))</f>
        <v/>
      </c>
      <c r="E752" s="6" t="str">
        <f t="array" ref="E752">IF(ISBLANK(A752),"",IF(A752="PROREP (L)",VLOOKUP(LEFT($A752,6),'Data Feed (25C)'!$A$1:$G$10,7,FALSE),IF(A752="PROREP (S)", INDEX('Data Feed (25C)'!G:G, MATCH(LEFT($A752,6), 'Data Feed (25C)'!$A$1:$A$10, 0) + 1, +1), VLOOKUP($A752,'Data Feed (25C)'!$A$1:$G$10,7,FALSE))))</f>
        <v/>
      </c>
      <c r="F752" s="7"/>
      <c r="G752" s="8"/>
    </row>
    <row r="753">
      <c r="A753" s="9" t="str">
        <f t="shared" ref="A753:A757" si="877">A752</f>
        <v/>
      </c>
      <c r="B753" s="9" t="str">
        <f>IF(ISBLANK(A752),"",LEFT(B752,27)&amp;VALUE(RIGHT(B752,1)+1))</f>
        <v/>
      </c>
      <c r="C753" s="6" t="str">
        <f t="shared" ref="C753:D753" si="876">C752</f>
        <v/>
      </c>
      <c r="D753" s="6" t="str">
        <f t="shared" si="876"/>
        <v/>
      </c>
      <c r="E753" s="10" t="str">
        <f>IF(ISBLANK(A752),"",E752+1)</f>
        <v/>
      </c>
      <c r="F753" s="11" t="str">
        <f t="shared" ref="F753:F757" si="879">F752</f>
        <v/>
      </c>
      <c r="G753" s="8"/>
    </row>
    <row r="754">
      <c r="A754" s="9" t="str">
        <f t="shared" si="877"/>
        <v/>
      </c>
      <c r="B754" s="9" t="str">
        <f>IF(ISBLANK(A752),"",LEFT(B753,27)&amp;VALUE(RIGHT(B753,1)+1))</f>
        <v/>
      </c>
      <c r="C754" s="6" t="str">
        <f t="shared" ref="C754:D754" si="878">C753</f>
        <v/>
      </c>
      <c r="D754" s="6" t="str">
        <f t="shared" si="878"/>
        <v/>
      </c>
      <c r="E754" s="10" t="str">
        <f>IF(ISBLANK(A752),"",E753+1)</f>
        <v/>
      </c>
      <c r="F754" s="11" t="str">
        <f t="shared" si="879"/>
        <v/>
      </c>
      <c r="G754" s="8"/>
    </row>
    <row r="755">
      <c r="A755" s="9" t="str">
        <f t="shared" si="877"/>
        <v/>
      </c>
      <c r="B755" s="9" t="str">
        <f>IF(ISBLANK(A752),"",LEFT(B754,27)&amp;VALUE(RIGHT(B754,1)+1))</f>
        <v/>
      </c>
      <c r="C755" s="6" t="str">
        <f t="shared" ref="C755:D755" si="880">C754</f>
        <v/>
      </c>
      <c r="D755" s="6" t="str">
        <f t="shared" si="880"/>
        <v/>
      </c>
      <c r="E755" s="10" t="str">
        <f>IF(ISBLANK(A752),"",E754+1)</f>
        <v/>
      </c>
      <c r="F755" s="11" t="str">
        <f t="shared" si="879"/>
        <v/>
      </c>
      <c r="G755" s="8"/>
    </row>
    <row r="756">
      <c r="A756" s="9" t="str">
        <f t="shared" si="877"/>
        <v/>
      </c>
      <c r="B756" s="9" t="str">
        <f>IF(ISBLANK(A752),"",LEFT(B755,27)&amp;VALUE(RIGHT(B755,1)+1))</f>
        <v/>
      </c>
      <c r="C756" s="6" t="str">
        <f t="shared" ref="C756:D756" si="881">C755</f>
        <v/>
      </c>
      <c r="D756" s="6" t="str">
        <f t="shared" si="881"/>
        <v/>
      </c>
      <c r="E756" s="10" t="str">
        <f>IF(ISBLANK(A752),"",E755+1)</f>
        <v/>
      </c>
      <c r="F756" s="11" t="str">
        <f t="shared" si="879"/>
        <v/>
      </c>
      <c r="G756" s="8"/>
    </row>
    <row r="757">
      <c r="A757" s="12" t="str">
        <f t="shared" si="877"/>
        <v/>
      </c>
      <c r="B757" s="12" t="str">
        <f>IF(ISBLANK(A752),"",LEFT(B756,27)&amp;VALUE(RIGHT(B756,1)+1))</f>
        <v/>
      </c>
      <c r="C757" s="13" t="str">
        <f t="shared" ref="C757:D757" si="882">C756</f>
        <v/>
      </c>
      <c r="D757" s="13" t="str">
        <f t="shared" si="882"/>
        <v/>
      </c>
      <c r="E757" s="14" t="str">
        <f>IF(ISBLANK(A752),"",E756+1)</f>
        <v/>
      </c>
      <c r="F757" s="15" t="str">
        <f t="shared" si="879"/>
        <v/>
      </c>
      <c r="G757" s="16"/>
    </row>
    <row r="758">
      <c r="A758" s="5"/>
      <c r="B758" s="6" t="str">
        <f t="array" ref="B758">IF(ISBLANK(A758),"",IF(A758="PROREP (L)",VLOOKUP(LEFT($A758,6),'Data Feed (25C)'!$A$1:$G$10,2,FALSE),IF(A758="PROREP (S)", INDEX('Data Feed (25C)'!B:B, MATCH(LEFT($A758,6), 'Data Feed (25C)'!$A$1:$A$10, 0) + 1), VLOOKUP($A758,'Data Feed (25C)'!$A$1:$G$10,2,FALSE))))</f>
        <v/>
      </c>
      <c r="C758" s="6" t="str">
        <f t="array" ref="C758">IF(ISBLANK(A758),"",IF(A758="PROREP (L)",VLOOKUP(LEFT($A758,6),'Data Feed (25C)'!$A$1:$G$10,3,FALSE),IF(A758="PROREP (S)", INDEX('Data Feed (25C)'!C:C, MATCH(LEFT($A758,6), 'Data Feed (25C)'!$A$1:$A$10, 0) + 1, +1), VLOOKUP($A758,'Data Feed (25C)'!$A$1:$G$10,3,FALSE))))</f>
        <v/>
      </c>
      <c r="D758" s="6" t="str">
        <f t="array" ref="D758">IF(ISBLANK(A758),"",IF(A758="PROREP (L)",VLOOKUP(LEFT($A758,6),'Data Feed (25C)'!$A$1:$G$10,4,FALSE),IF(A758="PROREP (S)", INDEX('Data Feed (25C)'!D:D, MATCH(LEFT($A758,6), 'Data Feed (25C)'!$A$1:$A$10, 0) + 1, +1), VLOOKUP($A758,'Data Feed (25C)'!$A$1:$G$10,4,FALSE))))</f>
        <v/>
      </c>
      <c r="E758" s="6" t="str">
        <f t="array" ref="E758">IF(ISBLANK(A758),"",IF(A758="PROREP (L)",VLOOKUP(LEFT($A758,6),'Data Feed (25C)'!$A$1:$G$10,7,FALSE),IF(A758="PROREP (S)", INDEX('Data Feed (25C)'!G:G, MATCH(LEFT($A758,6), 'Data Feed (25C)'!$A$1:$A$10, 0) + 1, +1), VLOOKUP($A758,'Data Feed (25C)'!$A$1:$G$10,7,FALSE))))</f>
        <v/>
      </c>
      <c r="F758" s="7"/>
      <c r="G758" s="8"/>
    </row>
    <row r="759">
      <c r="A759" s="9" t="str">
        <f t="shared" ref="A759:A763" si="884">A758</f>
        <v/>
      </c>
      <c r="B759" s="9" t="str">
        <f>IF(ISBLANK(A758),"",LEFT(B758,27)&amp;VALUE(RIGHT(B758,1)+1))</f>
        <v/>
      </c>
      <c r="C759" s="6" t="str">
        <f t="shared" ref="C759:D759" si="883">C758</f>
        <v/>
      </c>
      <c r="D759" s="6" t="str">
        <f t="shared" si="883"/>
        <v/>
      </c>
      <c r="E759" s="10" t="str">
        <f>IF(ISBLANK(A758),"",E758+1)</f>
        <v/>
      </c>
      <c r="F759" s="11" t="str">
        <f t="shared" ref="F759:F763" si="886">F758</f>
        <v/>
      </c>
      <c r="G759" s="8"/>
    </row>
    <row r="760">
      <c r="A760" s="9" t="str">
        <f t="shared" si="884"/>
        <v/>
      </c>
      <c r="B760" s="9" t="str">
        <f>IF(ISBLANK(A758),"",LEFT(B759,27)&amp;VALUE(RIGHT(B759,1)+1))</f>
        <v/>
      </c>
      <c r="C760" s="6" t="str">
        <f t="shared" ref="C760:D760" si="885">C759</f>
        <v/>
      </c>
      <c r="D760" s="6" t="str">
        <f t="shared" si="885"/>
        <v/>
      </c>
      <c r="E760" s="10" t="str">
        <f>IF(ISBLANK(A758),"",E759+1)</f>
        <v/>
      </c>
      <c r="F760" s="11" t="str">
        <f t="shared" si="886"/>
        <v/>
      </c>
      <c r="G760" s="8"/>
    </row>
    <row r="761">
      <c r="A761" s="9" t="str">
        <f t="shared" si="884"/>
        <v/>
      </c>
      <c r="B761" s="9" t="str">
        <f>IF(ISBLANK(A758),"",LEFT(B760,27)&amp;VALUE(RIGHT(B760,1)+1))</f>
        <v/>
      </c>
      <c r="C761" s="6" t="str">
        <f t="shared" ref="C761:D761" si="887">C760</f>
        <v/>
      </c>
      <c r="D761" s="6" t="str">
        <f t="shared" si="887"/>
        <v/>
      </c>
      <c r="E761" s="10" t="str">
        <f>IF(ISBLANK(A758),"",E760+1)</f>
        <v/>
      </c>
      <c r="F761" s="11" t="str">
        <f t="shared" si="886"/>
        <v/>
      </c>
      <c r="G761" s="8"/>
    </row>
    <row r="762">
      <c r="A762" s="9" t="str">
        <f t="shared" si="884"/>
        <v/>
      </c>
      <c r="B762" s="9" t="str">
        <f>IF(ISBLANK(A758),"",LEFT(B761,27)&amp;VALUE(RIGHT(B761,1)+1))</f>
        <v/>
      </c>
      <c r="C762" s="6" t="str">
        <f t="shared" ref="C762:D762" si="888">C761</f>
        <v/>
      </c>
      <c r="D762" s="6" t="str">
        <f t="shared" si="888"/>
        <v/>
      </c>
      <c r="E762" s="10" t="str">
        <f>IF(ISBLANK(A758),"",E761+1)</f>
        <v/>
      </c>
      <c r="F762" s="11" t="str">
        <f t="shared" si="886"/>
        <v/>
      </c>
      <c r="G762" s="8"/>
    </row>
    <row r="763">
      <c r="A763" s="12" t="str">
        <f t="shared" si="884"/>
        <v/>
      </c>
      <c r="B763" s="12" t="str">
        <f>IF(ISBLANK(A758),"",LEFT(B762,27)&amp;VALUE(RIGHT(B762,1)+1))</f>
        <v/>
      </c>
      <c r="C763" s="13" t="str">
        <f t="shared" ref="C763:D763" si="889">C762</f>
        <v/>
      </c>
      <c r="D763" s="13" t="str">
        <f t="shared" si="889"/>
        <v/>
      </c>
      <c r="E763" s="14" t="str">
        <f>IF(ISBLANK(A758),"",E762+1)</f>
        <v/>
      </c>
      <c r="F763" s="15" t="str">
        <f t="shared" si="886"/>
        <v/>
      </c>
      <c r="G763" s="16"/>
    </row>
    <row r="764">
      <c r="A764" s="5"/>
      <c r="B764" s="6" t="str">
        <f t="array" ref="B764">IF(ISBLANK(A764),"",IF(A764="PROREP (L)",VLOOKUP(LEFT($A764,6),'Data Feed (25C)'!$A$1:$G$10,2,FALSE),IF(A764="PROREP (S)", INDEX('Data Feed (25C)'!B:B, MATCH(LEFT($A764,6), 'Data Feed (25C)'!$A$1:$A$10, 0) + 1), VLOOKUP($A764,'Data Feed (25C)'!$A$1:$G$10,2,FALSE))))</f>
        <v/>
      </c>
      <c r="C764" s="6" t="str">
        <f t="array" ref="C764">IF(ISBLANK(A764),"",IF(A764="PROREP (L)",VLOOKUP(LEFT($A764,6),'Data Feed (25C)'!$A$1:$G$10,3,FALSE),IF(A764="PROREP (S)", INDEX('Data Feed (25C)'!C:C, MATCH(LEFT($A764,6), 'Data Feed (25C)'!$A$1:$A$10, 0) + 1, +1), VLOOKUP($A764,'Data Feed (25C)'!$A$1:$G$10,3,FALSE))))</f>
        <v/>
      </c>
      <c r="D764" s="6" t="str">
        <f t="array" ref="D764">IF(ISBLANK(A764),"",IF(A764="PROREP (L)",VLOOKUP(LEFT($A764,6),'Data Feed (25C)'!$A$1:$G$10,4,FALSE),IF(A764="PROREP (S)", INDEX('Data Feed (25C)'!D:D, MATCH(LEFT($A764,6), 'Data Feed (25C)'!$A$1:$A$10, 0) + 1, +1), VLOOKUP($A764,'Data Feed (25C)'!$A$1:$G$10,4,FALSE))))</f>
        <v/>
      </c>
      <c r="E764" s="6" t="str">
        <f t="array" ref="E764">IF(ISBLANK(A764),"",IF(A764="PROREP (L)",VLOOKUP(LEFT($A764,6),'Data Feed (25C)'!$A$1:$G$10,7,FALSE),IF(A764="PROREP (S)", INDEX('Data Feed (25C)'!G:G, MATCH(LEFT($A764,6), 'Data Feed (25C)'!$A$1:$A$10, 0) + 1, +1), VLOOKUP($A764,'Data Feed (25C)'!$A$1:$G$10,7,FALSE))))</f>
        <v/>
      </c>
      <c r="F764" s="7"/>
      <c r="G764" s="8"/>
    </row>
    <row r="765">
      <c r="A765" s="9" t="str">
        <f t="shared" ref="A765:A769" si="891">A764</f>
        <v/>
      </c>
      <c r="B765" s="9" t="str">
        <f>IF(ISBLANK(A764),"",LEFT(B764,27)&amp;VALUE(RIGHT(B764,1)+1))</f>
        <v/>
      </c>
      <c r="C765" s="6" t="str">
        <f t="shared" ref="C765:D765" si="890">C764</f>
        <v/>
      </c>
      <c r="D765" s="6" t="str">
        <f t="shared" si="890"/>
        <v/>
      </c>
      <c r="E765" s="10" t="str">
        <f>IF(ISBLANK(A764),"",E764+1)</f>
        <v/>
      </c>
      <c r="F765" s="11" t="str">
        <f t="shared" ref="F765:F769" si="893">F764</f>
        <v/>
      </c>
      <c r="G765" s="8"/>
    </row>
    <row r="766">
      <c r="A766" s="9" t="str">
        <f t="shared" si="891"/>
        <v/>
      </c>
      <c r="B766" s="9" t="str">
        <f>IF(ISBLANK(A764),"",LEFT(B765,27)&amp;VALUE(RIGHT(B765,1)+1))</f>
        <v/>
      </c>
      <c r="C766" s="6" t="str">
        <f t="shared" ref="C766:D766" si="892">C765</f>
        <v/>
      </c>
      <c r="D766" s="6" t="str">
        <f t="shared" si="892"/>
        <v/>
      </c>
      <c r="E766" s="10" t="str">
        <f>IF(ISBLANK(A764),"",E765+1)</f>
        <v/>
      </c>
      <c r="F766" s="11" t="str">
        <f t="shared" si="893"/>
        <v/>
      </c>
      <c r="G766" s="8"/>
    </row>
    <row r="767">
      <c r="A767" s="9" t="str">
        <f t="shared" si="891"/>
        <v/>
      </c>
      <c r="B767" s="9" t="str">
        <f>IF(ISBLANK(A764),"",LEFT(B766,27)&amp;VALUE(RIGHT(B766,1)+1))</f>
        <v/>
      </c>
      <c r="C767" s="6" t="str">
        <f t="shared" ref="C767:D767" si="894">C766</f>
        <v/>
      </c>
      <c r="D767" s="6" t="str">
        <f t="shared" si="894"/>
        <v/>
      </c>
      <c r="E767" s="10" t="str">
        <f>IF(ISBLANK(A764),"",E766+1)</f>
        <v/>
      </c>
      <c r="F767" s="11" t="str">
        <f t="shared" si="893"/>
        <v/>
      </c>
      <c r="G767" s="8"/>
    </row>
    <row r="768">
      <c r="A768" s="9" t="str">
        <f t="shared" si="891"/>
        <v/>
      </c>
      <c r="B768" s="9" t="str">
        <f>IF(ISBLANK(A764),"",LEFT(B767,27)&amp;VALUE(RIGHT(B767,1)+1))</f>
        <v/>
      </c>
      <c r="C768" s="6" t="str">
        <f t="shared" ref="C768:D768" si="895">C767</f>
        <v/>
      </c>
      <c r="D768" s="6" t="str">
        <f t="shared" si="895"/>
        <v/>
      </c>
      <c r="E768" s="10" t="str">
        <f>IF(ISBLANK(A764),"",E767+1)</f>
        <v/>
      </c>
      <c r="F768" s="11" t="str">
        <f t="shared" si="893"/>
        <v/>
      </c>
      <c r="G768" s="8"/>
    </row>
    <row r="769">
      <c r="A769" s="12" t="str">
        <f t="shared" si="891"/>
        <v/>
      </c>
      <c r="B769" s="12" t="str">
        <f>IF(ISBLANK(A764),"",LEFT(B768,27)&amp;VALUE(RIGHT(B768,1)+1))</f>
        <v/>
      </c>
      <c r="C769" s="13" t="str">
        <f t="shared" ref="C769:D769" si="896">C768</f>
        <v/>
      </c>
      <c r="D769" s="13" t="str">
        <f t="shared" si="896"/>
        <v/>
      </c>
      <c r="E769" s="14" t="str">
        <f>IF(ISBLANK(A764),"",E768+1)</f>
        <v/>
      </c>
      <c r="F769" s="15" t="str">
        <f t="shared" si="893"/>
        <v/>
      </c>
      <c r="G769" s="16"/>
    </row>
    <row r="770">
      <c r="A770" s="5"/>
      <c r="B770" s="6" t="str">
        <f t="array" ref="B770">IF(ISBLANK(A770),"",IF(A770="PROREP (L)",VLOOKUP(LEFT($A770,6),'Data Feed (25C)'!$A$1:$G$10,2,FALSE),IF(A770="PROREP (S)", INDEX('Data Feed (25C)'!B:B, MATCH(LEFT($A770,6), 'Data Feed (25C)'!$A$1:$A$10, 0) + 1), VLOOKUP($A770,'Data Feed (25C)'!$A$1:$G$10,2,FALSE))))</f>
        <v/>
      </c>
      <c r="C770" s="6" t="str">
        <f t="array" ref="C770">IF(ISBLANK(A770),"",IF(A770="PROREP (L)",VLOOKUP(LEFT($A770,6),'Data Feed (25C)'!$A$1:$G$10,3,FALSE),IF(A770="PROREP (S)", INDEX('Data Feed (25C)'!C:C, MATCH(LEFT($A770,6), 'Data Feed (25C)'!$A$1:$A$10, 0) + 1, +1), VLOOKUP($A770,'Data Feed (25C)'!$A$1:$G$10,3,FALSE))))</f>
        <v/>
      </c>
      <c r="D770" s="6" t="str">
        <f t="array" ref="D770">IF(ISBLANK(A770),"",IF(A770="PROREP (L)",VLOOKUP(LEFT($A770,6),'Data Feed (25C)'!$A$1:$G$10,4,FALSE),IF(A770="PROREP (S)", INDEX('Data Feed (25C)'!D:D, MATCH(LEFT($A770,6), 'Data Feed (25C)'!$A$1:$A$10, 0) + 1, +1), VLOOKUP($A770,'Data Feed (25C)'!$A$1:$G$10,4,FALSE))))</f>
        <v/>
      </c>
      <c r="E770" s="6" t="str">
        <f t="array" ref="E770">IF(ISBLANK(A770),"",IF(A770="PROREP (L)",VLOOKUP(LEFT($A770,6),'Data Feed (25C)'!$A$1:$G$10,7,FALSE),IF(A770="PROREP (S)", INDEX('Data Feed (25C)'!G:G, MATCH(LEFT($A770,6), 'Data Feed (25C)'!$A$1:$A$10, 0) + 1, +1), VLOOKUP($A770,'Data Feed (25C)'!$A$1:$G$10,7,FALSE))))</f>
        <v/>
      </c>
      <c r="F770" s="7"/>
      <c r="G770" s="8"/>
    </row>
    <row r="771">
      <c r="A771" s="9" t="str">
        <f t="shared" ref="A771:A775" si="898">A770</f>
        <v/>
      </c>
      <c r="B771" s="9" t="str">
        <f>IF(ISBLANK(A770),"",LEFT(B770,27)&amp;VALUE(RIGHT(B770,1)+1))</f>
        <v/>
      </c>
      <c r="C771" s="6" t="str">
        <f t="shared" ref="C771:D771" si="897">C770</f>
        <v/>
      </c>
      <c r="D771" s="6" t="str">
        <f t="shared" si="897"/>
        <v/>
      </c>
      <c r="E771" s="10" t="str">
        <f>IF(ISBLANK(A770),"",E770+1)</f>
        <v/>
      </c>
      <c r="F771" s="11" t="str">
        <f t="shared" ref="F771:F775" si="900">F770</f>
        <v/>
      </c>
      <c r="G771" s="8"/>
    </row>
    <row r="772">
      <c r="A772" s="9" t="str">
        <f t="shared" si="898"/>
        <v/>
      </c>
      <c r="B772" s="9" t="str">
        <f>IF(ISBLANK(A770),"",LEFT(B771,27)&amp;VALUE(RIGHT(B771,1)+1))</f>
        <v/>
      </c>
      <c r="C772" s="6" t="str">
        <f t="shared" ref="C772:D772" si="899">C771</f>
        <v/>
      </c>
      <c r="D772" s="6" t="str">
        <f t="shared" si="899"/>
        <v/>
      </c>
      <c r="E772" s="10" t="str">
        <f>IF(ISBLANK(A770),"",E771+1)</f>
        <v/>
      </c>
      <c r="F772" s="11" t="str">
        <f t="shared" si="900"/>
        <v/>
      </c>
      <c r="G772" s="8"/>
    </row>
    <row r="773">
      <c r="A773" s="9" t="str">
        <f t="shared" si="898"/>
        <v/>
      </c>
      <c r="B773" s="9" t="str">
        <f>IF(ISBLANK(A770),"",LEFT(B772,27)&amp;VALUE(RIGHT(B772,1)+1))</f>
        <v/>
      </c>
      <c r="C773" s="6" t="str">
        <f t="shared" ref="C773:D773" si="901">C772</f>
        <v/>
      </c>
      <c r="D773" s="6" t="str">
        <f t="shared" si="901"/>
        <v/>
      </c>
      <c r="E773" s="10" t="str">
        <f>IF(ISBLANK(A770),"",E772+1)</f>
        <v/>
      </c>
      <c r="F773" s="11" t="str">
        <f t="shared" si="900"/>
        <v/>
      </c>
      <c r="G773" s="8"/>
    </row>
    <row r="774">
      <c r="A774" s="9" t="str">
        <f t="shared" si="898"/>
        <v/>
      </c>
      <c r="B774" s="9" t="str">
        <f>IF(ISBLANK(A770),"",LEFT(B773,27)&amp;VALUE(RIGHT(B773,1)+1))</f>
        <v/>
      </c>
      <c r="C774" s="6" t="str">
        <f t="shared" ref="C774:D774" si="902">C773</f>
        <v/>
      </c>
      <c r="D774" s="6" t="str">
        <f t="shared" si="902"/>
        <v/>
      </c>
      <c r="E774" s="10" t="str">
        <f>IF(ISBLANK(A770),"",E773+1)</f>
        <v/>
      </c>
      <c r="F774" s="11" t="str">
        <f t="shared" si="900"/>
        <v/>
      </c>
      <c r="G774" s="8"/>
    </row>
    <row r="775">
      <c r="A775" s="12" t="str">
        <f t="shared" si="898"/>
        <v/>
      </c>
      <c r="B775" s="12" t="str">
        <f>IF(ISBLANK(A770),"",LEFT(B774,27)&amp;VALUE(RIGHT(B774,1)+1))</f>
        <v/>
      </c>
      <c r="C775" s="13" t="str">
        <f t="shared" ref="C775:D775" si="903">C774</f>
        <v/>
      </c>
      <c r="D775" s="13" t="str">
        <f t="shared" si="903"/>
        <v/>
      </c>
      <c r="E775" s="14" t="str">
        <f>IF(ISBLANK(A770),"",E774+1)</f>
        <v/>
      </c>
      <c r="F775" s="15" t="str">
        <f t="shared" si="900"/>
        <v/>
      </c>
      <c r="G775" s="16"/>
    </row>
    <row r="776">
      <c r="A776" s="5"/>
      <c r="B776" s="6" t="str">
        <f t="array" ref="B776">IF(ISBLANK(A776),"",IF(A776="PROREP (L)",VLOOKUP(LEFT($A776,6),'Data Feed (25C)'!$A$1:$G$10,2,FALSE),IF(A776="PROREP (S)", INDEX('Data Feed (25C)'!B:B, MATCH(LEFT($A776,6), 'Data Feed (25C)'!$A$1:$A$10, 0) + 1), VLOOKUP($A776,'Data Feed (25C)'!$A$1:$G$10,2,FALSE))))</f>
        <v/>
      </c>
      <c r="C776" s="6" t="str">
        <f t="array" ref="C776">IF(ISBLANK(A776),"",IF(A776="PROREP (L)",VLOOKUP(LEFT($A776,6),'Data Feed (25C)'!$A$1:$G$10,3,FALSE),IF(A776="PROREP (S)", INDEX('Data Feed (25C)'!C:C, MATCH(LEFT($A776,6), 'Data Feed (25C)'!$A$1:$A$10, 0) + 1, +1), VLOOKUP($A776,'Data Feed (25C)'!$A$1:$G$10,3,FALSE))))</f>
        <v/>
      </c>
      <c r="D776" s="6" t="str">
        <f t="array" ref="D776">IF(ISBLANK(A776),"",IF(A776="PROREP (L)",VLOOKUP(LEFT($A776,6),'Data Feed (25C)'!$A$1:$G$10,4,FALSE),IF(A776="PROREP (S)", INDEX('Data Feed (25C)'!D:D, MATCH(LEFT($A776,6), 'Data Feed (25C)'!$A$1:$A$10, 0) + 1, +1), VLOOKUP($A776,'Data Feed (25C)'!$A$1:$G$10,4,FALSE))))</f>
        <v/>
      </c>
      <c r="E776" s="6" t="str">
        <f t="array" ref="E776">IF(ISBLANK(A776),"",IF(A776="PROREP (L)",VLOOKUP(LEFT($A776,6),'Data Feed (25C)'!$A$1:$G$10,7,FALSE),IF(A776="PROREP (S)", INDEX('Data Feed (25C)'!G:G, MATCH(LEFT($A776,6), 'Data Feed (25C)'!$A$1:$A$10, 0) + 1, +1), VLOOKUP($A776,'Data Feed (25C)'!$A$1:$G$10,7,FALSE))))</f>
        <v/>
      </c>
      <c r="F776" s="7"/>
      <c r="G776" s="8"/>
    </row>
    <row r="777">
      <c r="A777" s="9" t="str">
        <f t="shared" ref="A777:A781" si="905">A776</f>
        <v/>
      </c>
      <c r="B777" s="9" t="str">
        <f>IF(ISBLANK(A776),"",LEFT(B776,27)&amp;VALUE(RIGHT(B776,1)+1))</f>
        <v/>
      </c>
      <c r="C777" s="6" t="str">
        <f t="shared" ref="C777:D777" si="904">C776</f>
        <v/>
      </c>
      <c r="D777" s="6" t="str">
        <f t="shared" si="904"/>
        <v/>
      </c>
      <c r="E777" s="10" t="str">
        <f>IF(ISBLANK(A776),"",E776+1)</f>
        <v/>
      </c>
      <c r="F777" s="11" t="str">
        <f t="shared" ref="F777:F781" si="907">F776</f>
        <v/>
      </c>
      <c r="G777" s="8"/>
    </row>
    <row r="778">
      <c r="A778" s="9" t="str">
        <f t="shared" si="905"/>
        <v/>
      </c>
      <c r="B778" s="9" t="str">
        <f>IF(ISBLANK(A776),"",LEFT(B777,27)&amp;VALUE(RIGHT(B777,1)+1))</f>
        <v/>
      </c>
      <c r="C778" s="6" t="str">
        <f t="shared" ref="C778:D778" si="906">C777</f>
        <v/>
      </c>
      <c r="D778" s="6" t="str">
        <f t="shared" si="906"/>
        <v/>
      </c>
      <c r="E778" s="10" t="str">
        <f>IF(ISBLANK(A776),"",E777+1)</f>
        <v/>
      </c>
      <c r="F778" s="11" t="str">
        <f t="shared" si="907"/>
        <v/>
      </c>
      <c r="G778" s="8"/>
    </row>
    <row r="779">
      <c r="A779" s="9" t="str">
        <f t="shared" si="905"/>
        <v/>
      </c>
      <c r="B779" s="9" t="str">
        <f>IF(ISBLANK(A776),"",LEFT(B778,27)&amp;VALUE(RIGHT(B778,1)+1))</f>
        <v/>
      </c>
      <c r="C779" s="6" t="str">
        <f t="shared" ref="C779:D779" si="908">C778</f>
        <v/>
      </c>
      <c r="D779" s="6" t="str">
        <f t="shared" si="908"/>
        <v/>
      </c>
      <c r="E779" s="10" t="str">
        <f>IF(ISBLANK(A776),"",E778+1)</f>
        <v/>
      </c>
      <c r="F779" s="11" t="str">
        <f t="shared" si="907"/>
        <v/>
      </c>
      <c r="G779" s="8"/>
    </row>
    <row r="780">
      <c r="A780" s="9" t="str">
        <f t="shared" si="905"/>
        <v/>
      </c>
      <c r="B780" s="9" t="str">
        <f>IF(ISBLANK(A776),"",LEFT(B779,27)&amp;VALUE(RIGHT(B779,1)+1))</f>
        <v/>
      </c>
      <c r="C780" s="6" t="str">
        <f t="shared" ref="C780:D780" si="909">C779</f>
        <v/>
      </c>
      <c r="D780" s="6" t="str">
        <f t="shared" si="909"/>
        <v/>
      </c>
      <c r="E780" s="10" t="str">
        <f>IF(ISBLANK(A776),"",E779+1)</f>
        <v/>
      </c>
      <c r="F780" s="11" t="str">
        <f t="shared" si="907"/>
        <v/>
      </c>
      <c r="G780" s="8"/>
    </row>
    <row r="781">
      <c r="A781" s="12" t="str">
        <f t="shared" si="905"/>
        <v/>
      </c>
      <c r="B781" s="12" t="str">
        <f>IF(ISBLANK(A776),"",LEFT(B780,27)&amp;VALUE(RIGHT(B780,1)+1))</f>
        <v/>
      </c>
      <c r="C781" s="13" t="str">
        <f t="shared" ref="C781:D781" si="910">C780</f>
        <v/>
      </c>
      <c r="D781" s="13" t="str">
        <f t="shared" si="910"/>
        <v/>
      </c>
      <c r="E781" s="14" t="str">
        <f>IF(ISBLANK(A776),"",E780+1)</f>
        <v/>
      </c>
      <c r="F781" s="15" t="str">
        <f t="shared" si="907"/>
        <v/>
      </c>
      <c r="G781" s="16"/>
    </row>
    <row r="782">
      <c r="A782" s="5"/>
      <c r="B782" s="6" t="str">
        <f t="array" ref="B782">IF(ISBLANK(A782),"",IF(A782="PROREP (L)",VLOOKUP(LEFT($A782,6),'Data Feed (25C)'!$A$1:$G$10,2,FALSE),IF(A782="PROREP (S)", INDEX('Data Feed (25C)'!B:B, MATCH(LEFT($A782,6), 'Data Feed (25C)'!$A$1:$A$10, 0) + 1), VLOOKUP($A782,'Data Feed (25C)'!$A$1:$G$10,2,FALSE))))</f>
        <v/>
      </c>
      <c r="C782" s="6" t="str">
        <f t="array" ref="C782">IF(ISBLANK(A782),"",IF(A782="PROREP (L)",VLOOKUP(LEFT($A782,6),'Data Feed (25C)'!$A$1:$G$10,3,FALSE),IF(A782="PROREP (S)", INDEX('Data Feed (25C)'!C:C, MATCH(LEFT($A782,6), 'Data Feed (25C)'!$A$1:$A$10, 0) + 1, +1), VLOOKUP($A782,'Data Feed (25C)'!$A$1:$G$10,3,FALSE))))</f>
        <v/>
      </c>
      <c r="D782" s="6" t="str">
        <f t="array" ref="D782">IF(ISBLANK(A782),"",IF(A782="PROREP (L)",VLOOKUP(LEFT($A782,6),'Data Feed (25C)'!$A$1:$G$10,4,FALSE),IF(A782="PROREP (S)", INDEX('Data Feed (25C)'!D:D, MATCH(LEFT($A782,6), 'Data Feed (25C)'!$A$1:$A$10, 0) + 1, +1), VLOOKUP($A782,'Data Feed (25C)'!$A$1:$G$10,4,FALSE))))</f>
        <v/>
      </c>
      <c r="E782" s="6" t="str">
        <f t="array" ref="E782">IF(ISBLANK(A782),"",IF(A782="PROREP (L)",VLOOKUP(LEFT($A782,6),'Data Feed (25C)'!$A$1:$G$10,7,FALSE),IF(A782="PROREP (S)", INDEX('Data Feed (25C)'!G:G, MATCH(LEFT($A782,6), 'Data Feed (25C)'!$A$1:$A$10, 0) + 1, +1), VLOOKUP($A782,'Data Feed (25C)'!$A$1:$G$10,7,FALSE))))</f>
        <v/>
      </c>
      <c r="F782" s="7"/>
      <c r="G782" s="8"/>
    </row>
    <row r="783">
      <c r="A783" s="9" t="str">
        <f t="shared" ref="A783:A787" si="912">A782</f>
        <v/>
      </c>
      <c r="B783" s="9" t="str">
        <f>IF(ISBLANK(A782),"",LEFT(B782,27)&amp;VALUE(RIGHT(B782,1)+1))</f>
        <v/>
      </c>
      <c r="C783" s="6" t="str">
        <f t="shared" ref="C783:D783" si="911">C782</f>
        <v/>
      </c>
      <c r="D783" s="6" t="str">
        <f t="shared" si="911"/>
        <v/>
      </c>
      <c r="E783" s="10" t="str">
        <f>IF(ISBLANK(A782),"",E782+1)</f>
        <v/>
      </c>
      <c r="F783" s="11" t="str">
        <f t="shared" ref="F783:F787" si="914">F782</f>
        <v/>
      </c>
      <c r="G783" s="8"/>
    </row>
    <row r="784">
      <c r="A784" s="9" t="str">
        <f t="shared" si="912"/>
        <v/>
      </c>
      <c r="B784" s="9" t="str">
        <f>IF(ISBLANK(A782),"",LEFT(B783,27)&amp;VALUE(RIGHT(B783,1)+1))</f>
        <v/>
      </c>
      <c r="C784" s="6" t="str">
        <f t="shared" ref="C784:D784" si="913">C783</f>
        <v/>
      </c>
      <c r="D784" s="6" t="str">
        <f t="shared" si="913"/>
        <v/>
      </c>
      <c r="E784" s="10" t="str">
        <f>IF(ISBLANK(A782),"",E783+1)</f>
        <v/>
      </c>
      <c r="F784" s="11" t="str">
        <f t="shared" si="914"/>
        <v/>
      </c>
      <c r="G784" s="8"/>
    </row>
    <row r="785">
      <c r="A785" s="9" t="str">
        <f t="shared" si="912"/>
        <v/>
      </c>
      <c r="B785" s="9" t="str">
        <f>IF(ISBLANK(A782),"",LEFT(B784,27)&amp;VALUE(RIGHT(B784,1)+1))</f>
        <v/>
      </c>
      <c r="C785" s="6" t="str">
        <f t="shared" ref="C785:D785" si="915">C784</f>
        <v/>
      </c>
      <c r="D785" s="6" t="str">
        <f t="shared" si="915"/>
        <v/>
      </c>
      <c r="E785" s="10" t="str">
        <f>IF(ISBLANK(A782),"",E784+1)</f>
        <v/>
      </c>
      <c r="F785" s="11" t="str">
        <f t="shared" si="914"/>
        <v/>
      </c>
      <c r="G785" s="8"/>
    </row>
    <row r="786">
      <c r="A786" s="9" t="str">
        <f t="shared" si="912"/>
        <v/>
      </c>
      <c r="B786" s="9" t="str">
        <f>IF(ISBLANK(A782),"",LEFT(B785,27)&amp;VALUE(RIGHT(B785,1)+1))</f>
        <v/>
      </c>
      <c r="C786" s="6" t="str">
        <f t="shared" ref="C786:D786" si="916">C785</f>
        <v/>
      </c>
      <c r="D786" s="6" t="str">
        <f t="shared" si="916"/>
        <v/>
      </c>
      <c r="E786" s="10" t="str">
        <f>IF(ISBLANK(A782),"",E785+1)</f>
        <v/>
      </c>
      <c r="F786" s="11" t="str">
        <f t="shared" si="914"/>
        <v/>
      </c>
      <c r="G786" s="8"/>
    </row>
    <row r="787">
      <c r="A787" s="12" t="str">
        <f t="shared" si="912"/>
        <v/>
      </c>
      <c r="B787" s="12" t="str">
        <f>IF(ISBLANK(A782),"",LEFT(B786,27)&amp;VALUE(RIGHT(B786,1)+1))</f>
        <v/>
      </c>
      <c r="C787" s="13" t="str">
        <f t="shared" ref="C787:D787" si="917">C786</f>
        <v/>
      </c>
      <c r="D787" s="13" t="str">
        <f t="shared" si="917"/>
        <v/>
      </c>
      <c r="E787" s="14" t="str">
        <f>IF(ISBLANK(A782),"",E786+1)</f>
        <v/>
      </c>
      <c r="F787" s="15" t="str">
        <f t="shared" si="914"/>
        <v/>
      </c>
      <c r="G787" s="16"/>
    </row>
    <row r="788">
      <c r="A788" s="5"/>
      <c r="B788" s="6" t="str">
        <f t="array" ref="B788">IF(ISBLANK(A788),"",IF(A788="PROREP (L)",VLOOKUP(LEFT($A788,6),'Data Feed (25C)'!$A$1:$G$10,2,FALSE),IF(A788="PROREP (S)", INDEX('Data Feed (25C)'!B:B, MATCH(LEFT($A788,6), 'Data Feed (25C)'!$A$1:$A$10, 0) + 1), VLOOKUP($A788,'Data Feed (25C)'!$A$1:$G$10,2,FALSE))))</f>
        <v/>
      </c>
      <c r="C788" s="6" t="str">
        <f t="array" ref="C788">IF(ISBLANK(A788),"",IF(A788="PROREP (L)",VLOOKUP(LEFT($A788,6),'Data Feed (25C)'!$A$1:$G$10,3,FALSE),IF(A788="PROREP (S)", INDEX('Data Feed (25C)'!C:C, MATCH(LEFT($A788,6), 'Data Feed (25C)'!$A$1:$A$10, 0) + 1, +1), VLOOKUP($A788,'Data Feed (25C)'!$A$1:$G$10,3,FALSE))))</f>
        <v/>
      </c>
      <c r="D788" s="6" t="str">
        <f t="array" ref="D788">IF(ISBLANK(A788),"",IF(A788="PROREP (L)",VLOOKUP(LEFT($A788,6),'Data Feed (25C)'!$A$1:$G$10,4,FALSE),IF(A788="PROREP (S)", INDEX('Data Feed (25C)'!D:D, MATCH(LEFT($A788,6), 'Data Feed (25C)'!$A$1:$A$10, 0) + 1, +1), VLOOKUP($A788,'Data Feed (25C)'!$A$1:$G$10,4,FALSE))))</f>
        <v/>
      </c>
      <c r="E788" s="6" t="str">
        <f t="array" ref="E788">IF(ISBLANK(A788),"",IF(A788="PROREP (L)",VLOOKUP(LEFT($A788,6),'Data Feed (25C)'!$A$1:$G$10,7,FALSE),IF(A788="PROREP (S)", INDEX('Data Feed (25C)'!G:G, MATCH(LEFT($A788,6), 'Data Feed (25C)'!$A$1:$A$10, 0) + 1, +1), VLOOKUP($A788,'Data Feed (25C)'!$A$1:$G$10,7,FALSE))))</f>
        <v/>
      </c>
      <c r="F788" s="7"/>
      <c r="G788" s="8"/>
    </row>
    <row r="789">
      <c r="A789" s="9" t="str">
        <f t="shared" ref="A789:A793" si="919">A788</f>
        <v/>
      </c>
      <c r="B789" s="9" t="str">
        <f>IF(ISBLANK(A788),"",LEFT(B788,27)&amp;VALUE(RIGHT(B788,1)+1))</f>
        <v/>
      </c>
      <c r="C789" s="6" t="str">
        <f t="shared" ref="C789:D789" si="918">C788</f>
        <v/>
      </c>
      <c r="D789" s="6" t="str">
        <f t="shared" si="918"/>
        <v/>
      </c>
      <c r="E789" s="10" t="str">
        <f>IF(ISBLANK(A788),"",E788+1)</f>
        <v/>
      </c>
      <c r="F789" s="11" t="str">
        <f t="shared" ref="F789:F793" si="921">F788</f>
        <v/>
      </c>
      <c r="G789" s="8"/>
    </row>
    <row r="790">
      <c r="A790" s="9" t="str">
        <f t="shared" si="919"/>
        <v/>
      </c>
      <c r="B790" s="9" t="str">
        <f>IF(ISBLANK(A788),"",LEFT(B789,27)&amp;VALUE(RIGHT(B789,1)+1))</f>
        <v/>
      </c>
      <c r="C790" s="6" t="str">
        <f t="shared" ref="C790:D790" si="920">C789</f>
        <v/>
      </c>
      <c r="D790" s="6" t="str">
        <f t="shared" si="920"/>
        <v/>
      </c>
      <c r="E790" s="10" t="str">
        <f>IF(ISBLANK(A788),"",E789+1)</f>
        <v/>
      </c>
      <c r="F790" s="11" t="str">
        <f t="shared" si="921"/>
        <v/>
      </c>
      <c r="G790" s="8"/>
    </row>
    <row r="791">
      <c r="A791" s="9" t="str">
        <f t="shared" si="919"/>
        <v/>
      </c>
      <c r="B791" s="9" t="str">
        <f>IF(ISBLANK(A788),"",LEFT(B790,27)&amp;VALUE(RIGHT(B790,1)+1))</f>
        <v/>
      </c>
      <c r="C791" s="6" t="str">
        <f t="shared" ref="C791:D791" si="922">C790</f>
        <v/>
      </c>
      <c r="D791" s="6" t="str">
        <f t="shared" si="922"/>
        <v/>
      </c>
      <c r="E791" s="10" t="str">
        <f>IF(ISBLANK(A788),"",E790+1)</f>
        <v/>
      </c>
      <c r="F791" s="11" t="str">
        <f t="shared" si="921"/>
        <v/>
      </c>
      <c r="G791" s="8"/>
    </row>
    <row r="792">
      <c r="A792" s="9" t="str">
        <f t="shared" si="919"/>
        <v/>
      </c>
      <c r="B792" s="9" t="str">
        <f>IF(ISBLANK(A788),"",LEFT(B791,27)&amp;VALUE(RIGHT(B791,1)+1))</f>
        <v/>
      </c>
      <c r="C792" s="6" t="str">
        <f t="shared" ref="C792:D792" si="923">C791</f>
        <v/>
      </c>
      <c r="D792" s="6" t="str">
        <f t="shared" si="923"/>
        <v/>
      </c>
      <c r="E792" s="10" t="str">
        <f>IF(ISBLANK(A788),"",E791+1)</f>
        <v/>
      </c>
      <c r="F792" s="11" t="str">
        <f t="shared" si="921"/>
        <v/>
      </c>
      <c r="G792" s="8"/>
    </row>
    <row r="793">
      <c r="A793" s="12" t="str">
        <f t="shared" si="919"/>
        <v/>
      </c>
      <c r="B793" s="12" t="str">
        <f>IF(ISBLANK(A788),"",LEFT(B792,27)&amp;VALUE(RIGHT(B792,1)+1))</f>
        <v/>
      </c>
      <c r="C793" s="13" t="str">
        <f t="shared" ref="C793:D793" si="924">C792</f>
        <v/>
      </c>
      <c r="D793" s="13" t="str">
        <f t="shared" si="924"/>
        <v/>
      </c>
      <c r="E793" s="14" t="str">
        <f>IF(ISBLANK(A788),"",E792+1)</f>
        <v/>
      </c>
      <c r="F793" s="15" t="str">
        <f t="shared" si="921"/>
        <v/>
      </c>
      <c r="G793" s="16"/>
    </row>
    <row r="794">
      <c r="A794" s="5"/>
      <c r="B794" s="6" t="str">
        <f t="array" ref="B794">IF(ISBLANK(A794),"",IF(A794="PROREP (L)",VLOOKUP(LEFT($A794,6),'Data Feed (25C)'!$A$1:$G$10,2,FALSE),IF(A794="PROREP (S)", INDEX('Data Feed (25C)'!B:B, MATCH(LEFT($A794,6), 'Data Feed (25C)'!$A$1:$A$10, 0) + 1), VLOOKUP($A794,'Data Feed (25C)'!$A$1:$G$10,2,FALSE))))</f>
        <v/>
      </c>
      <c r="C794" s="6" t="str">
        <f t="array" ref="C794">IF(ISBLANK(A794),"",IF(A794="PROREP (L)",VLOOKUP(LEFT($A794,6),'Data Feed (25C)'!$A$1:$G$10,3,FALSE),IF(A794="PROREP (S)", INDEX('Data Feed (25C)'!C:C, MATCH(LEFT($A794,6), 'Data Feed (25C)'!$A$1:$A$10, 0) + 1, +1), VLOOKUP($A794,'Data Feed (25C)'!$A$1:$G$10,3,FALSE))))</f>
        <v/>
      </c>
      <c r="D794" s="6" t="str">
        <f t="array" ref="D794">IF(ISBLANK(A794),"",IF(A794="PROREP (L)",VLOOKUP(LEFT($A794,6),'Data Feed (25C)'!$A$1:$G$10,4,FALSE),IF(A794="PROREP (S)", INDEX('Data Feed (25C)'!D:D, MATCH(LEFT($A794,6), 'Data Feed (25C)'!$A$1:$A$10, 0) + 1, +1), VLOOKUP($A794,'Data Feed (25C)'!$A$1:$G$10,4,FALSE))))</f>
        <v/>
      </c>
      <c r="E794" s="6" t="str">
        <f t="array" ref="E794">IF(ISBLANK(A794),"",IF(A794="PROREP (L)",VLOOKUP(LEFT($A794,6),'Data Feed (25C)'!$A$1:$G$10,7,FALSE),IF(A794="PROREP (S)", INDEX('Data Feed (25C)'!G:G, MATCH(LEFT($A794,6), 'Data Feed (25C)'!$A$1:$A$10, 0) + 1, +1), VLOOKUP($A794,'Data Feed (25C)'!$A$1:$G$10,7,FALSE))))</f>
        <v/>
      </c>
      <c r="F794" s="7"/>
      <c r="G794" s="8"/>
    </row>
    <row r="795">
      <c r="A795" s="9" t="str">
        <f t="shared" ref="A795:A799" si="926">A794</f>
        <v/>
      </c>
      <c r="B795" s="9" t="str">
        <f>IF(ISBLANK(A794),"",LEFT(B794,27)&amp;VALUE(RIGHT(B794,1)+1))</f>
        <v/>
      </c>
      <c r="C795" s="6" t="str">
        <f t="shared" ref="C795:D795" si="925">C794</f>
        <v/>
      </c>
      <c r="D795" s="6" t="str">
        <f t="shared" si="925"/>
        <v/>
      </c>
      <c r="E795" s="10" t="str">
        <f>IF(ISBLANK(A794),"",E794+1)</f>
        <v/>
      </c>
      <c r="F795" s="11" t="str">
        <f t="shared" ref="F795:F799" si="928">F794</f>
        <v/>
      </c>
      <c r="G795" s="8"/>
    </row>
    <row r="796">
      <c r="A796" s="9" t="str">
        <f t="shared" si="926"/>
        <v/>
      </c>
      <c r="B796" s="9" t="str">
        <f>IF(ISBLANK(A794),"",LEFT(B795,27)&amp;VALUE(RIGHT(B795,1)+1))</f>
        <v/>
      </c>
      <c r="C796" s="6" t="str">
        <f t="shared" ref="C796:D796" si="927">C795</f>
        <v/>
      </c>
      <c r="D796" s="6" t="str">
        <f t="shared" si="927"/>
        <v/>
      </c>
      <c r="E796" s="10" t="str">
        <f>IF(ISBLANK(A794),"",E795+1)</f>
        <v/>
      </c>
      <c r="F796" s="11" t="str">
        <f t="shared" si="928"/>
        <v/>
      </c>
      <c r="G796" s="8"/>
    </row>
    <row r="797">
      <c r="A797" s="9" t="str">
        <f t="shared" si="926"/>
        <v/>
      </c>
      <c r="B797" s="9" t="str">
        <f>IF(ISBLANK(A794),"",LEFT(B796,27)&amp;VALUE(RIGHT(B796,1)+1))</f>
        <v/>
      </c>
      <c r="C797" s="6" t="str">
        <f t="shared" ref="C797:D797" si="929">C796</f>
        <v/>
      </c>
      <c r="D797" s="6" t="str">
        <f t="shared" si="929"/>
        <v/>
      </c>
      <c r="E797" s="10" t="str">
        <f>IF(ISBLANK(A794),"",E796+1)</f>
        <v/>
      </c>
      <c r="F797" s="11" t="str">
        <f t="shared" si="928"/>
        <v/>
      </c>
      <c r="G797" s="8"/>
    </row>
    <row r="798">
      <c r="A798" s="9" t="str">
        <f t="shared" si="926"/>
        <v/>
      </c>
      <c r="B798" s="9" t="str">
        <f>IF(ISBLANK(A794),"",LEFT(B797,27)&amp;VALUE(RIGHT(B797,1)+1))</f>
        <v/>
      </c>
      <c r="C798" s="6" t="str">
        <f t="shared" ref="C798:D798" si="930">C797</f>
        <v/>
      </c>
      <c r="D798" s="6" t="str">
        <f t="shared" si="930"/>
        <v/>
      </c>
      <c r="E798" s="10" t="str">
        <f>IF(ISBLANK(A794),"",E797+1)</f>
        <v/>
      </c>
      <c r="F798" s="11" t="str">
        <f t="shared" si="928"/>
        <v/>
      </c>
      <c r="G798" s="8"/>
    </row>
    <row r="799">
      <c r="A799" s="12" t="str">
        <f t="shared" si="926"/>
        <v/>
      </c>
      <c r="B799" s="12" t="str">
        <f>IF(ISBLANK(A794),"",LEFT(B798,27)&amp;VALUE(RIGHT(B798,1)+1))</f>
        <v/>
      </c>
      <c r="C799" s="13" t="str">
        <f t="shared" ref="C799:D799" si="931">C798</f>
        <v/>
      </c>
      <c r="D799" s="13" t="str">
        <f t="shared" si="931"/>
        <v/>
      </c>
      <c r="E799" s="14" t="str">
        <f>IF(ISBLANK(A794),"",E798+1)</f>
        <v/>
      </c>
      <c r="F799" s="15" t="str">
        <f t="shared" si="928"/>
        <v/>
      </c>
      <c r="G799" s="16"/>
    </row>
    <row r="800">
      <c r="A800" s="5"/>
      <c r="B800" s="6" t="str">
        <f t="array" ref="B800">IF(ISBLANK(A800),"",IF(A800="PROREP (L)",VLOOKUP(LEFT($A800,6),'Data Feed (25C)'!$A$1:$G$10,2,FALSE),IF(A800="PROREP (S)", INDEX('Data Feed (25C)'!B:B, MATCH(LEFT($A800,6), 'Data Feed (25C)'!$A$1:$A$10, 0) + 1), VLOOKUP($A800,'Data Feed (25C)'!$A$1:$G$10,2,FALSE))))</f>
        <v/>
      </c>
      <c r="C800" s="6" t="str">
        <f t="array" ref="C800">IF(ISBLANK(A800),"",IF(A800="PROREP (L)",VLOOKUP(LEFT($A800,6),'Data Feed (25C)'!$A$1:$G$10,3,FALSE),IF(A800="PROREP (S)", INDEX('Data Feed (25C)'!C:C, MATCH(LEFT($A800,6), 'Data Feed (25C)'!$A$1:$A$10, 0) + 1, +1), VLOOKUP($A800,'Data Feed (25C)'!$A$1:$G$10,3,FALSE))))</f>
        <v/>
      </c>
      <c r="D800" s="6" t="str">
        <f t="array" ref="D800">IF(ISBLANK(A800),"",IF(A800="PROREP (L)",VLOOKUP(LEFT($A800,6),'Data Feed (25C)'!$A$1:$G$10,4,FALSE),IF(A800="PROREP (S)", INDEX('Data Feed (25C)'!D:D, MATCH(LEFT($A800,6), 'Data Feed (25C)'!$A$1:$A$10, 0) + 1, +1), VLOOKUP($A800,'Data Feed (25C)'!$A$1:$G$10,4,FALSE))))</f>
        <v/>
      </c>
      <c r="E800" s="6" t="str">
        <f t="array" ref="E800">IF(ISBLANK(A800),"",IF(A800="PROREP (L)",VLOOKUP(LEFT($A800,6),'Data Feed (25C)'!$A$1:$G$10,7,FALSE),IF(A800="PROREP (S)", INDEX('Data Feed (25C)'!G:G, MATCH(LEFT($A800,6), 'Data Feed (25C)'!$A$1:$A$10, 0) + 1, +1), VLOOKUP($A800,'Data Feed (25C)'!$A$1:$G$10,7,FALSE))))</f>
        <v/>
      </c>
      <c r="F800" s="7"/>
      <c r="G800" s="8"/>
    </row>
    <row r="801">
      <c r="A801" s="9" t="str">
        <f t="shared" ref="A801:A805" si="933">A800</f>
        <v/>
      </c>
      <c r="B801" s="9" t="str">
        <f>IF(ISBLANK(A800),"",LEFT(B800,27)&amp;VALUE(RIGHT(B800,1)+1))</f>
        <v/>
      </c>
      <c r="C801" s="6" t="str">
        <f t="shared" ref="C801:D801" si="932">C800</f>
        <v/>
      </c>
      <c r="D801" s="6" t="str">
        <f t="shared" si="932"/>
        <v/>
      </c>
      <c r="E801" s="10" t="str">
        <f>IF(ISBLANK(A800),"",E800+1)</f>
        <v/>
      </c>
      <c r="F801" s="11" t="str">
        <f t="shared" ref="F801:F805" si="935">F800</f>
        <v/>
      </c>
      <c r="G801" s="8"/>
    </row>
    <row r="802">
      <c r="A802" s="9" t="str">
        <f t="shared" si="933"/>
        <v/>
      </c>
      <c r="B802" s="9" t="str">
        <f>IF(ISBLANK(A800),"",LEFT(B801,27)&amp;VALUE(RIGHT(B801,1)+1))</f>
        <v/>
      </c>
      <c r="C802" s="6" t="str">
        <f t="shared" ref="C802:D802" si="934">C801</f>
        <v/>
      </c>
      <c r="D802" s="6" t="str">
        <f t="shared" si="934"/>
        <v/>
      </c>
      <c r="E802" s="10" t="str">
        <f>IF(ISBLANK(A800),"",E801+1)</f>
        <v/>
      </c>
      <c r="F802" s="11" t="str">
        <f t="shared" si="935"/>
        <v/>
      </c>
      <c r="G802" s="8"/>
    </row>
    <row r="803">
      <c r="A803" s="9" t="str">
        <f t="shared" si="933"/>
        <v/>
      </c>
      <c r="B803" s="9" t="str">
        <f>IF(ISBLANK(A800),"",LEFT(B802,27)&amp;VALUE(RIGHT(B802,1)+1))</f>
        <v/>
      </c>
      <c r="C803" s="6" t="str">
        <f t="shared" ref="C803:D803" si="936">C802</f>
        <v/>
      </c>
      <c r="D803" s="6" t="str">
        <f t="shared" si="936"/>
        <v/>
      </c>
      <c r="E803" s="10" t="str">
        <f>IF(ISBLANK(A800),"",E802+1)</f>
        <v/>
      </c>
      <c r="F803" s="11" t="str">
        <f t="shared" si="935"/>
        <v/>
      </c>
      <c r="G803" s="8"/>
    </row>
    <row r="804">
      <c r="A804" s="9" t="str">
        <f t="shared" si="933"/>
        <v/>
      </c>
      <c r="B804" s="9" t="str">
        <f>IF(ISBLANK(A800),"",LEFT(B803,27)&amp;VALUE(RIGHT(B803,1)+1))</f>
        <v/>
      </c>
      <c r="C804" s="6" t="str">
        <f t="shared" ref="C804:D804" si="937">C803</f>
        <v/>
      </c>
      <c r="D804" s="6" t="str">
        <f t="shared" si="937"/>
        <v/>
      </c>
      <c r="E804" s="10" t="str">
        <f>IF(ISBLANK(A800),"",E803+1)</f>
        <v/>
      </c>
      <c r="F804" s="11" t="str">
        <f t="shared" si="935"/>
        <v/>
      </c>
      <c r="G804" s="8"/>
    </row>
    <row r="805">
      <c r="A805" s="12" t="str">
        <f t="shared" si="933"/>
        <v/>
      </c>
      <c r="B805" s="12" t="str">
        <f>IF(ISBLANK(A800),"",LEFT(B804,27)&amp;VALUE(RIGHT(B804,1)+1))</f>
        <v/>
      </c>
      <c r="C805" s="13" t="str">
        <f t="shared" ref="C805:D805" si="938">C804</f>
        <v/>
      </c>
      <c r="D805" s="13" t="str">
        <f t="shared" si="938"/>
        <v/>
      </c>
      <c r="E805" s="14" t="str">
        <f>IF(ISBLANK(A800),"",E804+1)</f>
        <v/>
      </c>
      <c r="F805" s="15" t="str">
        <f t="shared" si="935"/>
        <v/>
      </c>
      <c r="G805" s="16"/>
    </row>
    <row r="806">
      <c r="A806" s="5"/>
      <c r="B806" s="6" t="str">
        <f t="array" ref="B806">IF(ISBLANK(A806),"",IF(A806="PROREP (L)",VLOOKUP(LEFT($A806,6),'Data Feed (25C)'!$A$1:$G$10,2,FALSE),IF(A806="PROREP (S)", INDEX('Data Feed (25C)'!B:B, MATCH(LEFT($A806,6), 'Data Feed (25C)'!$A$1:$A$10, 0) + 1), VLOOKUP($A806,'Data Feed (25C)'!$A$1:$G$10,2,FALSE))))</f>
        <v/>
      </c>
      <c r="C806" s="6" t="str">
        <f t="array" ref="C806">IF(ISBLANK(A806),"",IF(A806="PROREP (L)",VLOOKUP(LEFT($A806,6),'Data Feed (25C)'!$A$1:$G$10,3,FALSE),IF(A806="PROREP (S)", INDEX('Data Feed (25C)'!C:C, MATCH(LEFT($A806,6), 'Data Feed (25C)'!$A$1:$A$10, 0) + 1, +1), VLOOKUP($A806,'Data Feed (25C)'!$A$1:$G$10,3,FALSE))))</f>
        <v/>
      </c>
      <c r="D806" s="6" t="str">
        <f t="array" ref="D806">IF(ISBLANK(A806),"",IF(A806="PROREP (L)",VLOOKUP(LEFT($A806,6),'Data Feed (25C)'!$A$1:$G$10,4,FALSE),IF(A806="PROREP (S)", INDEX('Data Feed (25C)'!D:D, MATCH(LEFT($A806,6), 'Data Feed (25C)'!$A$1:$A$10, 0) + 1, +1), VLOOKUP($A806,'Data Feed (25C)'!$A$1:$G$10,4,FALSE))))</f>
        <v/>
      </c>
      <c r="E806" s="6" t="str">
        <f t="array" ref="E806">IF(ISBLANK(A806),"",IF(A806="PROREP (L)",VLOOKUP(LEFT($A806,6),'Data Feed (25C)'!$A$1:$G$10,7,FALSE),IF(A806="PROREP (S)", INDEX('Data Feed (25C)'!G:G, MATCH(LEFT($A806,6), 'Data Feed (25C)'!$A$1:$A$10, 0) + 1, +1), VLOOKUP($A806,'Data Feed (25C)'!$A$1:$G$10,7,FALSE))))</f>
        <v/>
      </c>
      <c r="F806" s="7"/>
      <c r="G806" s="8"/>
    </row>
    <row r="807">
      <c r="A807" s="9" t="str">
        <f t="shared" ref="A807:A811" si="940">A806</f>
        <v/>
      </c>
      <c r="B807" s="9" t="str">
        <f>IF(ISBLANK(A806),"",LEFT(B806,27)&amp;VALUE(RIGHT(B806,1)+1))</f>
        <v/>
      </c>
      <c r="C807" s="6" t="str">
        <f t="shared" ref="C807:D807" si="939">C806</f>
        <v/>
      </c>
      <c r="D807" s="6" t="str">
        <f t="shared" si="939"/>
        <v/>
      </c>
      <c r="E807" s="10" t="str">
        <f>IF(ISBLANK(A806),"",E806+1)</f>
        <v/>
      </c>
      <c r="F807" s="11" t="str">
        <f t="shared" ref="F807:F811" si="942">F806</f>
        <v/>
      </c>
      <c r="G807" s="8"/>
    </row>
    <row r="808">
      <c r="A808" s="9" t="str">
        <f t="shared" si="940"/>
        <v/>
      </c>
      <c r="B808" s="9" t="str">
        <f>IF(ISBLANK(A806),"",LEFT(B807,27)&amp;VALUE(RIGHT(B807,1)+1))</f>
        <v/>
      </c>
      <c r="C808" s="6" t="str">
        <f t="shared" ref="C808:D808" si="941">C807</f>
        <v/>
      </c>
      <c r="D808" s="6" t="str">
        <f t="shared" si="941"/>
        <v/>
      </c>
      <c r="E808" s="10" t="str">
        <f>IF(ISBLANK(A806),"",E807+1)</f>
        <v/>
      </c>
      <c r="F808" s="11" t="str">
        <f t="shared" si="942"/>
        <v/>
      </c>
      <c r="G808" s="8"/>
    </row>
    <row r="809">
      <c r="A809" s="9" t="str">
        <f t="shared" si="940"/>
        <v/>
      </c>
      <c r="B809" s="9" t="str">
        <f>IF(ISBLANK(A806),"",LEFT(B808,27)&amp;VALUE(RIGHT(B808,1)+1))</f>
        <v/>
      </c>
      <c r="C809" s="6" t="str">
        <f t="shared" ref="C809:D809" si="943">C808</f>
        <v/>
      </c>
      <c r="D809" s="6" t="str">
        <f t="shared" si="943"/>
        <v/>
      </c>
      <c r="E809" s="10" t="str">
        <f>IF(ISBLANK(A806),"",E808+1)</f>
        <v/>
      </c>
      <c r="F809" s="11" t="str">
        <f t="shared" si="942"/>
        <v/>
      </c>
      <c r="G809" s="8"/>
    </row>
    <row r="810">
      <c r="A810" s="9" t="str">
        <f t="shared" si="940"/>
        <v/>
      </c>
      <c r="B810" s="9" t="str">
        <f>IF(ISBLANK(A806),"",LEFT(B809,27)&amp;VALUE(RIGHT(B809,1)+1))</f>
        <v/>
      </c>
      <c r="C810" s="6" t="str">
        <f t="shared" ref="C810:D810" si="944">C809</f>
        <v/>
      </c>
      <c r="D810" s="6" t="str">
        <f t="shared" si="944"/>
        <v/>
      </c>
      <c r="E810" s="10" t="str">
        <f>IF(ISBLANK(A806),"",E809+1)</f>
        <v/>
      </c>
      <c r="F810" s="11" t="str">
        <f t="shared" si="942"/>
        <v/>
      </c>
      <c r="G810" s="8"/>
    </row>
    <row r="811">
      <c r="A811" s="12" t="str">
        <f t="shared" si="940"/>
        <v/>
      </c>
      <c r="B811" s="12" t="str">
        <f>IF(ISBLANK(A806),"",LEFT(B810,27)&amp;VALUE(RIGHT(B810,1)+1))</f>
        <v/>
      </c>
      <c r="C811" s="13" t="str">
        <f t="shared" ref="C811:D811" si="945">C810</f>
        <v/>
      </c>
      <c r="D811" s="13" t="str">
        <f t="shared" si="945"/>
        <v/>
      </c>
      <c r="E811" s="14" t="str">
        <f>IF(ISBLANK(A806),"",E810+1)</f>
        <v/>
      </c>
      <c r="F811" s="15" t="str">
        <f t="shared" si="942"/>
        <v/>
      </c>
      <c r="G811" s="16"/>
    </row>
    <row r="812">
      <c r="A812" s="5"/>
      <c r="B812" s="6" t="str">
        <f t="array" ref="B812">IF(ISBLANK(A812),"",IF(A812="PROREP (L)",VLOOKUP(LEFT($A812,6),'Data Feed (25C)'!$A$1:$G$10,2,FALSE),IF(A812="PROREP (S)", INDEX('Data Feed (25C)'!B:B, MATCH(LEFT($A812,6), 'Data Feed (25C)'!$A$1:$A$10, 0) + 1), VLOOKUP($A812,'Data Feed (25C)'!$A$1:$G$10,2,FALSE))))</f>
        <v/>
      </c>
      <c r="C812" s="6" t="str">
        <f t="array" ref="C812">IF(ISBLANK(A812),"",IF(A812="PROREP (L)",VLOOKUP(LEFT($A812,6),'Data Feed (25C)'!$A$1:$G$10,3,FALSE),IF(A812="PROREP (S)", INDEX('Data Feed (25C)'!C:C, MATCH(LEFT($A812,6), 'Data Feed (25C)'!$A$1:$A$10, 0) + 1, +1), VLOOKUP($A812,'Data Feed (25C)'!$A$1:$G$10,3,FALSE))))</f>
        <v/>
      </c>
      <c r="D812" s="6" t="str">
        <f t="array" ref="D812">IF(ISBLANK(A812),"",IF(A812="PROREP (L)",VLOOKUP(LEFT($A812,6),'Data Feed (25C)'!$A$1:$G$10,4,FALSE),IF(A812="PROREP (S)", INDEX('Data Feed (25C)'!D:D, MATCH(LEFT($A812,6), 'Data Feed (25C)'!$A$1:$A$10, 0) + 1, +1), VLOOKUP($A812,'Data Feed (25C)'!$A$1:$G$10,4,FALSE))))</f>
        <v/>
      </c>
      <c r="E812" s="6" t="str">
        <f t="array" ref="E812">IF(ISBLANK(A812),"",IF(A812="PROREP (L)",VLOOKUP(LEFT($A812,6),'Data Feed (25C)'!$A$1:$G$10,7,FALSE),IF(A812="PROREP (S)", INDEX('Data Feed (25C)'!G:G, MATCH(LEFT($A812,6), 'Data Feed (25C)'!$A$1:$A$10, 0) + 1, +1), VLOOKUP($A812,'Data Feed (25C)'!$A$1:$G$10,7,FALSE))))</f>
        <v/>
      </c>
      <c r="F812" s="7"/>
      <c r="G812" s="8"/>
    </row>
    <row r="813">
      <c r="A813" s="9" t="str">
        <f t="shared" ref="A813:A817" si="947">A812</f>
        <v/>
      </c>
      <c r="B813" s="9" t="str">
        <f>IF(ISBLANK(A812),"",LEFT(B812,27)&amp;VALUE(RIGHT(B812,1)+1))</f>
        <v/>
      </c>
      <c r="C813" s="6" t="str">
        <f t="shared" ref="C813:D813" si="946">C812</f>
        <v/>
      </c>
      <c r="D813" s="6" t="str">
        <f t="shared" si="946"/>
        <v/>
      </c>
      <c r="E813" s="10" t="str">
        <f>IF(ISBLANK(A812),"",E812+1)</f>
        <v/>
      </c>
      <c r="F813" s="11" t="str">
        <f t="shared" ref="F813:F817" si="949">F812</f>
        <v/>
      </c>
      <c r="G813" s="8"/>
    </row>
    <row r="814">
      <c r="A814" s="9" t="str">
        <f t="shared" si="947"/>
        <v/>
      </c>
      <c r="B814" s="9" t="str">
        <f>IF(ISBLANK(A812),"",LEFT(B813,27)&amp;VALUE(RIGHT(B813,1)+1))</f>
        <v/>
      </c>
      <c r="C814" s="6" t="str">
        <f t="shared" ref="C814:D814" si="948">C813</f>
        <v/>
      </c>
      <c r="D814" s="6" t="str">
        <f t="shared" si="948"/>
        <v/>
      </c>
      <c r="E814" s="10" t="str">
        <f>IF(ISBLANK(A812),"",E813+1)</f>
        <v/>
      </c>
      <c r="F814" s="11" t="str">
        <f t="shared" si="949"/>
        <v/>
      </c>
      <c r="G814" s="8"/>
    </row>
    <row r="815">
      <c r="A815" s="9" t="str">
        <f t="shared" si="947"/>
        <v/>
      </c>
      <c r="B815" s="9" t="str">
        <f>IF(ISBLANK(A812),"",LEFT(B814,27)&amp;VALUE(RIGHT(B814,1)+1))</f>
        <v/>
      </c>
      <c r="C815" s="6" t="str">
        <f t="shared" ref="C815:D815" si="950">C814</f>
        <v/>
      </c>
      <c r="D815" s="6" t="str">
        <f t="shared" si="950"/>
        <v/>
      </c>
      <c r="E815" s="10" t="str">
        <f>IF(ISBLANK(A812),"",E814+1)</f>
        <v/>
      </c>
      <c r="F815" s="11" t="str">
        <f t="shared" si="949"/>
        <v/>
      </c>
      <c r="G815" s="8"/>
    </row>
    <row r="816">
      <c r="A816" s="9" t="str">
        <f t="shared" si="947"/>
        <v/>
      </c>
      <c r="B816" s="9" t="str">
        <f>IF(ISBLANK(A812),"",LEFT(B815,27)&amp;VALUE(RIGHT(B815,1)+1))</f>
        <v/>
      </c>
      <c r="C816" s="6" t="str">
        <f t="shared" ref="C816:D816" si="951">C815</f>
        <v/>
      </c>
      <c r="D816" s="6" t="str">
        <f t="shared" si="951"/>
        <v/>
      </c>
      <c r="E816" s="10" t="str">
        <f>IF(ISBLANK(A812),"",E815+1)</f>
        <v/>
      </c>
      <c r="F816" s="11" t="str">
        <f t="shared" si="949"/>
        <v/>
      </c>
      <c r="G816" s="8"/>
    </row>
    <row r="817">
      <c r="A817" s="12" t="str">
        <f t="shared" si="947"/>
        <v/>
      </c>
      <c r="B817" s="12" t="str">
        <f>IF(ISBLANK(A812),"",LEFT(B816,27)&amp;VALUE(RIGHT(B816,1)+1))</f>
        <v/>
      </c>
      <c r="C817" s="13" t="str">
        <f t="shared" ref="C817:D817" si="952">C816</f>
        <v/>
      </c>
      <c r="D817" s="13" t="str">
        <f t="shared" si="952"/>
        <v/>
      </c>
      <c r="E817" s="14" t="str">
        <f>IF(ISBLANK(A812),"",E816+1)</f>
        <v/>
      </c>
      <c r="F817" s="15" t="str">
        <f t="shared" si="949"/>
        <v/>
      </c>
      <c r="G817" s="16"/>
    </row>
    <row r="818">
      <c r="A818" s="5"/>
      <c r="B818" s="6" t="str">
        <f t="array" ref="B818">IF(ISBLANK(A818),"",IF(A818="PROREP (L)",VLOOKUP(LEFT($A818,6),'Data Feed (25C)'!$A$1:$G$10,2,FALSE),IF(A818="PROREP (S)", INDEX('Data Feed (25C)'!B:B, MATCH(LEFT($A818,6), 'Data Feed (25C)'!$A$1:$A$10, 0) + 1), VLOOKUP($A818,'Data Feed (25C)'!$A$1:$G$10,2,FALSE))))</f>
        <v/>
      </c>
      <c r="C818" s="6" t="str">
        <f t="array" ref="C818">IF(ISBLANK(A818),"",IF(A818="PROREP (L)",VLOOKUP(LEFT($A818,6),'Data Feed (25C)'!$A$1:$G$10,3,FALSE),IF(A818="PROREP (S)", INDEX('Data Feed (25C)'!C:C, MATCH(LEFT($A818,6), 'Data Feed (25C)'!$A$1:$A$10, 0) + 1, +1), VLOOKUP($A818,'Data Feed (25C)'!$A$1:$G$10,3,FALSE))))</f>
        <v/>
      </c>
      <c r="D818" s="6" t="str">
        <f t="array" ref="D818">IF(ISBLANK(A818),"",IF(A818="PROREP (L)",VLOOKUP(LEFT($A818,6),'Data Feed (25C)'!$A$1:$G$10,4,FALSE),IF(A818="PROREP (S)", INDEX('Data Feed (25C)'!D:D, MATCH(LEFT($A818,6), 'Data Feed (25C)'!$A$1:$A$10, 0) + 1, +1), VLOOKUP($A818,'Data Feed (25C)'!$A$1:$G$10,4,FALSE))))</f>
        <v/>
      </c>
      <c r="E818" s="6" t="str">
        <f t="array" ref="E818">IF(ISBLANK(A818),"",IF(A818="PROREP (L)",VLOOKUP(LEFT($A818,6),'Data Feed (25C)'!$A$1:$G$10,7,FALSE),IF(A818="PROREP (S)", INDEX('Data Feed (25C)'!G:G, MATCH(LEFT($A818,6), 'Data Feed (25C)'!$A$1:$A$10, 0) + 1, +1), VLOOKUP($A818,'Data Feed (25C)'!$A$1:$G$10,7,FALSE))))</f>
        <v/>
      </c>
      <c r="F818" s="7"/>
      <c r="G818" s="8"/>
    </row>
    <row r="819">
      <c r="A819" s="9" t="str">
        <f t="shared" ref="A819:A823" si="954">A818</f>
        <v/>
      </c>
      <c r="B819" s="9" t="str">
        <f>IF(ISBLANK(A818),"",LEFT(B818,27)&amp;VALUE(RIGHT(B818,1)+1))</f>
        <v/>
      </c>
      <c r="C819" s="6" t="str">
        <f t="shared" ref="C819:D819" si="953">C818</f>
        <v/>
      </c>
      <c r="D819" s="6" t="str">
        <f t="shared" si="953"/>
        <v/>
      </c>
      <c r="E819" s="10" t="str">
        <f>IF(ISBLANK(A818),"",E818+1)</f>
        <v/>
      </c>
      <c r="F819" s="11" t="str">
        <f t="shared" ref="F819:F823" si="956">F818</f>
        <v/>
      </c>
      <c r="G819" s="8"/>
    </row>
    <row r="820">
      <c r="A820" s="9" t="str">
        <f t="shared" si="954"/>
        <v/>
      </c>
      <c r="B820" s="9" t="str">
        <f>IF(ISBLANK(A818),"",LEFT(B819,27)&amp;VALUE(RIGHT(B819,1)+1))</f>
        <v/>
      </c>
      <c r="C820" s="6" t="str">
        <f t="shared" ref="C820:D820" si="955">C819</f>
        <v/>
      </c>
      <c r="D820" s="6" t="str">
        <f t="shared" si="955"/>
        <v/>
      </c>
      <c r="E820" s="10" t="str">
        <f>IF(ISBLANK(A818),"",E819+1)</f>
        <v/>
      </c>
      <c r="F820" s="11" t="str">
        <f t="shared" si="956"/>
        <v/>
      </c>
      <c r="G820" s="8"/>
    </row>
    <row r="821">
      <c r="A821" s="9" t="str">
        <f t="shared" si="954"/>
        <v/>
      </c>
      <c r="B821" s="9" t="str">
        <f>IF(ISBLANK(A818),"",LEFT(B820,27)&amp;VALUE(RIGHT(B820,1)+1))</f>
        <v/>
      </c>
      <c r="C821" s="6" t="str">
        <f t="shared" ref="C821:D821" si="957">C820</f>
        <v/>
      </c>
      <c r="D821" s="6" t="str">
        <f t="shared" si="957"/>
        <v/>
      </c>
      <c r="E821" s="10" t="str">
        <f>IF(ISBLANK(A818),"",E820+1)</f>
        <v/>
      </c>
      <c r="F821" s="11" t="str">
        <f t="shared" si="956"/>
        <v/>
      </c>
      <c r="G821" s="8"/>
    </row>
    <row r="822">
      <c r="A822" s="9" t="str">
        <f t="shared" si="954"/>
        <v/>
      </c>
      <c r="B822" s="9" t="str">
        <f>IF(ISBLANK(A818),"",LEFT(B821,27)&amp;VALUE(RIGHT(B821,1)+1))</f>
        <v/>
      </c>
      <c r="C822" s="6" t="str">
        <f t="shared" ref="C822:D822" si="958">C821</f>
        <v/>
      </c>
      <c r="D822" s="6" t="str">
        <f t="shared" si="958"/>
        <v/>
      </c>
      <c r="E822" s="10" t="str">
        <f>IF(ISBLANK(A818),"",E821+1)</f>
        <v/>
      </c>
      <c r="F822" s="11" t="str">
        <f t="shared" si="956"/>
        <v/>
      </c>
      <c r="G822" s="8"/>
    </row>
    <row r="823">
      <c r="A823" s="12" t="str">
        <f t="shared" si="954"/>
        <v/>
      </c>
      <c r="B823" s="12" t="str">
        <f>IF(ISBLANK(A818),"",LEFT(B822,27)&amp;VALUE(RIGHT(B822,1)+1))</f>
        <v/>
      </c>
      <c r="C823" s="13" t="str">
        <f t="shared" ref="C823:D823" si="959">C822</f>
        <v/>
      </c>
      <c r="D823" s="13" t="str">
        <f t="shared" si="959"/>
        <v/>
      </c>
      <c r="E823" s="14" t="str">
        <f>IF(ISBLANK(A818),"",E822+1)</f>
        <v/>
      </c>
      <c r="F823" s="15" t="str">
        <f t="shared" si="956"/>
        <v/>
      </c>
      <c r="G823" s="16"/>
    </row>
    <row r="824">
      <c r="A824" s="5"/>
      <c r="B824" s="6" t="str">
        <f t="array" ref="B824">IF(ISBLANK(A824),"",IF(A824="PROREP (L)",VLOOKUP(LEFT($A824,6),'Data Feed (25C)'!$A$1:$G$10,2,FALSE),IF(A824="PROREP (S)", INDEX('Data Feed (25C)'!B:B, MATCH(LEFT($A824,6), 'Data Feed (25C)'!$A$1:$A$10, 0) + 1), VLOOKUP($A824,'Data Feed (25C)'!$A$1:$G$10,2,FALSE))))</f>
        <v/>
      </c>
      <c r="C824" s="6" t="str">
        <f t="array" ref="C824">IF(ISBLANK(A824),"",IF(A824="PROREP (L)",VLOOKUP(LEFT($A824,6),'Data Feed (25C)'!$A$1:$G$10,3,FALSE),IF(A824="PROREP (S)", INDEX('Data Feed (25C)'!C:C, MATCH(LEFT($A824,6), 'Data Feed (25C)'!$A$1:$A$10, 0) + 1, +1), VLOOKUP($A824,'Data Feed (25C)'!$A$1:$G$10,3,FALSE))))</f>
        <v/>
      </c>
      <c r="D824" s="6" t="str">
        <f t="array" ref="D824">IF(ISBLANK(A824),"",IF(A824="PROREP (L)",VLOOKUP(LEFT($A824,6),'Data Feed (25C)'!$A$1:$G$10,4,FALSE),IF(A824="PROREP (S)", INDEX('Data Feed (25C)'!D:D, MATCH(LEFT($A824,6), 'Data Feed (25C)'!$A$1:$A$10, 0) + 1, +1), VLOOKUP($A824,'Data Feed (25C)'!$A$1:$G$10,4,FALSE))))</f>
        <v/>
      </c>
      <c r="E824" s="6" t="str">
        <f t="array" ref="E824">IF(ISBLANK(A824),"",IF(A824="PROREP (L)",VLOOKUP(LEFT($A824,6),'Data Feed (25C)'!$A$1:$G$10,7,FALSE),IF(A824="PROREP (S)", INDEX('Data Feed (25C)'!G:G, MATCH(LEFT($A824,6), 'Data Feed (25C)'!$A$1:$A$10, 0) + 1, +1), VLOOKUP($A824,'Data Feed (25C)'!$A$1:$G$10,7,FALSE))))</f>
        <v/>
      </c>
      <c r="F824" s="7"/>
      <c r="G824" s="8"/>
    </row>
    <row r="825">
      <c r="A825" s="9" t="str">
        <f t="shared" ref="A825:A829" si="961">A824</f>
        <v/>
      </c>
      <c r="B825" s="9" t="str">
        <f>IF(ISBLANK(A824),"",LEFT(B824,27)&amp;VALUE(RIGHT(B824,1)+1))</f>
        <v/>
      </c>
      <c r="C825" s="6" t="str">
        <f t="shared" ref="C825:D825" si="960">C824</f>
        <v/>
      </c>
      <c r="D825" s="6" t="str">
        <f t="shared" si="960"/>
        <v/>
      </c>
      <c r="E825" s="10" t="str">
        <f>IF(ISBLANK(A824),"",E824+1)</f>
        <v/>
      </c>
      <c r="F825" s="11" t="str">
        <f t="shared" ref="F825:F829" si="963">F824</f>
        <v/>
      </c>
      <c r="G825" s="8"/>
    </row>
    <row r="826">
      <c r="A826" s="9" t="str">
        <f t="shared" si="961"/>
        <v/>
      </c>
      <c r="B826" s="9" t="str">
        <f>IF(ISBLANK(A824),"",LEFT(B825,27)&amp;VALUE(RIGHT(B825,1)+1))</f>
        <v/>
      </c>
      <c r="C826" s="6" t="str">
        <f t="shared" ref="C826:D826" si="962">C825</f>
        <v/>
      </c>
      <c r="D826" s="6" t="str">
        <f t="shared" si="962"/>
        <v/>
      </c>
      <c r="E826" s="10" t="str">
        <f>IF(ISBLANK(A824),"",E825+1)</f>
        <v/>
      </c>
      <c r="F826" s="11" t="str">
        <f t="shared" si="963"/>
        <v/>
      </c>
      <c r="G826" s="8"/>
    </row>
    <row r="827">
      <c r="A827" s="9" t="str">
        <f t="shared" si="961"/>
        <v/>
      </c>
      <c r="B827" s="9" t="str">
        <f>IF(ISBLANK(A824),"",LEFT(B826,27)&amp;VALUE(RIGHT(B826,1)+1))</f>
        <v/>
      </c>
      <c r="C827" s="6" t="str">
        <f t="shared" ref="C827:D827" si="964">C826</f>
        <v/>
      </c>
      <c r="D827" s="6" t="str">
        <f t="shared" si="964"/>
        <v/>
      </c>
      <c r="E827" s="10" t="str">
        <f>IF(ISBLANK(A824),"",E826+1)</f>
        <v/>
      </c>
      <c r="F827" s="11" t="str">
        <f t="shared" si="963"/>
        <v/>
      </c>
      <c r="G827" s="8"/>
    </row>
    <row r="828">
      <c r="A828" s="9" t="str">
        <f t="shared" si="961"/>
        <v/>
      </c>
      <c r="B828" s="9" t="str">
        <f>IF(ISBLANK(A824),"",LEFT(B827,27)&amp;VALUE(RIGHT(B827,1)+1))</f>
        <v/>
      </c>
      <c r="C828" s="6" t="str">
        <f t="shared" ref="C828:D828" si="965">C827</f>
        <v/>
      </c>
      <c r="D828" s="6" t="str">
        <f t="shared" si="965"/>
        <v/>
      </c>
      <c r="E828" s="10" t="str">
        <f>IF(ISBLANK(A824),"",E827+1)</f>
        <v/>
      </c>
      <c r="F828" s="11" t="str">
        <f t="shared" si="963"/>
        <v/>
      </c>
      <c r="G828" s="8"/>
    </row>
    <row r="829">
      <c r="A829" s="12" t="str">
        <f t="shared" si="961"/>
        <v/>
      </c>
      <c r="B829" s="12" t="str">
        <f>IF(ISBLANK(A824),"",LEFT(B828,27)&amp;VALUE(RIGHT(B828,1)+1))</f>
        <v/>
      </c>
      <c r="C829" s="13" t="str">
        <f t="shared" ref="C829:D829" si="966">C828</f>
        <v/>
      </c>
      <c r="D829" s="13" t="str">
        <f t="shared" si="966"/>
        <v/>
      </c>
      <c r="E829" s="14" t="str">
        <f>IF(ISBLANK(A824),"",E828+1)</f>
        <v/>
      </c>
      <c r="F829" s="15" t="str">
        <f t="shared" si="963"/>
        <v/>
      </c>
      <c r="G829" s="16"/>
    </row>
    <row r="830">
      <c r="A830" s="5"/>
      <c r="B830" s="6" t="str">
        <f t="array" ref="B830">IF(ISBLANK(A830),"",IF(A830="PROREP (L)",VLOOKUP(LEFT($A830,6),'Data Feed (25C)'!$A$1:$G$10,2,FALSE),IF(A830="PROREP (S)", INDEX('Data Feed (25C)'!B:B, MATCH(LEFT($A830,6), 'Data Feed (25C)'!$A$1:$A$10, 0) + 1), VLOOKUP($A830,'Data Feed (25C)'!$A$1:$G$10,2,FALSE))))</f>
        <v/>
      </c>
      <c r="C830" s="6" t="str">
        <f t="array" ref="C830">IF(ISBLANK(A830),"",IF(A830="PROREP (L)",VLOOKUP(LEFT($A830,6),'Data Feed (25C)'!$A$1:$G$10,3,FALSE),IF(A830="PROREP (S)", INDEX('Data Feed (25C)'!C:C, MATCH(LEFT($A830,6), 'Data Feed (25C)'!$A$1:$A$10, 0) + 1, +1), VLOOKUP($A830,'Data Feed (25C)'!$A$1:$G$10,3,FALSE))))</f>
        <v/>
      </c>
      <c r="D830" s="6" t="str">
        <f t="array" ref="D830">IF(ISBLANK(A830),"",IF(A830="PROREP (L)",VLOOKUP(LEFT($A830,6),'Data Feed (25C)'!$A$1:$G$10,4,FALSE),IF(A830="PROREP (S)", INDEX('Data Feed (25C)'!D:D, MATCH(LEFT($A830,6), 'Data Feed (25C)'!$A$1:$A$10, 0) + 1, +1), VLOOKUP($A830,'Data Feed (25C)'!$A$1:$G$10,4,FALSE))))</f>
        <v/>
      </c>
      <c r="E830" s="6" t="str">
        <f t="array" ref="E830">IF(ISBLANK(A830),"",IF(A830="PROREP (L)",VLOOKUP(LEFT($A830,6),'Data Feed (25C)'!$A$1:$G$10,7,FALSE),IF(A830="PROREP (S)", INDEX('Data Feed (25C)'!G:G, MATCH(LEFT($A830,6), 'Data Feed (25C)'!$A$1:$A$10, 0) + 1, +1), VLOOKUP($A830,'Data Feed (25C)'!$A$1:$G$10,7,FALSE))))</f>
        <v/>
      </c>
      <c r="F830" s="7"/>
      <c r="G830" s="8"/>
    </row>
    <row r="831">
      <c r="A831" s="9" t="str">
        <f t="shared" ref="A831:A835" si="968">A830</f>
        <v/>
      </c>
      <c r="B831" s="9" t="str">
        <f>IF(ISBLANK(A830),"",LEFT(B830,27)&amp;VALUE(RIGHT(B830,1)+1))</f>
        <v/>
      </c>
      <c r="C831" s="6" t="str">
        <f t="shared" ref="C831:D831" si="967">C830</f>
        <v/>
      </c>
      <c r="D831" s="6" t="str">
        <f t="shared" si="967"/>
        <v/>
      </c>
      <c r="E831" s="10" t="str">
        <f>IF(ISBLANK(A830),"",E830+1)</f>
        <v/>
      </c>
      <c r="F831" s="11" t="str">
        <f t="shared" ref="F831:F835" si="970">F830</f>
        <v/>
      </c>
      <c r="G831" s="8"/>
    </row>
    <row r="832">
      <c r="A832" s="9" t="str">
        <f t="shared" si="968"/>
        <v/>
      </c>
      <c r="B832" s="9" t="str">
        <f>IF(ISBLANK(A830),"",LEFT(B831,27)&amp;VALUE(RIGHT(B831,1)+1))</f>
        <v/>
      </c>
      <c r="C832" s="6" t="str">
        <f t="shared" ref="C832:D832" si="969">C831</f>
        <v/>
      </c>
      <c r="D832" s="6" t="str">
        <f t="shared" si="969"/>
        <v/>
      </c>
      <c r="E832" s="10" t="str">
        <f>IF(ISBLANK(A830),"",E831+1)</f>
        <v/>
      </c>
      <c r="F832" s="11" t="str">
        <f t="shared" si="970"/>
        <v/>
      </c>
      <c r="G832" s="8"/>
    </row>
    <row r="833">
      <c r="A833" s="9" t="str">
        <f t="shared" si="968"/>
        <v/>
      </c>
      <c r="B833" s="9" t="str">
        <f>IF(ISBLANK(A830),"",LEFT(B832,27)&amp;VALUE(RIGHT(B832,1)+1))</f>
        <v/>
      </c>
      <c r="C833" s="6" t="str">
        <f t="shared" ref="C833:D833" si="971">C832</f>
        <v/>
      </c>
      <c r="D833" s="6" t="str">
        <f t="shared" si="971"/>
        <v/>
      </c>
      <c r="E833" s="10" t="str">
        <f>IF(ISBLANK(A830),"",E832+1)</f>
        <v/>
      </c>
      <c r="F833" s="11" t="str">
        <f t="shared" si="970"/>
        <v/>
      </c>
      <c r="G833" s="8"/>
    </row>
    <row r="834">
      <c r="A834" s="9" t="str">
        <f t="shared" si="968"/>
        <v/>
      </c>
      <c r="B834" s="9" t="str">
        <f>IF(ISBLANK(A830),"",LEFT(B833,27)&amp;VALUE(RIGHT(B833,1)+1))</f>
        <v/>
      </c>
      <c r="C834" s="6" t="str">
        <f t="shared" ref="C834:D834" si="972">C833</f>
        <v/>
      </c>
      <c r="D834" s="6" t="str">
        <f t="shared" si="972"/>
        <v/>
      </c>
      <c r="E834" s="10" t="str">
        <f>IF(ISBLANK(A830),"",E833+1)</f>
        <v/>
      </c>
      <c r="F834" s="11" t="str">
        <f t="shared" si="970"/>
        <v/>
      </c>
      <c r="G834" s="8"/>
    </row>
    <row r="835">
      <c r="A835" s="12" t="str">
        <f t="shared" si="968"/>
        <v/>
      </c>
      <c r="B835" s="12" t="str">
        <f>IF(ISBLANK(A830),"",LEFT(B834,27)&amp;VALUE(RIGHT(B834,1)+1))</f>
        <v/>
      </c>
      <c r="C835" s="13" t="str">
        <f t="shared" ref="C835:D835" si="973">C834</f>
        <v/>
      </c>
      <c r="D835" s="13" t="str">
        <f t="shared" si="973"/>
        <v/>
      </c>
      <c r="E835" s="14" t="str">
        <f>IF(ISBLANK(A830),"",E834+1)</f>
        <v/>
      </c>
      <c r="F835" s="15" t="str">
        <f t="shared" si="970"/>
        <v/>
      </c>
      <c r="G835" s="16"/>
    </row>
    <row r="836">
      <c r="A836" s="5"/>
      <c r="B836" s="6" t="str">
        <f t="array" ref="B836">IF(ISBLANK(A836),"",IF(A836="PROREP (L)",VLOOKUP(LEFT($A836,6),'Data Feed (25C)'!$A$1:$G$10,2,FALSE),IF(A836="PROREP (S)", INDEX('Data Feed (25C)'!B:B, MATCH(LEFT($A836,6), 'Data Feed (25C)'!$A$1:$A$10, 0) + 1), VLOOKUP($A836,'Data Feed (25C)'!$A$1:$G$10,2,FALSE))))</f>
        <v/>
      </c>
      <c r="C836" s="6" t="str">
        <f t="array" ref="C836">IF(ISBLANK(A836),"",IF(A836="PROREP (L)",VLOOKUP(LEFT($A836,6),'Data Feed (25C)'!$A$1:$G$10,3,FALSE),IF(A836="PROREP (S)", INDEX('Data Feed (25C)'!C:C, MATCH(LEFT($A836,6), 'Data Feed (25C)'!$A$1:$A$10, 0) + 1, +1), VLOOKUP($A836,'Data Feed (25C)'!$A$1:$G$10,3,FALSE))))</f>
        <v/>
      </c>
      <c r="D836" s="6" t="str">
        <f t="array" ref="D836">IF(ISBLANK(A836),"",IF(A836="PROREP (L)",VLOOKUP(LEFT($A836,6),'Data Feed (25C)'!$A$1:$G$10,4,FALSE),IF(A836="PROREP (S)", INDEX('Data Feed (25C)'!D:D, MATCH(LEFT($A836,6), 'Data Feed (25C)'!$A$1:$A$10, 0) + 1, +1), VLOOKUP($A836,'Data Feed (25C)'!$A$1:$G$10,4,FALSE))))</f>
        <v/>
      </c>
      <c r="E836" s="6" t="str">
        <f t="array" ref="E836">IF(ISBLANK(A836),"",IF(A836="PROREP (L)",VLOOKUP(LEFT($A836,6),'Data Feed (25C)'!$A$1:$G$10,7,FALSE),IF(A836="PROREP (S)", INDEX('Data Feed (25C)'!G:G, MATCH(LEFT($A836,6), 'Data Feed (25C)'!$A$1:$A$10, 0) + 1, +1), VLOOKUP($A836,'Data Feed (25C)'!$A$1:$G$10,7,FALSE))))</f>
        <v/>
      </c>
      <c r="F836" s="7"/>
      <c r="G836" s="8"/>
    </row>
    <row r="837">
      <c r="A837" s="9" t="str">
        <f t="shared" ref="A837:A841" si="975">A836</f>
        <v/>
      </c>
      <c r="B837" s="9" t="str">
        <f>IF(ISBLANK(A836),"",LEFT(B836,27)&amp;VALUE(RIGHT(B836,1)+1))</f>
        <v/>
      </c>
      <c r="C837" s="6" t="str">
        <f t="shared" ref="C837:D837" si="974">C836</f>
        <v/>
      </c>
      <c r="D837" s="6" t="str">
        <f t="shared" si="974"/>
        <v/>
      </c>
      <c r="E837" s="10" t="str">
        <f>IF(ISBLANK(A836),"",E836+1)</f>
        <v/>
      </c>
      <c r="F837" s="11" t="str">
        <f t="shared" ref="F837:F841" si="977">F836</f>
        <v/>
      </c>
      <c r="G837" s="8"/>
    </row>
    <row r="838">
      <c r="A838" s="9" t="str">
        <f t="shared" si="975"/>
        <v/>
      </c>
      <c r="B838" s="9" t="str">
        <f>IF(ISBLANK(A836),"",LEFT(B837,27)&amp;VALUE(RIGHT(B837,1)+1))</f>
        <v/>
      </c>
      <c r="C838" s="6" t="str">
        <f t="shared" ref="C838:D838" si="976">C837</f>
        <v/>
      </c>
      <c r="D838" s="6" t="str">
        <f t="shared" si="976"/>
        <v/>
      </c>
      <c r="E838" s="10" t="str">
        <f>IF(ISBLANK(A836),"",E837+1)</f>
        <v/>
      </c>
      <c r="F838" s="11" t="str">
        <f t="shared" si="977"/>
        <v/>
      </c>
      <c r="G838" s="8"/>
    </row>
    <row r="839">
      <c r="A839" s="9" t="str">
        <f t="shared" si="975"/>
        <v/>
      </c>
      <c r="B839" s="9" t="str">
        <f>IF(ISBLANK(A836),"",LEFT(B838,27)&amp;VALUE(RIGHT(B838,1)+1))</f>
        <v/>
      </c>
      <c r="C839" s="6" t="str">
        <f t="shared" ref="C839:D839" si="978">C838</f>
        <v/>
      </c>
      <c r="D839" s="6" t="str">
        <f t="shared" si="978"/>
        <v/>
      </c>
      <c r="E839" s="10" t="str">
        <f>IF(ISBLANK(A836),"",E838+1)</f>
        <v/>
      </c>
      <c r="F839" s="11" t="str">
        <f t="shared" si="977"/>
        <v/>
      </c>
      <c r="G839" s="8"/>
    </row>
    <row r="840">
      <c r="A840" s="9" t="str">
        <f t="shared" si="975"/>
        <v/>
      </c>
      <c r="B840" s="9" t="str">
        <f>IF(ISBLANK(A836),"",LEFT(B839,27)&amp;VALUE(RIGHT(B839,1)+1))</f>
        <v/>
      </c>
      <c r="C840" s="6" t="str">
        <f t="shared" ref="C840:D840" si="979">C839</f>
        <v/>
      </c>
      <c r="D840" s="6" t="str">
        <f t="shared" si="979"/>
        <v/>
      </c>
      <c r="E840" s="10" t="str">
        <f>IF(ISBLANK(A836),"",E839+1)</f>
        <v/>
      </c>
      <c r="F840" s="11" t="str">
        <f t="shared" si="977"/>
        <v/>
      </c>
      <c r="G840" s="8"/>
    </row>
    <row r="841">
      <c r="A841" s="12" t="str">
        <f t="shared" si="975"/>
        <v/>
      </c>
      <c r="B841" s="12" t="str">
        <f>IF(ISBLANK(A836),"",LEFT(B840,27)&amp;VALUE(RIGHT(B840,1)+1))</f>
        <v/>
      </c>
      <c r="C841" s="13" t="str">
        <f t="shared" ref="C841:D841" si="980">C840</f>
        <v/>
      </c>
      <c r="D841" s="13" t="str">
        <f t="shared" si="980"/>
        <v/>
      </c>
      <c r="E841" s="14" t="str">
        <f>IF(ISBLANK(A836),"",E840+1)</f>
        <v/>
      </c>
      <c r="F841" s="15" t="str">
        <f t="shared" si="977"/>
        <v/>
      </c>
      <c r="G841" s="16"/>
    </row>
    <row r="842">
      <c r="A842" s="5"/>
      <c r="B842" s="6" t="str">
        <f t="array" ref="B842">IF(ISBLANK(A842),"",IF(A842="PROREP (L)",VLOOKUP(LEFT($A842,6),'Data Feed (25C)'!$A$1:$G$10,2,FALSE),IF(A842="PROREP (S)", INDEX('Data Feed (25C)'!B:B, MATCH(LEFT($A842,6), 'Data Feed (25C)'!$A$1:$A$10, 0) + 1), VLOOKUP($A842,'Data Feed (25C)'!$A$1:$G$10,2,FALSE))))</f>
        <v/>
      </c>
      <c r="C842" s="6" t="str">
        <f t="array" ref="C842">IF(ISBLANK(A842),"",IF(A842="PROREP (L)",VLOOKUP(LEFT($A842,6),'Data Feed (25C)'!$A$1:$G$10,3,FALSE),IF(A842="PROREP (S)", INDEX('Data Feed (25C)'!C:C, MATCH(LEFT($A842,6), 'Data Feed (25C)'!$A$1:$A$10, 0) + 1, +1), VLOOKUP($A842,'Data Feed (25C)'!$A$1:$G$10,3,FALSE))))</f>
        <v/>
      </c>
      <c r="D842" s="6" t="str">
        <f t="array" ref="D842">IF(ISBLANK(A842),"",IF(A842="PROREP (L)",VLOOKUP(LEFT($A842,6),'Data Feed (25C)'!$A$1:$G$10,4,FALSE),IF(A842="PROREP (S)", INDEX('Data Feed (25C)'!D:D, MATCH(LEFT($A842,6), 'Data Feed (25C)'!$A$1:$A$10, 0) + 1, +1), VLOOKUP($A842,'Data Feed (25C)'!$A$1:$G$10,4,FALSE))))</f>
        <v/>
      </c>
      <c r="E842" s="6" t="str">
        <f t="array" ref="E842">IF(ISBLANK(A842),"",IF(A842="PROREP (L)",VLOOKUP(LEFT($A842,6),'Data Feed (25C)'!$A$1:$G$10,7,FALSE),IF(A842="PROREP (S)", INDEX('Data Feed (25C)'!G:G, MATCH(LEFT($A842,6), 'Data Feed (25C)'!$A$1:$A$10, 0) + 1, +1), VLOOKUP($A842,'Data Feed (25C)'!$A$1:$G$10,7,FALSE))))</f>
        <v/>
      </c>
      <c r="F842" s="7"/>
      <c r="G842" s="8"/>
    </row>
    <row r="843">
      <c r="A843" s="9" t="str">
        <f t="shared" ref="A843:A847" si="982">A842</f>
        <v/>
      </c>
      <c r="B843" s="9" t="str">
        <f>IF(ISBLANK(A842),"",LEFT(B842,27)&amp;VALUE(RIGHT(B842,1)+1))</f>
        <v/>
      </c>
      <c r="C843" s="6" t="str">
        <f t="shared" ref="C843:D843" si="981">C842</f>
        <v/>
      </c>
      <c r="D843" s="6" t="str">
        <f t="shared" si="981"/>
        <v/>
      </c>
      <c r="E843" s="10" t="str">
        <f>IF(ISBLANK(A842),"",E842+1)</f>
        <v/>
      </c>
      <c r="F843" s="11" t="str">
        <f t="shared" ref="F843:F847" si="984">F842</f>
        <v/>
      </c>
      <c r="G843" s="8"/>
    </row>
    <row r="844">
      <c r="A844" s="9" t="str">
        <f t="shared" si="982"/>
        <v/>
      </c>
      <c r="B844" s="9" t="str">
        <f>IF(ISBLANK(A842),"",LEFT(B843,27)&amp;VALUE(RIGHT(B843,1)+1))</f>
        <v/>
      </c>
      <c r="C844" s="6" t="str">
        <f t="shared" ref="C844:D844" si="983">C843</f>
        <v/>
      </c>
      <c r="D844" s="6" t="str">
        <f t="shared" si="983"/>
        <v/>
      </c>
      <c r="E844" s="10" t="str">
        <f>IF(ISBLANK(A842),"",E843+1)</f>
        <v/>
      </c>
      <c r="F844" s="11" t="str">
        <f t="shared" si="984"/>
        <v/>
      </c>
      <c r="G844" s="8"/>
    </row>
    <row r="845">
      <c r="A845" s="9" t="str">
        <f t="shared" si="982"/>
        <v/>
      </c>
      <c r="B845" s="9" t="str">
        <f>IF(ISBLANK(A842),"",LEFT(B844,27)&amp;VALUE(RIGHT(B844,1)+1))</f>
        <v/>
      </c>
      <c r="C845" s="6" t="str">
        <f t="shared" ref="C845:D845" si="985">C844</f>
        <v/>
      </c>
      <c r="D845" s="6" t="str">
        <f t="shared" si="985"/>
        <v/>
      </c>
      <c r="E845" s="10" t="str">
        <f>IF(ISBLANK(A842),"",E844+1)</f>
        <v/>
      </c>
      <c r="F845" s="11" t="str">
        <f t="shared" si="984"/>
        <v/>
      </c>
      <c r="G845" s="8"/>
    </row>
    <row r="846">
      <c r="A846" s="9" t="str">
        <f t="shared" si="982"/>
        <v/>
      </c>
      <c r="B846" s="9" t="str">
        <f>IF(ISBLANK(A842),"",LEFT(B845,27)&amp;VALUE(RIGHT(B845,1)+1))</f>
        <v/>
      </c>
      <c r="C846" s="6" t="str">
        <f t="shared" ref="C846:D846" si="986">C845</f>
        <v/>
      </c>
      <c r="D846" s="6" t="str">
        <f t="shared" si="986"/>
        <v/>
      </c>
      <c r="E846" s="10" t="str">
        <f>IF(ISBLANK(A842),"",E845+1)</f>
        <v/>
      </c>
      <c r="F846" s="11" t="str">
        <f t="shared" si="984"/>
        <v/>
      </c>
      <c r="G846" s="8"/>
    </row>
    <row r="847">
      <c r="A847" s="12" t="str">
        <f t="shared" si="982"/>
        <v/>
      </c>
      <c r="B847" s="12" t="str">
        <f>IF(ISBLANK(A842),"",LEFT(B846,27)&amp;VALUE(RIGHT(B846,1)+1))</f>
        <v/>
      </c>
      <c r="C847" s="13" t="str">
        <f t="shared" ref="C847:D847" si="987">C846</f>
        <v/>
      </c>
      <c r="D847" s="13" t="str">
        <f t="shared" si="987"/>
        <v/>
      </c>
      <c r="E847" s="14" t="str">
        <f>IF(ISBLANK(A842),"",E846+1)</f>
        <v/>
      </c>
      <c r="F847" s="15" t="str">
        <f t="shared" si="984"/>
        <v/>
      </c>
      <c r="G847" s="16"/>
    </row>
    <row r="848">
      <c r="A848" s="5"/>
      <c r="B848" s="6" t="str">
        <f t="array" ref="B848">IF(ISBLANK(A848),"",IF(A848="PROREP (L)",VLOOKUP(LEFT($A848,6),'Data Feed (25C)'!$A$1:$G$10,2,FALSE),IF(A848="PROREP (S)", INDEX('Data Feed (25C)'!B:B, MATCH(LEFT($A848,6), 'Data Feed (25C)'!$A$1:$A$10, 0) + 1), VLOOKUP($A848,'Data Feed (25C)'!$A$1:$G$10,2,FALSE))))</f>
        <v/>
      </c>
      <c r="C848" s="6" t="str">
        <f t="array" ref="C848">IF(ISBLANK(A848),"",IF(A848="PROREP (L)",VLOOKUP(LEFT($A848,6),'Data Feed (25C)'!$A$1:$G$10,3,FALSE),IF(A848="PROREP (S)", INDEX('Data Feed (25C)'!C:C, MATCH(LEFT($A848,6), 'Data Feed (25C)'!$A$1:$A$10, 0) + 1, +1), VLOOKUP($A848,'Data Feed (25C)'!$A$1:$G$10,3,FALSE))))</f>
        <v/>
      </c>
      <c r="D848" s="6" t="str">
        <f t="array" ref="D848">IF(ISBLANK(A848),"",IF(A848="PROREP (L)",VLOOKUP(LEFT($A848,6),'Data Feed (25C)'!$A$1:$G$10,4,FALSE),IF(A848="PROREP (S)", INDEX('Data Feed (25C)'!D:D, MATCH(LEFT($A848,6), 'Data Feed (25C)'!$A$1:$A$10, 0) + 1, +1), VLOOKUP($A848,'Data Feed (25C)'!$A$1:$G$10,4,FALSE))))</f>
        <v/>
      </c>
      <c r="E848" s="6" t="str">
        <f t="array" ref="E848">IF(ISBLANK(A848),"",IF(A848="PROREP (L)",VLOOKUP(LEFT($A848,6),'Data Feed (25C)'!$A$1:$G$10,7,FALSE),IF(A848="PROREP (S)", INDEX('Data Feed (25C)'!G:G, MATCH(LEFT($A848,6), 'Data Feed (25C)'!$A$1:$A$10, 0) + 1, +1), VLOOKUP($A848,'Data Feed (25C)'!$A$1:$G$10,7,FALSE))))</f>
        <v/>
      </c>
      <c r="F848" s="7"/>
      <c r="G848" s="8"/>
    </row>
    <row r="849">
      <c r="A849" s="9" t="str">
        <f t="shared" ref="A849:A853" si="989">A848</f>
        <v/>
      </c>
      <c r="B849" s="9" t="str">
        <f>IF(ISBLANK(A848),"",LEFT(B848,27)&amp;VALUE(RIGHT(B848,1)+1))</f>
        <v/>
      </c>
      <c r="C849" s="6" t="str">
        <f t="shared" ref="C849:D849" si="988">C848</f>
        <v/>
      </c>
      <c r="D849" s="6" t="str">
        <f t="shared" si="988"/>
        <v/>
      </c>
      <c r="E849" s="10" t="str">
        <f>IF(ISBLANK(A848),"",E848+1)</f>
        <v/>
      </c>
      <c r="F849" s="11" t="str">
        <f t="shared" ref="F849:F853" si="991">F848</f>
        <v/>
      </c>
      <c r="G849" s="8"/>
    </row>
    <row r="850">
      <c r="A850" s="9" t="str">
        <f t="shared" si="989"/>
        <v/>
      </c>
      <c r="B850" s="9" t="str">
        <f>IF(ISBLANK(A848),"",LEFT(B849,27)&amp;VALUE(RIGHT(B849,1)+1))</f>
        <v/>
      </c>
      <c r="C850" s="6" t="str">
        <f t="shared" ref="C850:D850" si="990">C849</f>
        <v/>
      </c>
      <c r="D850" s="6" t="str">
        <f t="shared" si="990"/>
        <v/>
      </c>
      <c r="E850" s="10" t="str">
        <f>IF(ISBLANK(A848),"",E849+1)</f>
        <v/>
      </c>
      <c r="F850" s="11" t="str">
        <f t="shared" si="991"/>
        <v/>
      </c>
      <c r="G850" s="8"/>
    </row>
    <row r="851">
      <c r="A851" s="9" t="str">
        <f t="shared" si="989"/>
        <v/>
      </c>
      <c r="B851" s="9" t="str">
        <f>IF(ISBLANK(A848),"",LEFT(B850,27)&amp;VALUE(RIGHT(B850,1)+1))</f>
        <v/>
      </c>
      <c r="C851" s="6" t="str">
        <f t="shared" ref="C851:D851" si="992">C850</f>
        <v/>
      </c>
      <c r="D851" s="6" t="str">
        <f t="shared" si="992"/>
        <v/>
      </c>
      <c r="E851" s="10" t="str">
        <f>IF(ISBLANK(A848),"",E850+1)</f>
        <v/>
      </c>
      <c r="F851" s="11" t="str">
        <f t="shared" si="991"/>
        <v/>
      </c>
      <c r="G851" s="8"/>
    </row>
    <row r="852">
      <c r="A852" s="9" t="str">
        <f t="shared" si="989"/>
        <v/>
      </c>
      <c r="B852" s="9" t="str">
        <f>IF(ISBLANK(A848),"",LEFT(B851,27)&amp;VALUE(RIGHT(B851,1)+1))</f>
        <v/>
      </c>
      <c r="C852" s="6" t="str">
        <f t="shared" ref="C852:D852" si="993">C851</f>
        <v/>
      </c>
      <c r="D852" s="6" t="str">
        <f t="shared" si="993"/>
        <v/>
      </c>
      <c r="E852" s="10" t="str">
        <f>IF(ISBLANK(A848),"",E851+1)</f>
        <v/>
      </c>
      <c r="F852" s="11" t="str">
        <f t="shared" si="991"/>
        <v/>
      </c>
      <c r="G852" s="8"/>
    </row>
    <row r="853">
      <c r="A853" s="12" t="str">
        <f t="shared" si="989"/>
        <v/>
      </c>
      <c r="B853" s="12" t="str">
        <f>IF(ISBLANK(A848),"",LEFT(B852,27)&amp;VALUE(RIGHT(B852,1)+1))</f>
        <v/>
      </c>
      <c r="C853" s="13" t="str">
        <f t="shared" ref="C853:D853" si="994">C852</f>
        <v/>
      </c>
      <c r="D853" s="13" t="str">
        <f t="shared" si="994"/>
        <v/>
      </c>
      <c r="E853" s="14" t="str">
        <f>IF(ISBLANK(A848),"",E852+1)</f>
        <v/>
      </c>
      <c r="F853" s="15" t="str">
        <f t="shared" si="991"/>
        <v/>
      </c>
      <c r="G853" s="16"/>
    </row>
    <row r="854">
      <c r="A854" s="5"/>
      <c r="B854" s="6" t="str">
        <f t="array" ref="B854">IF(ISBLANK(A854),"",IF(A854="PROREP (L)",VLOOKUP(LEFT($A854,6),'Data Feed (25C)'!$A$1:$G$10,2,FALSE),IF(A854="PROREP (S)", INDEX('Data Feed (25C)'!B:B, MATCH(LEFT($A854,6), 'Data Feed (25C)'!$A$1:$A$10, 0) + 1), VLOOKUP($A854,'Data Feed (25C)'!$A$1:$G$10,2,FALSE))))</f>
        <v/>
      </c>
      <c r="C854" s="6" t="str">
        <f t="array" ref="C854">IF(ISBLANK(A854),"",IF(A854="PROREP (L)",VLOOKUP(LEFT($A854,6),'Data Feed (25C)'!$A$1:$G$10,3,FALSE),IF(A854="PROREP (S)", INDEX('Data Feed (25C)'!C:C, MATCH(LEFT($A854,6), 'Data Feed (25C)'!$A$1:$A$10, 0) + 1, +1), VLOOKUP($A854,'Data Feed (25C)'!$A$1:$G$10,3,FALSE))))</f>
        <v/>
      </c>
      <c r="D854" s="6" t="str">
        <f t="array" ref="D854">IF(ISBLANK(A854),"",IF(A854="PROREP (L)",VLOOKUP(LEFT($A854,6),'Data Feed (25C)'!$A$1:$G$10,4,FALSE),IF(A854="PROREP (S)", INDEX('Data Feed (25C)'!D:D, MATCH(LEFT($A854,6), 'Data Feed (25C)'!$A$1:$A$10, 0) + 1, +1), VLOOKUP($A854,'Data Feed (25C)'!$A$1:$G$10,4,FALSE))))</f>
        <v/>
      </c>
      <c r="E854" s="6" t="str">
        <f t="array" ref="E854">IF(ISBLANK(A854),"",IF(A854="PROREP (L)",VLOOKUP(LEFT($A854,6),'Data Feed (25C)'!$A$1:$G$10,7,FALSE),IF(A854="PROREP (S)", INDEX('Data Feed (25C)'!G:G, MATCH(LEFT($A854,6), 'Data Feed (25C)'!$A$1:$A$10, 0) + 1, +1), VLOOKUP($A854,'Data Feed (25C)'!$A$1:$G$10,7,FALSE))))</f>
        <v/>
      </c>
      <c r="F854" s="7"/>
      <c r="G854" s="8"/>
    </row>
    <row r="855">
      <c r="A855" s="9" t="str">
        <f t="shared" ref="A855:A859" si="996">A854</f>
        <v/>
      </c>
      <c r="B855" s="9" t="str">
        <f>IF(ISBLANK(A854),"",LEFT(B854,27)&amp;VALUE(RIGHT(B854,1)+1))</f>
        <v/>
      </c>
      <c r="C855" s="6" t="str">
        <f t="shared" ref="C855:D855" si="995">C854</f>
        <v/>
      </c>
      <c r="D855" s="6" t="str">
        <f t="shared" si="995"/>
        <v/>
      </c>
      <c r="E855" s="10" t="str">
        <f>IF(ISBLANK(A854),"",E854+1)</f>
        <v/>
      </c>
      <c r="F855" s="11" t="str">
        <f t="shared" ref="F855:F859" si="998">F854</f>
        <v/>
      </c>
      <c r="G855" s="8"/>
    </row>
    <row r="856">
      <c r="A856" s="9" t="str">
        <f t="shared" si="996"/>
        <v/>
      </c>
      <c r="B856" s="9" t="str">
        <f>IF(ISBLANK(A854),"",LEFT(B855,27)&amp;VALUE(RIGHT(B855,1)+1))</f>
        <v/>
      </c>
      <c r="C856" s="6" t="str">
        <f t="shared" ref="C856:D856" si="997">C855</f>
        <v/>
      </c>
      <c r="D856" s="6" t="str">
        <f t="shared" si="997"/>
        <v/>
      </c>
      <c r="E856" s="10" t="str">
        <f>IF(ISBLANK(A854),"",E855+1)</f>
        <v/>
      </c>
      <c r="F856" s="11" t="str">
        <f t="shared" si="998"/>
        <v/>
      </c>
      <c r="G856" s="8"/>
    </row>
    <row r="857">
      <c r="A857" s="9" t="str">
        <f t="shared" si="996"/>
        <v/>
      </c>
      <c r="B857" s="9" t="str">
        <f>IF(ISBLANK(A854),"",LEFT(B856,27)&amp;VALUE(RIGHT(B856,1)+1))</f>
        <v/>
      </c>
      <c r="C857" s="6" t="str">
        <f t="shared" ref="C857:D857" si="999">C856</f>
        <v/>
      </c>
      <c r="D857" s="6" t="str">
        <f t="shared" si="999"/>
        <v/>
      </c>
      <c r="E857" s="10" t="str">
        <f>IF(ISBLANK(A854),"",E856+1)</f>
        <v/>
      </c>
      <c r="F857" s="11" t="str">
        <f t="shared" si="998"/>
        <v/>
      </c>
      <c r="G857" s="8"/>
    </row>
    <row r="858">
      <c r="A858" s="9" t="str">
        <f t="shared" si="996"/>
        <v/>
      </c>
      <c r="B858" s="9" t="str">
        <f>IF(ISBLANK(A854),"",LEFT(B857,27)&amp;VALUE(RIGHT(B857,1)+1))</f>
        <v/>
      </c>
      <c r="C858" s="6" t="str">
        <f t="shared" ref="C858:D858" si="1000">C857</f>
        <v/>
      </c>
      <c r="D858" s="6" t="str">
        <f t="shared" si="1000"/>
        <v/>
      </c>
      <c r="E858" s="10" t="str">
        <f>IF(ISBLANK(A854),"",E857+1)</f>
        <v/>
      </c>
      <c r="F858" s="11" t="str">
        <f t="shared" si="998"/>
        <v/>
      </c>
      <c r="G858" s="8"/>
    </row>
    <row r="859">
      <c r="A859" s="12" t="str">
        <f t="shared" si="996"/>
        <v/>
      </c>
      <c r="B859" s="12" t="str">
        <f>IF(ISBLANK(A854),"",LEFT(B858,27)&amp;VALUE(RIGHT(B858,1)+1))</f>
        <v/>
      </c>
      <c r="C859" s="13" t="str">
        <f t="shared" ref="C859:D859" si="1001">C858</f>
        <v/>
      </c>
      <c r="D859" s="13" t="str">
        <f t="shared" si="1001"/>
        <v/>
      </c>
      <c r="E859" s="14" t="str">
        <f>IF(ISBLANK(A854),"",E858+1)</f>
        <v/>
      </c>
      <c r="F859" s="15" t="str">
        <f t="shared" si="998"/>
        <v/>
      </c>
      <c r="G859" s="16"/>
    </row>
    <row r="860">
      <c r="A860" s="5"/>
      <c r="B860" s="6" t="str">
        <f t="array" ref="B860">IF(ISBLANK(A860),"",IF(A860="PROREP (L)",VLOOKUP(LEFT($A860,6),'Data Feed (25C)'!$A$1:$G$10,2,FALSE),IF(A860="PROREP (S)", INDEX('Data Feed (25C)'!B:B, MATCH(LEFT($A860,6), 'Data Feed (25C)'!$A$1:$A$10, 0) + 1), VLOOKUP($A860,'Data Feed (25C)'!$A$1:$G$10,2,FALSE))))</f>
        <v/>
      </c>
      <c r="C860" s="6" t="str">
        <f t="array" ref="C860">IF(ISBLANK(A860),"",IF(A860="PROREP (L)",VLOOKUP(LEFT($A860,6),'Data Feed (25C)'!$A$1:$G$10,3,FALSE),IF(A860="PROREP (S)", INDEX('Data Feed (25C)'!C:C, MATCH(LEFT($A860,6), 'Data Feed (25C)'!$A$1:$A$10, 0) + 1, +1), VLOOKUP($A860,'Data Feed (25C)'!$A$1:$G$10,3,FALSE))))</f>
        <v/>
      </c>
      <c r="D860" s="6" t="str">
        <f t="array" ref="D860">IF(ISBLANK(A860),"",IF(A860="PROREP (L)",VLOOKUP(LEFT($A860,6),'Data Feed (25C)'!$A$1:$G$10,4,FALSE),IF(A860="PROREP (S)", INDEX('Data Feed (25C)'!D:D, MATCH(LEFT($A860,6), 'Data Feed (25C)'!$A$1:$A$10, 0) + 1, +1), VLOOKUP($A860,'Data Feed (25C)'!$A$1:$G$10,4,FALSE))))</f>
        <v/>
      </c>
      <c r="E860" s="6" t="str">
        <f t="array" ref="E860">IF(ISBLANK(A860),"",IF(A860="PROREP (L)",VLOOKUP(LEFT($A860,6),'Data Feed (25C)'!$A$1:$G$10,7,FALSE),IF(A860="PROREP (S)", INDEX('Data Feed (25C)'!G:G, MATCH(LEFT($A860,6), 'Data Feed (25C)'!$A$1:$A$10, 0) + 1, +1), VLOOKUP($A860,'Data Feed (25C)'!$A$1:$G$10,7,FALSE))))</f>
        <v/>
      </c>
      <c r="F860" s="7"/>
      <c r="G860" s="8"/>
    </row>
    <row r="861">
      <c r="A861" s="9" t="str">
        <f t="shared" ref="A861:A865" si="1003">A860</f>
        <v/>
      </c>
      <c r="B861" s="9" t="str">
        <f>IF(ISBLANK(A860),"",LEFT(B860,27)&amp;VALUE(RIGHT(B860,1)+1))</f>
        <v/>
      </c>
      <c r="C861" s="6" t="str">
        <f t="shared" ref="C861:D861" si="1002">C860</f>
        <v/>
      </c>
      <c r="D861" s="6" t="str">
        <f t="shared" si="1002"/>
        <v/>
      </c>
      <c r="E861" s="10" t="str">
        <f>IF(ISBLANK(A860),"",E860+1)</f>
        <v/>
      </c>
      <c r="F861" s="11" t="str">
        <f t="shared" ref="F861:F865" si="1005">F860</f>
        <v/>
      </c>
      <c r="G861" s="8"/>
    </row>
    <row r="862">
      <c r="A862" s="9" t="str">
        <f t="shared" si="1003"/>
        <v/>
      </c>
      <c r="B862" s="9" t="str">
        <f>IF(ISBLANK(A860),"",LEFT(B861,27)&amp;VALUE(RIGHT(B861,1)+1))</f>
        <v/>
      </c>
      <c r="C862" s="6" t="str">
        <f t="shared" ref="C862:D862" si="1004">C861</f>
        <v/>
      </c>
      <c r="D862" s="6" t="str">
        <f t="shared" si="1004"/>
        <v/>
      </c>
      <c r="E862" s="10" t="str">
        <f>IF(ISBLANK(A860),"",E861+1)</f>
        <v/>
      </c>
      <c r="F862" s="11" t="str">
        <f t="shared" si="1005"/>
        <v/>
      </c>
      <c r="G862" s="8"/>
    </row>
    <row r="863">
      <c r="A863" s="9" t="str">
        <f t="shared" si="1003"/>
        <v/>
      </c>
      <c r="B863" s="9" t="str">
        <f>IF(ISBLANK(A860),"",LEFT(B862,27)&amp;VALUE(RIGHT(B862,1)+1))</f>
        <v/>
      </c>
      <c r="C863" s="6" t="str">
        <f t="shared" ref="C863:D863" si="1006">C862</f>
        <v/>
      </c>
      <c r="D863" s="6" t="str">
        <f t="shared" si="1006"/>
        <v/>
      </c>
      <c r="E863" s="10" t="str">
        <f>IF(ISBLANK(A860),"",E862+1)</f>
        <v/>
      </c>
      <c r="F863" s="11" t="str">
        <f t="shared" si="1005"/>
        <v/>
      </c>
      <c r="G863" s="8"/>
    </row>
    <row r="864">
      <c r="A864" s="9" t="str">
        <f t="shared" si="1003"/>
        <v/>
      </c>
      <c r="B864" s="9" t="str">
        <f>IF(ISBLANK(A860),"",LEFT(B863,27)&amp;VALUE(RIGHT(B863,1)+1))</f>
        <v/>
      </c>
      <c r="C864" s="6" t="str">
        <f t="shared" ref="C864:D864" si="1007">C863</f>
        <v/>
      </c>
      <c r="D864" s="6" t="str">
        <f t="shared" si="1007"/>
        <v/>
      </c>
      <c r="E864" s="10" t="str">
        <f>IF(ISBLANK(A860),"",E863+1)</f>
        <v/>
      </c>
      <c r="F864" s="11" t="str">
        <f t="shared" si="1005"/>
        <v/>
      </c>
      <c r="G864" s="8"/>
    </row>
    <row r="865">
      <c r="A865" s="12" t="str">
        <f t="shared" si="1003"/>
        <v/>
      </c>
      <c r="B865" s="12" t="str">
        <f>IF(ISBLANK(A860),"",LEFT(B864,27)&amp;VALUE(RIGHT(B864,1)+1))</f>
        <v/>
      </c>
      <c r="C865" s="13" t="str">
        <f t="shared" ref="C865:D865" si="1008">C864</f>
        <v/>
      </c>
      <c r="D865" s="13" t="str">
        <f t="shared" si="1008"/>
        <v/>
      </c>
      <c r="E865" s="14" t="str">
        <f>IF(ISBLANK(A860),"",E864+1)</f>
        <v/>
      </c>
      <c r="F865" s="15" t="str">
        <f t="shared" si="1005"/>
        <v/>
      </c>
      <c r="G865" s="16"/>
    </row>
    <row r="866">
      <c r="A866" s="5"/>
      <c r="B866" s="6" t="str">
        <f t="array" ref="B866">IF(ISBLANK(A866),"",IF(A866="PROREP (L)",VLOOKUP(LEFT($A866,6),'Data Feed (25C)'!$A$1:$G$10,2,FALSE),IF(A866="PROREP (S)", INDEX('Data Feed (25C)'!B:B, MATCH(LEFT($A866,6), 'Data Feed (25C)'!$A$1:$A$10, 0) + 1), VLOOKUP($A866,'Data Feed (25C)'!$A$1:$G$10,2,FALSE))))</f>
        <v/>
      </c>
      <c r="C866" s="6" t="str">
        <f t="array" ref="C866">IF(ISBLANK(A866),"",IF(A866="PROREP (L)",VLOOKUP(LEFT($A866,6),'Data Feed (25C)'!$A$1:$G$10,3,FALSE),IF(A866="PROREP (S)", INDEX('Data Feed (25C)'!C:C, MATCH(LEFT($A866,6), 'Data Feed (25C)'!$A$1:$A$10, 0) + 1, +1), VLOOKUP($A866,'Data Feed (25C)'!$A$1:$G$10,3,FALSE))))</f>
        <v/>
      </c>
      <c r="D866" s="6" t="str">
        <f t="array" ref="D866">IF(ISBLANK(A866),"",IF(A866="PROREP (L)",VLOOKUP(LEFT($A866,6),'Data Feed (25C)'!$A$1:$G$10,4,FALSE),IF(A866="PROREP (S)", INDEX('Data Feed (25C)'!D:D, MATCH(LEFT($A866,6), 'Data Feed (25C)'!$A$1:$A$10, 0) + 1, +1), VLOOKUP($A866,'Data Feed (25C)'!$A$1:$G$10,4,FALSE))))</f>
        <v/>
      </c>
      <c r="E866" s="6" t="str">
        <f t="array" ref="E866">IF(ISBLANK(A866),"",IF(A866="PROREP (L)",VLOOKUP(LEFT($A866,6),'Data Feed (25C)'!$A$1:$G$10,7,FALSE),IF(A866="PROREP (S)", INDEX('Data Feed (25C)'!G:G, MATCH(LEFT($A866,6), 'Data Feed (25C)'!$A$1:$A$10, 0) + 1, +1), VLOOKUP($A866,'Data Feed (25C)'!$A$1:$G$10,7,FALSE))))</f>
        <v/>
      </c>
      <c r="F866" s="7"/>
      <c r="G866" s="8"/>
    </row>
    <row r="867">
      <c r="A867" s="9" t="str">
        <f t="shared" ref="A867:A871" si="1010">A866</f>
        <v/>
      </c>
      <c r="B867" s="9" t="str">
        <f>IF(ISBLANK(A866),"",LEFT(B866,27)&amp;VALUE(RIGHT(B866,1)+1))</f>
        <v/>
      </c>
      <c r="C867" s="6" t="str">
        <f t="shared" ref="C867:D867" si="1009">C866</f>
        <v/>
      </c>
      <c r="D867" s="6" t="str">
        <f t="shared" si="1009"/>
        <v/>
      </c>
      <c r="E867" s="10" t="str">
        <f>IF(ISBLANK(A866),"",E866+1)</f>
        <v/>
      </c>
      <c r="F867" s="11" t="str">
        <f t="shared" ref="F867:F871" si="1012">F866</f>
        <v/>
      </c>
      <c r="G867" s="8"/>
    </row>
    <row r="868">
      <c r="A868" s="9" t="str">
        <f t="shared" si="1010"/>
        <v/>
      </c>
      <c r="B868" s="9" t="str">
        <f>IF(ISBLANK(A866),"",LEFT(B867,27)&amp;VALUE(RIGHT(B867,1)+1))</f>
        <v/>
      </c>
      <c r="C868" s="6" t="str">
        <f t="shared" ref="C868:D868" si="1011">C867</f>
        <v/>
      </c>
      <c r="D868" s="6" t="str">
        <f t="shared" si="1011"/>
        <v/>
      </c>
      <c r="E868" s="10" t="str">
        <f>IF(ISBLANK(A866),"",E867+1)</f>
        <v/>
      </c>
      <c r="F868" s="11" t="str">
        <f t="shared" si="1012"/>
        <v/>
      </c>
      <c r="G868" s="8"/>
    </row>
    <row r="869">
      <c r="A869" s="9" t="str">
        <f t="shared" si="1010"/>
        <v/>
      </c>
      <c r="B869" s="9" t="str">
        <f>IF(ISBLANK(A866),"",LEFT(B868,27)&amp;VALUE(RIGHT(B868,1)+1))</f>
        <v/>
      </c>
      <c r="C869" s="6" t="str">
        <f t="shared" ref="C869:D869" si="1013">C868</f>
        <v/>
      </c>
      <c r="D869" s="6" t="str">
        <f t="shared" si="1013"/>
        <v/>
      </c>
      <c r="E869" s="10" t="str">
        <f>IF(ISBLANK(A866),"",E868+1)</f>
        <v/>
      </c>
      <c r="F869" s="11" t="str">
        <f t="shared" si="1012"/>
        <v/>
      </c>
      <c r="G869" s="8"/>
    </row>
    <row r="870">
      <c r="A870" s="9" t="str">
        <f t="shared" si="1010"/>
        <v/>
      </c>
      <c r="B870" s="9" t="str">
        <f>IF(ISBLANK(A866),"",LEFT(B869,27)&amp;VALUE(RIGHT(B869,1)+1))</f>
        <v/>
      </c>
      <c r="C870" s="6" t="str">
        <f t="shared" ref="C870:D870" si="1014">C869</f>
        <v/>
      </c>
      <c r="D870" s="6" t="str">
        <f t="shared" si="1014"/>
        <v/>
      </c>
      <c r="E870" s="10" t="str">
        <f>IF(ISBLANK(A866),"",E869+1)</f>
        <v/>
      </c>
      <c r="F870" s="11" t="str">
        <f t="shared" si="1012"/>
        <v/>
      </c>
      <c r="G870" s="8"/>
    </row>
    <row r="871">
      <c r="A871" s="12" t="str">
        <f t="shared" si="1010"/>
        <v/>
      </c>
      <c r="B871" s="12" t="str">
        <f>IF(ISBLANK(A866),"",LEFT(B870,27)&amp;VALUE(RIGHT(B870,1)+1))</f>
        <v/>
      </c>
      <c r="C871" s="13" t="str">
        <f t="shared" ref="C871:D871" si="1015">C870</f>
        <v/>
      </c>
      <c r="D871" s="13" t="str">
        <f t="shared" si="1015"/>
        <v/>
      </c>
      <c r="E871" s="14" t="str">
        <f>IF(ISBLANK(A866),"",E870+1)</f>
        <v/>
      </c>
      <c r="F871" s="15" t="str">
        <f t="shared" si="1012"/>
        <v/>
      </c>
      <c r="G871" s="16"/>
    </row>
  </sheetData>
  <dataValidations>
    <dataValidation type="list" allowBlank="1" showErrorMessage="1" sqref="A2 A8 A14 A20 A26 A32 A38 A44 A50 A56 A62 A68 A74 A80 A86 A92 A98 A104 A110 A116 A122 A128 A134 A140 A146 A152 A158 A164 A170 A176 A182 A188 A194 A200 A206 A212 A218 A224 A230 A236 A242 A248 A254 A260 A266 A272 A278 A284 A290 A296 A302 A308 A314 A320 A326 A332 A338 A344 A350 A356 A362 A368 A374 A380 A386 A392 A398 A404 A410 A416 A422 A428 A434 A440 A446 A452 A458 A464 A470 A476 A482 A488 A494 A500 A506 A512 A518 A524 A530 A536 A542 A548 A554 A560 A566 A572 A578 A584 A590 A596 A602 A608 A614 A620 A626 A632 A638 A644 A650 A656 A662 A668 A674 A680 A686 A692 A698 A704 A710 A716 A722 A728 A734 A740 A746 A752 A758 A764 A770 A776 A782 A788 A794 A800 A806 A812 A818 A824 A830 A836 A842 A848 A854 A860 A866">
      <formula1>"PROREP (L),PROREP (S),ERIMON,CANCON"</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9.38"/>
    <col customWidth="1" min="3" max="3" width="19.75"/>
  </cols>
  <sheetData>
    <row r="1">
      <c r="A1" s="17" t="s">
        <v>0</v>
      </c>
      <c r="B1" s="2" t="s">
        <v>1</v>
      </c>
      <c r="C1" s="2" t="s">
        <v>2</v>
      </c>
      <c r="D1" s="2" t="s">
        <v>3</v>
      </c>
      <c r="E1" s="2" t="s">
        <v>11</v>
      </c>
      <c r="F1" s="2" t="s">
        <v>12</v>
      </c>
      <c r="G1" s="2" t="s">
        <v>13</v>
      </c>
    </row>
    <row r="2">
      <c r="A2" s="19" t="str">
        <f t="shared" ref="A2:A5" si="1">UPPER(LEFT(C2,3) &amp; MID(C2,FIND(" ",C2)+1,3))</f>
        <v>PROREP</v>
      </c>
      <c r="B2" s="19" t="str">
        <f>CONCATENATE("JKL", "24", UPPER(TEXT(F2,"mm")), UPPER(TEXT(F2,"dd")), UPPER(LEFT(C2,3)), UPPER(MID(C2,FIND(" ",C2)+1,3)),"_",D2,"_sample_",G2)</f>
        <v>JKL240702PROREP_40C_sample_1</v>
      </c>
      <c r="C2" s="17" t="s">
        <v>14</v>
      </c>
      <c r="D2" s="20" t="s">
        <v>15</v>
      </c>
      <c r="E2" s="17" t="s">
        <v>16</v>
      </c>
      <c r="F2" s="21">
        <v>45475.0</v>
      </c>
      <c r="G2" s="17">
        <v>1.0</v>
      </c>
    </row>
    <row r="3">
      <c r="A3" s="19" t="str">
        <f t="shared" si="1"/>
        <v>PROREP</v>
      </c>
      <c r="B3" s="19" t="str">
        <f t="shared" ref="B3:B5" si="2">CONCATENATE("JKS", "24", UPPER(TEXT(F3,"mm")), UPPER(TEXT(F3,"dd")), UPPER(LEFT(C3,3)), UPPER(MID(C3,FIND(" ",C3)+1,3)),"_",D3,"_sample_",G3)</f>
        <v>JKS240702PROREP_40C_sample_1</v>
      </c>
      <c r="C3" s="17" t="s">
        <v>14</v>
      </c>
      <c r="D3" s="20" t="s">
        <v>15</v>
      </c>
      <c r="E3" s="17" t="s">
        <v>16</v>
      </c>
      <c r="F3" s="21">
        <v>45475.0</v>
      </c>
      <c r="G3" s="17">
        <v>1.0</v>
      </c>
    </row>
    <row r="4">
      <c r="A4" s="19" t="str">
        <f t="shared" si="1"/>
        <v>ERIMON</v>
      </c>
      <c r="B4" s="19" t="str">
        <f t="shared" si="2"/>
        <v>JKS240702ERIMON_40C_sample_1</v>
      </c>
      <c r="C4" s="17" t="s">
        <v>17</v>
      </c>
      <c r="D4" s="20" t="s">
        <v>15</v>
      </c>
      <c r="E4" s="17" t="s">
        <v>16</v>
      </c>
      <c r="F4" s="21">
        <v>45475.0</v>
      </c>
      <c r="G4" s="17">
        <v>1.0</v>
      </c>
    </row>
    <row r="5">
      <c r="A5" s="19" t="str">
        <f t="shared" si="1"/>
        <v>CANCON</v>
      </c>
      <c r="B5" s="19" t="str">
        <f t="shared" si="2"/>
        <v>JKS240702CANCON_40C_sample_1</v>
      </c>
      <c r="C5" s="17" t="s">
        <v>18</v>
      </c>
      <c r="D5" s="20" t="s">
        <v>15</v>
      </c>
      <c r="E5" s="17" t="s">
        <v>16</v>
      </c>
      <c r="F5" s="21">
        <v>45475.0</v>
      </c>
      <c r="G5" s="17">
        <v>1.0</v>
      </c>
    </row>
    <row r="6">
      <c r="B6" s="22"/>
      <c r="C6" s="8"/>
      <c r="D6" s="23"/>
      <c r="E6" s="8"/>
      <c r="F6" s="21"/>
      <c r="G6" s="23"/>
    </row>
    <row r="7">
      <c r="B7" s="22"/>
      <c r="D7" s="23"/>
      <c r="E7" s="8"/>
      <c r="F7" s="24"/>
      <c r="G7" s="23"/>
    </row>
    <row r="8">
      <c r="B8" s="22"/>
      <c r="D8" s="23"/>
      <c r="E8" s="8"/>
      <c r="F8" s="21"/>
      <c r="G8" s="23"/>
    </row>
    <row r="9">
      <c r="B9" s="22"/>
      <c r="D9" s="23"/>
      <c r="E9" s="8"/>
      <c r="F9" s="24"/>
      <c r="G9" s="23"/>
    </row>
    <row r="10">
      <c r="B10" s="22"/>
      <c r="D10" s="23"/>
      <c r="E10" s="8"/>
      <c r="F10" s="21"/>
      <c r="G10" s="23"/>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9.38"/>
    <col customWidth="1" min="3" max="3" width="19.75"/>
  </cols>
  <sheetData>
    <row r="1">
      <c r="A1" s="17" t="s">
        <v>0</v>
      </c>
      <c r="B1" s="2" t="s">
        <v>1</v>
      </c>
      <c r="C1" s="2" t="s">
        <v>2</v>
      </c>
      <c r="D1" s="2" t="s">
        <v>3</v>
      </c>
      <c r="E1" s="2" t="s">
        <v>11</v>
      </c>
      <c r="F1" s="2" t="s">
        <v>12</v>
      </c>
      <c r="G1" s="2" t="s">
        <v>13</v>
      </c>
    </row>
    <row r="2">
      <c r="A2" s="19" t="str">
        <f t="shared" ref="A2:A5" si="1">UPPER(LEFT(C2,3) &amp; MID(C2,FIND(" ",C2)+1,3))</f>
        <v>PROREP</v>
      </c>
      <c r="B2" s="19" t="str">
        <f>CONCATENATE("JKL", "24", UPPER(TEXT(F2,"mm")), UPPER(TEXT(F2,"dd")), UPPER(LEFT(C2,3)), UPPER(MID(C2,FIND(" ",C2)+1,3)),"_",D2,"_sample_",G2)</f>
        <v>JKL240702PROREP_35C_sample_1</v>
      </c>
      <c r="C2" s="17" t="s">
        <v>14</v>
      </c>
      <c r="D2" s="20" t="s">
        <v>19</v>
      </c>
      <c r="E2" s="17" t="s">
        <v>16</v>
      </c>
      <c r="F2" s="21">
        <v>45475.0</v>
      </c>
      <c r="G2" s="17">
        <v>1.0</v>
      </c>
    </row>
    <row r="3">
      <c r="A3" s="19" t="str">
        <f t="shared" si="1"/>
        <v>PROREP</v>
      </c>
      <c r="B3" s="19" t="str">
        <f t="shared" ref="B3:B5" si="2">CONCATENATE("JKS", "24", UPPER(TEXT(F3,"mm")), UPPER(TEXT(F3,"dd")), UPPER(LEFT(C3,3)), UPPER(MID(C3,FIND(" ",C3)+1,3)),"_",D3,"_sample_",G3)</f>
        <v>JKS240702PROREP_35C_sample_1</v>
      </c>
      <c r="C3" s="17" t="s">
        <v>14</v>
      </c>
      <c r="D3" s="20" t="s">
        <v>19</v>
      </c>
      <c r="E3" s="17" t="s">
        <v>16</v>
      </c>
      <c r="F3" s="21">
        <v>45475.0</v>
      </c>
      <c r="G3" s="17">
        <v>1.0</v>
      </c>
    </row>
    <row r="4">
      <c r="A4" s="19" t="str">
        <f t="shared" si="1"/>
        <v>ERIMON</v>
      </c>
      <c r="B4" s="19" t="str">
        <f t="shared" si="2"/>
        <v>JKS240702ERIMON_35C_sample_1</v>
      </c>
      <c r="C4" s="17" t="s">
        <v>17</v>
      </c>
      <c r="D4" s="20" t="s">
        <v>19</v>
      </c>
      <c r="E4" s="17" t="s">
        <v>16</v>
      </c>
      <c r="F4" s="21">
        <v>45475.0</v>
      </c>
      <c r="G4" s="17">
        <v>1.0</v>
      </c>
    </row>
    <row r="5">
      <c r="A5" s="19" t="str">
        <f t="shared" si="1"/>
        <v>CANCON</v>
      </c>
      <c r="B5" s="19" t="str">
        <f t="shared" si="2"/>
        <v>JKS240702CANCON_35C_sample_1</v>
      </c>
      <c r="C5" s="17" t="s">
        <v>18</v>
      </c>
      <c r="D5" s="20" t="s">
        <v>19</v>
      </c>
      <c r="E5" s="17" t="s">
        <v>16</v>
      </c>
      <c r="F5" s="21">
        <v>45475.0</v>
      </c>
      <c r="G5" s="17">
        <v>1.0</v>
      </c>
    </row>
    <row r="6">
      <c r="B6" s="22"/>
      <c r="C6" s="8"/>
      <c r="D6" s="20"/>
      <c r="E6" s="8"/>
      <c r="F6" s="21"/>
      <c r="G6" s="23"/>
    </row>
    <row r="7">
      <c r="B7" s="22"/>
      <c r="D7" s="20"/>
      <c r="E7" s="8"/>
      <c r="F7" s="24"/>
      <c r="G7" s="23"/>
    </row>
    <row r="8">
      <c r="B8" s="22"/>
      <c r="D8" s="20"/>
      <c r="E8" s="8"/>
      <c r="F8" s="21"/>
      <c r="G8" s="23"/>
    </row>
    <row r="9">
      <c r="B9" s="22"/>
      <c r="D9" s="20"/>
      <c r="E9" s="8"/>
      <c r="F9" s="24"/>
      <c r="G9" s="23"/>
    </row>
    <row r="10">
      <c r="B10" s="22"/>
      <c r="D10" s="20"/>
      <c r="E10" s="8"/>
      <c r="F10" s="21"/>
      <c r="G10" s="23"/>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9.38"/>
    <col customWidth="1" min="3" max="3" width="19.75"/>
  </cols>
  <sheetData>
    <row r="1">
      <c r="A1" s="17" t="s">
        <v>0</v>
      </c>
      <c r="B1" s="2" t="s">
        <v>1</v>
      </c>
      <c r="C1" s="2" t="s">
        <v>2</v>
      </c>
      <c r="D1" s="2" t="s">
        <v>3</v>
      </c>
      <c r="E1" s="2" t="s">
        <v>11</v>
      </c>
      <c r="F1" s="2" t="s">
        <v>12</v>
      </c>
      <c r="G1" s="2" t="s">
        <v>13</v>
      </c>
    </row>
    <row r="2">
      <c r="A2" s="19" t="str">
        <f t="shared" ref="A2:A5" si="1">UPPER(LEFT(C2,3) &amp; MID(C2,FIND(" ",C2)+1,3))</f>
        <v>PROREP</v>
      </c>
      <c r="B2" s="19" t="str">
        <f>CONCATENATE("JKL", "24", UPPER(TEXT(F2,"mm")), UPPER(TEXT(F2,"dd")), UPPER(LEFT(C2,3)), UPPER(MID(C2,FIND(" ",C2)+1,3)),"_",D2,"_sample_",G2)</f>
        <v>JKL240702PROREP_20C_sample_1</v>
      </c>
      <c r="C2" s="17" t="s">
        <v>14</v>
      </c>
      <c r="D2" s="20" t="s">
        <v>20</v>
      </c>
      <c r="E2" s="17" t="s">
        <v>16</v>
      </c>
      <c r="F2" s="21">
        <v>45475.0</v>
      </c>
      <c r="G2" s="17">
        <v>1.0</v>
      </c>
    </row>
    <row r="3">
      <c r="A3" s="19" t="str">
        <f t="shared" si="1"/>
        <v>PROREP</v>
      </c>
      <c r="B3" s="19" t="str">
        <f t="shared" ref="B3:B5" si="2">CONCATENATE("JKS", "24", UPPER(TEXT(F3,"mm")), UPPER(TEXT(F3,"dd")), UPPER(LEFT(C3,3)), UPPER(MID(C3,FIND(" ",C3)+1,3)),"_",D3,"_sample_",G3)</f>
        <v>JKS240702PROREP_20C_sample_1</v>
      </c>
      <c r="C3" s="17" t="s">
        <v>14</v>
      </c>
      <c r="D3" s="20" t="s">
        <v>20</v>
      </c>
      <c r="E3" s="17" t="s">
        <v>16</v>
      </c>
      <c r="F3" s="21">
        <v>45475.0</v>
      </c>
      <c r="G3" s="17">
        <v>1.0</v>
      </c>
    </row>
    <row r="4">
      <c r="A4" s="19" t="str">
        <f t="shared" si="1"/>
        <v>ERIMON</v>
      </c>
      <c r="B4" s="19" t="str">
        <f t="shared" si="2"/>
        <v>JKS240702ERIMON_20C_sample_1</v>
      </c>
      <c r="C4" s="17" t="s">
        <v>17</v>
      </c>
      <c r="D4" s="20" t="s">
        <v>20</v>
      </c>
      <c r="E4" s="17" t="s">
        <v>16</v>
      </c>
      <c r="F4" s="21">
        <v>45475.0</v>
      </c>
      <c r="G4" s="17">
        <v>1.0</v>
      </c>
    </row>
    <row r="5">
      <c r="A5" s="19" t="str">
        <f t="shared" si="1"/>
        <v>CANCON</v>
      </c>
      <c r="B5" s="19" t="str">
        <f t="shared" si="2"/>
        <v>JKS240702CANCON_20C_sample_1</v>
      </c>
      <c r="C5" s="17" t="s">
        <v>18</v>
      </c>
      <c r="D5" s="20" t="s">
        <v>20</v>
      </c>
      <c r="E5" s="17" t="s">
        <v>16</v>
      </c>
      <c r="F5" s="21">
        <v>45475.0</v>
      </c>
      <c r="G5" s="17">
        <v>1.0</v>
      </c>
    </row>
    <row r="6">
      <c r="B6" s="22"/>
      <c r="C6" s="8"/>
      <c r="D6" s="20"/>
      <c r="E6" s="8"/>
      <c r="F6" s="21"/>
      <c r="G6" s="23"/>
    </row>
    <row r="7">
      <c r="B7" s="22"/>
      <c r="D7" s="20"/>
      <c r="E7" s="8"/>
      <c r="F7" s="24"/>
      <c r="G7" s="23"/>
    </row>
    <row r="8">
      <c r="B8" s="22"/>
      <c r="D8" s="20"/>
      <c r="E8" s="8"/>
      <c r="F8" s="21"/>
      <c r="G8" s="23"/>
    </row>
    <row r="9">
      <c r="B9" s="22"/>
      <c r="D9" s="20"/>
      <c r="E9" s="8"/>
      <c r="F9" s="24"/>
      <c r="G9" s="23"/>
    </row>
    <row r="10">
      <c r="B10" s="22"/>
      <c r="D10" s="20"/>
      <c r="E10" s="8"/>
      <c r="F10" s="21"/>
      <c r="G10" s="23"/>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9.38"/>
    <col customWidth="1" min="3" max="3" width="19.75"/>
  </cols>
  <sheetData>
    <row r="1">
      <c r="A1" s="17" t="s">
        <v>0</v>
      </c>
      <c r="B1" s="2" t="s">
        <v>1</v>
      </c>
      <c r="C1" s="2" t="s">
        <v>2</v>
      </c>
      <c r="D1" s="2" t="s">
        <v>3</v>
      </c>
      <c r="E1" s="2" t="s">
        <v>11</v>
      </c>
      <c r="F1" s="2" t="s">
        <v>12</v>
      </c>
      <c r="G1" s="2" t="s">
        <v>13</v>
      </c>
    </row>
    <row r="2">
      <c r="A2" s="19" t="str">
        <f t="shared" ref="A2:A5" si="1">UPPER(LEFT(C2,3) &amp; MID(C2,FIND(" ",C2)+1,3))</f>
        <v>PROREP</v>
      </c>
      <c r="B2" s="19" t="str">
        <f>CONCATENATE("JKL", "24", UPPER(TEXT(F2,"mm")), UPPER(TEXT(F2,"dd")), UPPER(LEFT(C2,3)), UPPER(MID(C2,FIND(" ",C2)+1,3)),"_",D2,"_sample_",G2)</f>
        <v>JKL240702PROREP_25C_sample_1</v>
      </c>
      <c r="C2" s="17" t="s">
        <v>14</v>
      </c>
      <c r="D2" s="20" t="s">
        <v>21</v>
      </c>
      <c r="E2" s="17" t="s">
        <v>16</v>
      </c>
      <c r="F2" s="21">
        <v>45475.0</v>
      </c>
      <c r="G2" s="17">
        <v>1.0</v>
      </c>
    </row>
    <row r="3">
      <c r="A3" s="19" t="str">
        <f t="shared" si="1"/>
        <v>PROREP</v>
      </c>
      <c r="B3" s="19" t="str">
        <f t="shared" ref="B3:B5" si="2">CONCATENATE("JKS", "24", UPPER(TEXT(F3,"mm")), UPPER(TEXT(F3,"dd")), UPPER(LEFT(C3,3)), UPPER(MID(C3,FIND(" ",C3)+1,3)),"_",D3,"_sample_",G3)</f>
        <v>JKS240702PROREP_25C_sample_1</v>
      </c>
      <c r="C3" s="17" t="s">
        <v>14</v>
      </c>
      <c r="D3" s="20" t="s">
        <v>21</v>
      </c>
      <c r="E3" s="17" t="s">
        <v>16</v>
      </c>
      <c r="F3" s="21">
        <v>45475.0</v>
      </c>
      <c r="G3" s="17">
        <v>1.0</v>
      </c>
    </row>
    <row r="4">
      <c r="A4" s="19" t="str">
        <f t="shared" si="1"/>
        <v>ERIMON</v>
      </c>
      <c r="B4" s="19" t="str">
        <f t="shared" si="2"/>
        <v>JKS240702ERIMON_25C_sample_1</v>
      </c>
      <c r="C4" s="17" t="s">
        <v>17</v>
      </c>
      <c r="D4" s="20" t="s">
        <v>21</v>
      </c>
      <c r="E4" s="17" t="s">
        <v>16</v>
      </c>
      <c r="F4" s="21">
        <v>45475.0</v>
      </c>
      <c r="G4" s="17">
        <v>1.0</v>
      </c>
    </row>
    <row r="5">
      <c r="A5" s="19" t="str">
        <f t="shared" si="1"/>
        <v>CANCON</v>
      </c>
      <c r="B5" s="19" t="str">
        <f t="shared" si="2"/>
        <v>JKS240702CANCON_25C_sample_1</v>
      </c>
      <c r="C5" s="17" t="s">
        <v>18</v>
      </c>
      <c r="D5" s="20" t="s">
        <v>21</v>
      </c>
      <c r="E5" s="17" t="s">
        <v>16</v>
      </c>
      <c r="F5" s="21">
        <v>45475.0</v>
      </c>
      <c r="G5" s="17">
        <v>1.0</v>
      </c>
    </row>
    <row r="6">
      <c r="B6" s="22"/>
      <c r="C6" s="8"/>
      <c r="D6" s="20"/>
      <c r="E6" s="8"/>
      <c r="F6" s="21"/>
      <c r="G6" s="23"/>
    </row>
    <row r="7">
      <c r="B7" s="22"/>
      <c r="D7" s="20"/>
      <c r="E7" s="8"/>
      <c r="F7" s="24"/>
      <c r="G7" s="23"/>
    </row>
    <row r="8">
      <c r="B8" s="22"/>
      <c r="D8" s="20"/>
      <c r="E8" s="8"/>
      <c r="F8" s="21"/>
      <c r="G8" s="23"/>
    </row>
    <row r="9">
      <c r="B9" s="22"/>
      <c r="D9" s="20"/>
      <c r="E9" s="8"/>
      <c r="F9" s="24"/>
      <c r="G9" s="23"/>
    </row>
    <row r="10">
      <c r="B10" s="22"/>
      <c r="D10" s="20"/>
      <c r="E10" s="8"/>
      <c r="F10" s="21"/>
      <c r="G10" s="23"/>
    </row>
  </sheetData>
  <drawing r:id="rId1"/>
</worksheet>
</file>