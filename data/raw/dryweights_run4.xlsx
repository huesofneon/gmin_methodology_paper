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\Masters\Minimum Conductance\Huw_min_cond (working ver)\Projected Leaf area versions\data\raw\"/>
    </mc:Choice>
  </mc:AlternateContent>
  <xr:revisionPtr revIDLastSave="0" documentId="13_ncr:1_{2477CBAA-0641-4A91-8265-2E450338FFFE}" xr6:coauthVersionLast="47" xr6:coauthVersionMax="47" xr10:uidLastSave="{00000000-0000-0000-0000-000000000000}"/>
  <bookViews>
    <workbookView xWindow="0" yWindow="0" windowWidth="9600" windowHeight="10200" xr2:uid="{509FE564-BF18-4EBA-BF28-6FD62E7BDB92}"/>
  </bookViews>
  <sheets>
    <sheet name="dryweights_run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2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<sst xmlns="http://schemas.openxmlformats.org/spreadsheetml/2006/main" count="83" uniqueCount="83">
  <si>
    <t>ID_Code</t>
  </si>
  <si>
    <t>dry_wt</t>
  </si>
  <si>
    <t>DKF250911AGACAP_20C_sample_1</t>
  </si>
  <si>
    <t>DKF250911AGACAP_20C_sample_2</t>
  </si>
  <si>
    <t>DKF250911AGACAP_20C_sample_3</t>
  </si>
  <si>
    <t>DKF250911AGACAP_20C_sample_4</t>
  </si>
  <si>
    <t>DKF250911AGACAP_20C_sample_5</t>
  </si>
  <si>
    <t>DKF250911AGACAP_20C_sample_6</t>
  </si>
  <si>
    <t>DKF250911ASPSHA_20C_sample_1</t>
  </si>
  <si>
    <t>DKF250911ASPSHA_20C_sample_2</t>
  </si>
  <si>
    <t>DKF250911ASPSHA_20C_sample_3</t>
  </si>
  <si>
    <t>DKF250911ASPSHA_20C_sample_4</t>
  </si>
  <si>
    <t>DKF250911ASPSHA_20C_sample_5</t>
  </si>
  <si>
    <t>DKF250911ASPSHA_20C_sample_6</t>
  </si>
  <si>
    <t>DKR250911CLURUB_20C_sample_1</t>
  </si>
  <si>
    <t>DKR250911CLURUB_20C_sample_2</t>
  </si>
  <si>
    <t>DKR250911CLURUB_20C_sample_3</t>
  </si>
  <si>
    <t>DKR250911CLURUB_20C_sample_4</t>
  </si>
  <si>
    <t>DKR250911CLURUB_20C_sample_5</t>
  </si>
  <si>
    <t>DKR250911CLURUB_20C_sample_6</t>
  </si>
  <si>
    <t>DKR250911ELYRHI_20C_sample_1</t>
  </si>
  <si>
    <t>DKR250911ELYRHI_20C_sample_2</t>
  </si>
  <si>
    <t>DKR250911ELYRHI_20C_sample_3</t>
  </si>
  <si>
    <t>DKR250911ELYRHI_20C_sample_4</t>
  </si>
  <si>
    <t>DKR250911ELYRHI_20C_sample_5</t>
  </si>
  <si>
    <t>DKR250911ELYRHI_20C_sample_6</t>
  </si>
  <si>
    <t>DKF250911LOBDEC_20C_sample_1</t>
  </si>
  <si>
    <t>DKF250911LOBDEC_20C_sample_2</t>
  </si>
  <si>
    <t>DKF250911LOBDEC_20C_sample_3</t>
  </si>
  <si>
    <t>DKF250911LOBDEC_20C_sample_4</t>
  </si>
  <si>
    <t>DKF250911LOBDEC_20C_sample_5</t>
  </si>
  <si>
    <t>DKF250911LOBDEC_20C_sample_6</t>
  </si>
  <si>
    <t>DKR250911MICPOL_20C_sample_1</t>
  </si>
  <si>
    <t>DKR250911MICPOL_20C_sample_2</t>
  </si>
  <si>
    <t>DKR250911MICPOL_20C_sample_3</t>
  </si>
  <si>
    <t>DKR250911MICPOL_20C_sample_4</t>
  </si>
  <si>
    <t>DKR250911MICPOL_20C_sample_5</t>
  </si>
  <si>
    <t>DKR250911MICPOL_20C_sample_6</t>
  </si>
  <si>
    <t>DKR250911PASOBT_20C_sample_1</t>
  </si>
  <si>
    <t>DKR250911PASOBT_20C_sample_2</t>
  </si>
  <si>
    <t>DKR250911PASOBT_20C_sample_3</t>
  </si>
  <si>
    <t>DKR250911PASOBT_20C_sample_4</t>
  </si>
  <si>
    <t>DKR250911PASOBT_20C_sample_5</t>
  </si>
  <si>
    <t>DKR250911PASOBT_20C_sample_6</t>
  </si>
  <si>
    <t>DKR250911PROLAU_20C_sample_1</t>
  </si>
  <si>
    <t>DKR250911PROLAU_20C_sample_2</t>
  </si>
  <si>
    <t>DKR250911PROLAU_20C_sample_3</t>
  </si>
  <si>
    <t>DKR250911PROLAU_20C_sample_4</t>
  </si>
  <si>
    <t>DKR250911PROLAU_20C_sample_5</t>
  </si>
  <si>
    <t>DKR250911PROLAU_20C_sample_6</t>
  </si>
  <si>
    <t>DKF250911PROLOR_20C_sample_1</t>
  </si>
  <si>
    <t>DKF250911PROLOR_20C_sample_2</t>
  </si>
  <si>
    <t>DKF250911PROLOR_20C_sample_3</t>
  </si>
  <si>
    <t>DKF250911PROLOR_20C_sample_4</t>
  </si>
  <si>
    <t>DKF250911PROLOR_20C_sample_5</t>
  </si>
  <si>
    <t>DKF250911PROLOR_20C_sample_6</t>
  </si>
  <si>
    <t>DKR250911RUSMUL_20C_sample_1</t>
  </si>
  <si>
    <t>DKR250911RUSMUL_20C_sample_2</t>
  </si>
  <si>
    <t>DKR250911RUSMUL_20C_sample_3</t>
  </si>
  <si>
    <t>DKR250911RUSMUL_20C_sample_4</t>
  </si>
  <si>
    <t>DKR250911RUSMUL_20C_sample_5</t>
  </si>
  <si>
    <t>DKR250911RUSMUL_20C_sample_6</t>
  </si>
  <si>
    <t>DKR250911OEDSQU_20C_sample_1</t>
  </si>
  <si>
    <t>DKR250911OEDSQU_20C_sample_2</t>
  </si>
  <si>
    <t>DKR250911OEDSQU_20C_sample_3</t>
  </si>
  <si>
    <t>DKR250911OEDSQU_20C_sample_4</t>
  </si>
  <si>
    <t>DKR250911OEDSQU_20C_sample_5</t>
  </si>
  <si>
    <t>DKR250911OEDSQU_20C_sample_6</t>
  </si>
  <si>
    <t>DKF250911SELDOL_20C_sample_1</t>
  </si>
  <si>
    <t>DKF250911SELDOL_20C_sample_2</t>
  </si>
  <si>
    <t>DKF250911SELDOL_20C_sample_3</t>
  </si>
  <si>
    <t>DKF250911SELDOL_20C_sample_4</t>
  </si>
  <si>
    <t>DKF250911SELDOL_20C_sample_5</t>
  </si>
  <si>
    <t>DKF250911SELDOL_20C_sample_6</t>
  </si>
  <si>
    <t>DKR250911WAHNOD_20C_sample_1</t>
  </si>
  <si>
    <t>DKR250911WAHNOD_20C_sample_2</t>
  </si>
  <si>
    <t>DKR250911WAHNOD_20C_sample_3</t>
  </si>
  <si>
    <t>DKR250911WAHNOD_20C_sample_4</t>
  </si>
  <si>
    <t>DKR250911WAHNOD_20C_sample_5</t>
  </si>
  <si>
    <t>DKR250911WAHNOD_20C_sample_6</t>
  </si>
  <si>
    <t>total_wt</t>
  </si>
  <si>
    <t>SPP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</si>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</sst>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33" borderId="0" xfId="0" applyFill="1"/>
    <xf numFmtId="0" fontId="18" fillId="34" borderId="0" xfId="42" applyFill="1"/>
    <xf numFmtId="0" fontId="19" fillId="33" borderId="0" xfId="42" applyFont="1" applyFill="1" applyAlignment="1">
      <alignment horizontal="left"/>
    </xf>
    <xf numFmtId="0" fontId="19" fillId="33" borderId="10" xfId="42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027198B-C63D-4CA3-BB7A-DABCD67A518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A834-1F78-47A8-9187-DCBA88A6C3FF}">
  <dimension ref="A1:E79"/>
  <sheetViews>
    <sheetView tabSelected="1" workbookViewId="0">
      <pane ySplit="1" topLeftCell="A62" activePane="bottomLeft" state="frozen"/>
      <selection pane="bottomLeft" activeCell="D68" sqref="D68"/>
    </sheetView>
  </sheetViews>
  <sheetFormatPr defaultRowHeight="14.5" x14ac:dyDescent="0.35"/>
  <cols>
    <col min="1" max="1" width="31.1796875" style="1" bestFit="1" customWidth="1"/>
  </cols>
  <sheetData>
    <row r="1" spans="1:5" x14ac:dyDescent="0.35">
      <c r="A1" s="1" t="s">
        <v>0</v>
      </c>
      <c r="B1" t="s">
        <v>81</v>
      </c>
      <c r="C1" t="s">
        <v>82</v>
      </c>
      <c r="D1" t="s">
        <v>80</v>
      </c>
      <c r="E1" t="s">
        <v>1</v>
      </c>
    </row>
    <row r="2" spans="1:5" x14ac:dyDescent="0.35">
      <c r="A2" s="2" t="s">
        <v>2</v>
      </c>
      <c r="B2" t="str">
        <f>MID(A2,10,6)</f>
        <v>AGACAP</v>
      </c>
      <c r="C2">
        <v>1</v>
      </c>
      <c r="D2">
        <v>16.712</v>
      </c>
      <c r="E2">
        <f>IF(ISBLANK(D2),"",D2-13.531)</f>
        <v>3.1809999999999992</v>
      </c>
    </row>
    <row r="3" spans="1:5" x14ac:dyDescent="0.35">
      <c r="A3" s="3" t="s">
        <v>3</v>
      </c>
      <c r="B3" t="str">
        <f>MID(A3,10,6)</f>
        <v>AGACAP</v>
      </c>
      <c r="C3">
        <v>2</v>
      </c>
      <c r="D3">
        <v>14.613</v>
      </c>
      <c r="E3">
        <f t="shared" ref="E3:E66" si="0">IF(ISBLANK(D3),"",D3-13.531)</f>
        <v>1.081999999999999</v>
      </c>
    </row>
    <row r="4" spans="1:5" x14ac:dyDescent="0.35">
      <c r="A4" s="3" t="s">
        <v>4</v>
      </c>
      <c r="B4" t="str">
        <f t="shared" ref="B4:B67" si="1">MID(A4,10,6)</f>
        <v>AGACAP</v>
      </c>
      <c r="C4">
        <v>3</v>
      </c>
      <c r="D4">
        <v>15.073</v>
      </c>
      <c r="E4">
        <f t="shared" si="0"/>
        <v>1.5419999999999998</v>
      </c>
    </row>
    <row r="5" spans="1:5" x14ac:dyDescent="0.35">
      <c r="A5" s="3" t="s">
        <v>5</v>
      </c>
      <c r="B5" t="str">
        <f t="shared" si="1"/>
        <v>AGACAP</v>
      </c>
      <c r="C5">
        <v>4</v>
      </c>
      <c r="D5">
        <v>14.702</v>
      </c>
      <c r="E5">
        <f t="shared" si="0"/>
        <v>1.1709999999999994</v>
      </c>
    </row>
    <row r="6" spans="1:5" x14ac:dyDescent="0.35">
      <c r="A6" s="3" t="s">
        <v>6</v>
      </c>
      <c r="B6" t="str">
        <f t="shared" si="1"/>
        <v>AGACAP</v>
      </c>
      <c r="C6">
        <v>5</v>
      </c>
      <c r="D6">
        <v>13.933999999999999</v>
      </c>
      <c r="E6">
        <f t="shared" si="0"/>
        <v>0.40299999999999869</v>
      </c>
    </row>
    <row r="7" spans="1:5" x14ac:dyDescent="0.35">
      <c r="A7" s="4" t="s">
        <v>7</v>
      </c>
      <c r="B7" t="str">
        <f t="shared" si="1"/>
        <v>AGACAP</v>
      </c>
      <c r="C7">
        <v>6</v>
      </c>
      <c r="D7">
        <v>14.704000000000001</v>
      </c>
      <c r="E7">
        <f t="shared" si="0"/>
        <v>1.173</v>
      </c>
    </row>
    <row r="8" spans="1:5" x14ac:dyDescent="0.35">
      <c r="A8" s="2" t="s">
        <v>8</v>
      </c>
      <c r="B8" t="str">
        <f t="shared" si="1"/>
        <v>ASPSHA</v>
      </c>
      <c r="C8">
        <v>1</v>
      </c>
      <c r="D8">
        <v>23.41</v>
      </c>
      <c r="E8">
        <f t="shared" si="0"/>
        <v>9.8789999999999996</v>
      </c>
    </row>
    <row r="9" spans="1:5" x14ac:dyDescent="0.35">
      <c r="A9" s="3" t="s">
        <v>9</v>
      </c>
      <c r="B9" t="str">
        <f t="shared" si="1"/>
        <v>ASPSHA</v>
      </c>
      <c r="C9">
        <v>2</v>
      </c>
      <c r="D9">
        <v>19.757999999999999</v>
      </c>
      <c r="E9">
        <f t="shared" si="0"/>
        <v>6.2269999999999985</v>
      </c>
    </row>
    <row r="10" spans="1:5" x14ac:dyDescent="0.35">
      <c r="A10" s="3" t="s">
        <v>10</v>
      </c>
      <c r="B10" t="str">
        <f t="shared" si="1"/>
        <v>ASPSHA</v>
      </c>
      <c r="C10">
        <v>3</v>
      </c>
      <c r="D10">
        <v>17.006</v>
      </c>
      <c r="E10">
        <f t="shared" si="0"/>
        <v>3.4749999999999996</v>
      </c>
    </row>
    <row r="11" spans="1:5" x14ac:dyDescent="0.35">
      <c r="A11" s="3" t="s">
        <v>11</v>
      </c>
      <c r="B11" t="str">
        <f t="shared" si="1"/>
        <v>ASPSHA</v>
      </c>
      <c r="C11">
        <v>4</v>
      </c>
      <c r="D11">
        <v>22.417999999999999</v>
      </c>
      <c r="E11">
        <f t="shared" si="0"/>
        <v>8.8869999999999987</v>
      </c>
    </row>
    <row r="12" spans="1:5" x14ac:dyDescent="0.35">
      <c r="A12" s="3" t="s">
        <v>12</v>
      </c>
      <c r="B12" t="str">
        <f t="shared" si="1"/>
        <v>ASPSHA</v>
      </c>
      <c r="C12">
        <v>5</v>
      </c>
      <c r="D12">
        <v>16.135000000000002</v>
      </c>
      <c r="E12">
        <f t="shared" si="0"/>
        <v>2.604000000000001</v>
      </c>
    </row>
    <row r="13" spans="1:5" x14ac:dyDescent="0.35">
      <c r="A13" s="4" t="s">
        <v>13</v>
      </c>
      <c r="B13" t="str">
        <f t="shared" si="1"/>
        <v>ASPSHA</v>
      </c>
      <c r="C13">
        <v>6</v>
      </c>
      <c r="D13">
        <v>20.798999999999999</v>
      </c>
      <c r="E13">
        <f t="shared" si="0"/>
        <v>7.2679999999999989</v>
      </c>
    </row>
    <row r="14" spans="1:5" x14ac:dyDescent="0.35">
      <c r="A14" s="2" t="s">
        <v>14</v>
      </c>
      <c r="B14" t="str">
        <f t="shared" si="1"/>
        <v>CLURUB</v>
      </c>
      <c r="C14">
        <v>1</v>
      </c>
      <c r="D14">
        <v>13.839</v>
      </c>
      <c r="E14">
        <f t="shared" si="0"/>
        <v>0.30799999999999983</v>
      </c>
    </row>
    <row r="15" spans="1:5" x14ac:dyDescent="0.35">
      <c r="A15" s="3" t="s">
        <v>15</v>
      </c>
      <c r="B15" t="str">
        <f t="shared" si="1"/>
        <v>CLURUB</v>
      </c>
      <c r="C15">
        <v>2</v>
      </c>
      <c r="D15">
        <v>13.757999999999999</v>
      </c>
      <c r="E15">
        <f t="shared" si="0"/>
        <v>0.22699999999999854</v>
      </c>
    </row>
    <row r="16" spans="1:5" x14ac:dyDescent="0.35">
      <c r="A16" s="3" t="s">
        <v>16</v>
      </c>
      <c r="B16" t="str">
        <f t="shared" si="1"/>
        <v>CLURUB</v>
      </c>
      <c r="C16">
        <v>3</v>
      </c>
      <c r="D16">
        <v>13.848000000000001</v>
      </c>
      <c r="E16">
        <f t="shared" si="0"/>
        <v>0.31700000000000017</v>
      </c>
    </row>
    <row r="17" spans="1:5" x14ac:dyDescent="0.35">
      <c r="A17" s="3" t="s">
        <v>17</v>
      </c>
      <c r="B17" t="str">
        <f t="shared" si="1"/>
        <v>CLURUB</v>
      </c>
      <c r="C17">
        <v>4</v>
      </c>
      <c r="D17">
        <v>13.651999999999999</v>
      </c>
      <c r="E17">
        <f t="shared" si="0"/>
        <v>0.12099999999999866</v>
      </c>
    </row>
    <row r="18" spans="1:5" x14ac:dyDescent="0.35">
      <c r="A18" s="3" t="s">
        <v>18</v>
      </c>
      <c r="B18" t="str">
        <f t="shared" si="1"/>
        <v>CLURUB</v>
      </c>
      <c r="C18">
        <v>5</v>
      </c>
      <c r="D18">
        <v>13.818</v>
      </c>
      <c r="E18">
        <f t="shared" si="0"/>
        <v>0.28699999999999903</v>
      </c>
    </row>
    <row r="19" spans="1:5" x14ac:dyDescent="0.35">
      <c r="A19" s="4" t="s">
        <v>19</v>
      </c>
      <c r="B19" t="str">
        <f t="shared" si="1"/>
        <v>CLURUB</v>
      </c>
      <c r="C19">
        <v>6</v>
      </c>
      <c r="D19">
        <v>13.757999999999999</v>
      </c>
      <c r="E19">
        <f t="shared" si="0"/>
        <v>0.22699999999999854</v>
      </c>
    </row>
    <row r="20" spans="1:5" x14ac:dyDescent="0.35">
      <c r="A20" s="2" t="s">
        <v>20</v>
      </c>
      <c r="B20" t="str">
        <f t="shared" si="1"/>
        <v>ELYRHI</v>
      </c>
      <c r="C20">
        <v>1</v>
      </c>
      <c r="D20">
        <v>15.744</v>
      </c>
      <c r="E20">
        <f t="shared" si="0"/>
        <v>2.2129999999999992</v>
      </c>
    </row>
    <row r="21" spans="1:5" x14ac:dyDescent="0.35">
      <c r="A21" s="3" t="s">
        <v>21</v>
      </c>
      <c r="B21" t="str">
        <f t="shared" si="1"/>
        <v>ELYRHI</v>
      </c>
      <c r="C21">
        <v>2</v>
      </c>
      <c r="D21">
        <v>16.178999999999998</v>
      </c>
      <c r="E21">
        <f t="shared" si="0"/>
        <v>2.6479999999999979</v>
      </c>
    </row>
    <row r="22" spans="1:5" x14ac:dyDescent="0.35">
      <c r="A22" s="3" t="s">
        <v>22</v>
      </c>
      <c r="B22" t="str">
        <f t="shared" si="1"/>
        <v>ELYRHI</v>
      </c>
      <c r="C22">
        <v>3</v>
      </c>
      <c r="D22">
        <v>17.106999999999999</v>
      </c>
      <c r="E22">
        <f t="shared" si="0"/>
        <v>3.5759999999999987</v>
      </c>
    </row>
    <row r="23" spans="1:5" x14ac:dyDescent="0.35">
      <c r="A23" s="3" t="s">
        <v>23</v>
      </c>
      <c r="B23" t="str">
        <f t="shared" si="1"/>
        <v>ELYRHI</v>
      </c>
      <c r="C23">
        <v>4</v>
      </c>
      <c r="D23">
        <v>16.027999999999999</v>
      </c>
      <c r="E23">
        <f t="shared" si="0"/>
        <v>2.4969999999999981</v>
      </c>
    </row>
    <row r="24" spans="1:5" x14ac:dyDescent="0.35">
      <c r="A24" s="3" t="s">
        <v>24</v>
      </c>
      <c r="B24" t="str">
        <f t="shared" si="1"/>
        <v>ELYRHI</v>
      </c>
      <c r="C24">
        <v>5</v>
      </c>
      <c r="D24">
        <v>14.994999999999999</v>
      </c>
      <c r="E24">
        <f t="shared" si="0"/>
        <v>1.4639999999999986</v>
      </c>
    </row>
    <row r="25" spans="1:5" x14ac:dyDescent="0.35">
      <c r="A25" s="4" t="s">
        <v>25</v>
      </c>
      <c r="B25" t="str">
        <f t="shared" si="1"/>
        <v>ELYRHI</v>
      </c>
      <c r="C25">
        <v>6</v>
      </c>
      <c r="D25">
        <v>14.882999999999999</v>
      </c>
      <c r="E25">
        <f t="shared" si="0"/>
        <v>1.3519999999999985</v>
      </c>
    </row>
    <row r="26" spans="1:5" x14ac:dyDescent="0.35">
      <c r="A26" s="2" t="s">
        <v>26</v>
      </c>
      <c r="B26" t="str">
        <f t="shared" si="1"/>
        <v>LOBDEC</v>
      </c>
      <c r="C26">
        <v>1</v>
      </c>
      <c r="D26">
        <v>16.858000000000001</v>
      </c>
      <c r="E26">
        <f t="shared" si="0"/>
        <v>3.327</v>
      </c>
    </row>
    <row r="27" spans="1:5" x14ac:dyDescent="0.35">
      <c r="A27" s="3" t="s">
        <v>27</v>
      </c>
      <c r="B27" t="str">
        <f t="shared" si="1"/>
        <v>LOBDEC</v>
      </c>
      <c r="C27">
        <v>2</v>
      </c>
      <c r="D27">
        <v>16.821000000000002</v>
      </c>
      <c r="E27">
        <f t="shared" si="0"/>
        <v>3.2900000000000009</v>
      </c>
    </row>
    <row r="28" spans="1:5" x14ac:dyDescent="0.35">
      <c r="A28" s="3" t="s">
        <v>28</v>
      </c>
      <c r="B28" t="str">
        <f t="shared" si="1"/>
        <v>LOBDEC</v>
      </c>
      <c r="C28">
        <v>3</v>
      </c>
      <c r="D28">
        <v>17.541</v>
      </c>
      <c r="E28">
        <f t="shared" si="0"/>
        <v>4.01</v>
      </c>
    </row>
    <row r="29" spans="1:5" x14ac:dyDescent="0.35">
      <c r="A29" s="3" t="s">
        <v>29</v>
      </c>
      <c r="B29" t="str">
        <f t="shared" si="1"/>
        <v>LOBDEC</v>
      </c>
      <c r="C29">
        <v>4</v>
      </c>
      <c r="D29">
        <v>16.376000000000001</v>
      </c>
      <c r="E29">
        <f t="shared" si="0"/>
        <v>2.8450000000000006</v>
      </c>
    </row>
    <row r="30" spans="1:5" x14ac:dyDescent="0.35">
      <c r="A30" s="3" t="s">
        <v>30</v>
      </c>
      <c r="B30" t="str">
        <f t="shared" si="1"/>
        <v>LOBDEC</v>
      </c>
      <c r="C30">
        <v>5</v>
      </c>
      <c r="D30">
        <v>15.09</v>
      </c>
      <c r="E30">
        <f t="shared" si="0"/>
        <v>1.5589999999999993</v>
      </c>
    </row>
    <row r="31" spans="1:5" x14ac:dyDescent="0.35">
      <c r="A31" s="4" t="s">
        <v>31</v>
      </c>
      <c r="B31" t="str">
        <f t="shared" si="1"/>
        <v>LOBDEC</v>
      </c>
      <c r="C31">
        <v>6</v>
      </c>
      <c r="D31">
        <v>15.063000000000001</v>
      </c>
      <c r="E31">
        <f t="shared" si="0"/>
        <v>1.532</v>
      </c>
    </row>
    <row r="32" spans="1:5" x14ac:dyDescent="0.35">
      <c r="A32" s="2" t="s">
        <v>32</v>
      </c>
      <c r="B32" t="str">
        <f t="shared" si="1"/>
        <v>MICPOL</v>
      </c>
      <c r="C32">
        <v>1</v>
      </c>
      <c r="D32">
        <v>14.271000000000001</v>
      </c>
      <c r="E32">
        <f t="shared" si="0"/>
        <v>0.74000000000000021</v>
      </c>
    </row>
    <row r="33" spans="1:5" x14ac:dyDescent="0.35">
      <c r="A33" s="3" t="s">
        <v>33</v>
      </c>
      <c r="B33" t="str">
        <f t="shared" si="1"/>
        <v>MICPOL</v>
      </c>
      <c r="C33">
        <v>2</v>
      </c>
      <c r="D33">
        <v>14.148999999999999</v>
      </c>
      <c r="E33">
        <f t="shared" si="0"/>
        <v>0.61799999999999855</v>
      </c>
    </row>
    <row r="34" spans="1:5" x14ac:dyDescent="0.35">
      <c r="A34" s="3" t="s">
        <v>34</v>
      </c>
      <c r="B34" t="str">
        <f t="shared" si="1"/>
        <v>MICPOL</v>
      </c>
      <c r="C34">
        <v>3</v>
      </c>
      <c r="D34">
        <v>13.778</v>
      </c>
      <c r="E34">
        <f t="shared" si="0"/>
        <v>0.24699999999999989</v>
      </c>
    </row>
    <row r="35" spans="1:5" x14ac:dyDescent="0.35">
      <c r="A35" s="3" t="s">
        <v>35</v>
      </c>
      <c r="B35" t="str">
        <f t="shared" si="1"/>
        <v>MICPOL</v>
      </c>
      <c r="C35">
        <v>4</v>
      </c>
      <c r="D35">
        <v>13.647</v>
      </c>
      <c r="E35">
        <f t="shared" si="0"/>
        <v>0.11599999999999966</v>
      </c>
    </row>
    <row r="36" spans="1:5" x14ac:dyDescent="0.35">
      <c r="A36" s="3" t="s">
        <v>36</v>
      </c>
      <c r="B36" t="str">
        <f t="shared" si="1"/>
        <v>MICPOL</v>
      </c>
      <c r="C36">
        <v>5</v>
      </c>
      <c r="D36">
        <v>13.673</v>
      </c>
      <c r="E36">
        <f t="shared" si="0"/>
        <v>0.14199999999999946</v>
      </c>
    </row>
    <row r="37" spans="1:5" x14ac:dyDescent="0.35">
      <c r="A37" s="4" t="s">
        <v>37</v>
      </c>
      <c r="B37" t="str">
        <f t="shared" si="1"/>
        <v>MICPOL</v>
      </c>
      <c r="C37">
        <v>6</v>
      </c>
      <c r="D37">
        <v>13.676</v>
      </c>
      <c r="E37">
        <f t="shared" si="0"/>
        <v>0.14499999999999957</v>
      </c>
    </row>
    <row r="38" spans="1:5" x14ac:dyDescent="0.35">
      <c r="A38" s="2" t="s">
        <v>62</v>
      </c>
      <c r="B38" t="str">
        <f t="shared" si="1"/>
        <v>OEDSQU</v>
      </c>
      <c r="C38">
        <v>1</v>
      </c>
      <c r="D38">
        <v>14.31</v>
      </c>
      <c r="E38">
        <f t="shared" si="0"/>
        <v>0.77899999999999991</v>
      </c>
    </row>
    <row r="39" spans="1:5" x14ac:dyDescent="0.35">
      <c r="A39" s="3" t="s">
        <v>63</v>
      </c>
      <c r="B39" t="str">
        <f t="shared" si="1"/>
        <v>OEDSQU</v>
      </c>
      <c r="C39">
        <v>2</v>
      </c>
      <c r="D39">
        <v>14.180999999999999</v>
      </c>
      <c r="E39">
        <f t="shared" si="0"/>
        <v>0.64999999999999858</v>
      </c>
    </row>
    <row r="40" spans="1:5" x14ac:dyDescent="0.35">
      <c r="A40" s="3" t="s">
        <v>64</v>
      </c>
      <c r="B40" t="str">
        <f t="shared" si="1"/>
        <v>OEDSQU</v>
      </c>
      <c r="C40">
        <v>3</v>
      </c>
      <c r="D40">
        <v>14.455</v>
      </c>
      <c r="E40">
        <f t="shared" si="0"/>
        <v>0.92399999999999949</v>
      </c>
    </row>
    <row r="41" spans="1:5" x14ac:dyDescent="0.35">
      <c r="A41" s="3" t="s">
        <v>65</v>
      </c>
      <c r="B41" t="str">
        <f t="shared" si="1"/>
        <v>OEDSQU</v>
      </c>
      <c r="C41">
        <v>4</v>
      </c>
      <c r="D41">
        <v>14.403</v>
      </c>
      <c r="E41">
        <f t="shared" si="0"/>
        <v>0.87199999999999989</v>
      </c>
    </row>
    <row r="42" spans="1:5" x14ac:dyDescent="0.35">
      <c r="A42" s="3" t="s">
        <v>66</v>
      </c>
      <c r="B42" t="str">
        <f t="shared" si="1"/>
        <v>OEDSQU</v>
      </c>
      <c r="C42">
        <v>5</v>
      </c>
      <c r="D42">
        <v>13.936999999999999</v>
      </c>
      <c r="E42">
        <f t="shared" si="0"/>
        <v>0.40599999999999881</v>
      </c>
    </row>
    <row r="43" spans="1:5" x14ac:dyDescent="0.35">
      <c r="A43" s="4" t="s">
        <v>67</v>
      </c>
      <c r="B43" t="str">
        <f t="shared" si="1"/>
        <v>OEDSQU</v>
      </c>
      <c r="C43">
        <v>6</v>
      </c>
      <c r="D43">
        <v>13.676</v>
      </c>
      <c r="E43">
        <f t="shared" si="0"/>
        <v>0.14499999999999957</v>
      </c>
    </row>
    <row r="44" spans="1:5" x14ac:dyDescent="0.35">
      <c r="A44" s="2" t="s">
        <v>38</v>
      </c>
      <c r="B44" t="str">
        <f t="shared" si="1"/>
        <v>PASOBT</v>
      </c>
      <c r="C44">
        <v>1</v>
      </c>
      <c r="D44">
        <v>15.426</v>
      </c>
      <c r="E44">
        <f t="shared" si="0"/>
        <v>1.8949999999999996</v>
      </c>
    </row>
    <row r="45" spans="1:5" x14ac:dyDescent="0.35">
      <c r="A45" s="3" t="s">
        <v>39</v>
      </c>
      <c r="B45" t="str">
        <f t="shared" si="1"/>
        <v>PASOBT</v>
      </c>
      <c r="C45">
        <v>2</v>
      </c>
      <c r="D45">
        <v>16.145</v>
      </c>
      <c r="E45">
        <f t="shared" si="0"/>
        <v>2.613999999999999</v>
      </c>
    </row>
    <row r="46" spans="1:5" x14ac:dyDescent="0.35">
      <c r="A46" s="3" t="s">
        <v>40</v>
      </c>
      <c r="B46" t="str">
        <f t="shared" si="1"/>
        <v>PASOBT</v>
      </c>
      <c r="C46">
        <v>3</v>
      </c>
      <c r="D46">
        <v>14.46</v>
      </c>
      <c r="E46">
        <f t="shared" si="0"/>
        <v>0.92900000000000027</v>
      </c>
    </row>
    <row r="47" spans="1:5" x14ac:dyDescent="0.35">
      <c r="A47" s="3" t="s">
        <v>41</v>
      </c>
      <c r="B47" t="str">
        <f t="shared" si="1"/>
        <v>PASOBT</v>
      </c>
      <c r="C47">
        <v>4</v>
      </c>
      <c r="D47">
        <v>14.887</v>
      </c>
      <c r="E47">
        <f t="shared" si="0"/>
        <v>1.3559999999999999</v>
      </c>
    </row>
    <row r="48" spans="1:5" x14ac:dyDescent="0.35">
      <c r="A48" s="3" t="s">
        <v>42</v>
      </c>
      <c r="B48" t="str">
        <f t="shared" si="1"/>
        <v>PASOBT</v>
      </c>
      <c r="C48">
        <v>5</v>
      </c>
      <c r="D48">
        <v>14.628</v>
      </c>
      <c r="E48">
        <f t="shared" si="0"/>
        <v>1.0969999999999995</v>
      </c>
    </row>
    <row r="49" spans="1:5" x14ac:dyDescent="0.35">
      <c r="A49" s="4" t="s">
        <v>43</v>
      </c>
      <c r="B49" t="str">
        <f t="shared" si="1"/>
        <v>PASOBT</v>
      </c>
      <c r="C49">
        <v>6</v>
      </c>
      <c r="D49">
        <v>15.46</v>
      </c>
      <c r="E49">
        <f t="shared" si="0"/>
        <v>1.9290000000000003</v>
      </c>
    </row>
    <row r="50" spans="1:5" x14ac:dyDescent="0.35">
      <c r="A50" s="2" t="s">
        <v>44</v>
      </c>
      <c r="B50" t="str">
        <f t="shared" si="1"/>
        <v>PROLAU</v>
      </c>
      <c r="C50">
        <v>1</v>
      </c>
      <c r="E50">
        <v>0.496</v>
      </c>
    </row>
    <row r="51" spans="1:5" x14ac:dyDescent="0.35">
      <c r="A51" s="3" t="s">
        <v>45</v>
      </c>
      <c r="B51" t="str">
        <f t="shared" si="1"/>
        <v>PROLAU</v>
      </c>
      <c r="C51">
        <v>2</v>
      </c>
      <c r="E51">
        <v>0.61199999999999999</v>
      </c>
    </row>
    <row r="52" spans="1:5" x14ac:dyDescent="0.35">
      <c r="A52" s="3" t="s">
        <v>46</v>
      </c>
      <c r="B52" t="str">
        <f t="shared" si="1"/>
        <v>PROLAU</v>
      </c>
      <c r="C52">
        <v>3</v>
      </c>
      <c r="E52">
        <v>0.504</v>
      </c>
    </row>
    <row r="53" spans="1:5" x14ac:dyDescent="0.35">
      <c r="A53" s="3" t="s">
        <v>47</v>
      </c>
      <c r="B53" t="str">
        <f t="shared" si="1"/>
        <v>PROLAU</v>
      </c>
      <c r="C53">
        <v>4</v>
      </c>
      <c r="E53">
        <v>0.24399999999999999</v>
      </c>
    </row>
    <row r="54" spans="1:5" x14ac:dyDescent="0.35">
      <c r="A54" s="3" t="s">
        <v>48</v>
      </c>
      <c r="B54" t="str">
        <f t="shared" si="1"/>
        <v>PROLAU</v>
      </c>
      <c r="C54">
        <v>5</v>
      </c>
      <c r="E54">
        <v>0.49299999999999999</v>
      </c>
    </row>
    <row r="55" spans="1:5" x14ac:dyDescent="0.35">
      <c r="A55" s="4" t="s">
        <v>49</v>
      </c>
      <c r="B55" t="str">
        <f t="shared" si="1"/>
        <v>PROLAU</v>
      </c>
      <c r="C55">
        <v>6</v>
      </c>
      <c r="E55">
        <v>0.46300000000000002</v>
      </c>
    </row>
    <row r="56" spans="1:5" x14ac:dyDescent="0.35">
      <c r="A56" s="2" t="s">
        <v>50</v>
      </c>
      <c r="B56" t="str">
        <f t="shared" si="1"/>
        <v>PROLOR</v>
      </c>
      <c r="C56">
        <v>1</v>
      </c>
      <c r="E56">
        <v>1.59</v>
      </c>
    </row>
    <row r="57" spans="1:5" x14ac:dyDescent="0.35">
      <c r="A57" s="3" t="s">
        <v>51</v>
      </c>
      <c r="B57" t="str">
        <f t="shared" si="1"/>
        <v>PROLOR</v>
      </c>
      <c r="C57">
        <v>2</v>
      </c>
      <c r="E57">
        <v>1.665</v>
      </c>
    </row>
    <row r="58" spans="1:5" x14ac:dyDescent="0.35">
      <c r="A58" s="3" t="s">
        <v>52</v>
      </c>
      <c r="B58" t="str">
        <f t="shared" si="1"/>
        <v>PROLOR</v>
      </c>
      <c r="C58">
        <v>3</v>
      </c>
      <c r="E58">
        <v>1.7669999999999999</v>
      </c>
    </row>
    <row r="59" spans="1:5" x14ac:dyDescent="0.35">
      <c r="A59" s="3" t="s">
        <v>53</v>
      </c>
      <c r="B59" t="str">
        <f t="shared" si="1"/>
        <v>PROLOR</v>
      </c>
      <c r="C59">
        <v>4</v>
      </c>
      <c r="E59">
        <v>1.4650000000000001</v>
      </c>
    </row>
    <row r="60" spans="1:5" x14ac:dyDescent="0.35">
      <c r="A60" s="3" t="s">
        <v>54</v>
      </c>
      <c r="B60" t="str">
        <f t="shared" si="1"/>
        <v>PROLOR</v>
      </c>
      <c r="C60">
        <v>5</v>
      </c>
      <c r="E60">
        <v>2.5979999999999999</v>
      </c>
    </row>
    <row r="61" spans="1:5" x14ac:dyDescent="0.35">
      <c r="A61" s="4" t="s">
        <v>55</v>
      </c>
      <c r="B61" t="str">
        <f t="shared" si="1"/>
        <v>PROLOR</v>
      </c>
      <c r="C61">
        <v>6</v>
      </c>
      <c r="E61">
        <v>2.02</v>
      </c>
    </row>
    <row r="62" spans="1:5" x14ac:dyDescent="0.35">
      <c r="A62" s="2" t="s">
        <v>56</v>
      </c>
      <c r="B62" t="str">
        <f t="shared" si="1"/>
        <v>RUSMUL</v>
      </c>
      <c r="C62">
        <v>1</v>
      </c>
      <c r="D62">
        <v>14.39</v>
      </c>
      <c r="E62">
        <f t="shared" si="0"/>
        <v>0.85899999999999999</v>
      </c>
    </row>
    <row r="63" spans="1:5" x14ac:dyDescent="0.35">
      <c r="A63" s="3" t="s">
        <v>57</v>
      </c>
      <c r="B63" t="str">
        <f t="shared" si="1"/>
        <v>RUSMUL</v>
      </c>
      <c r="C63">
        <v>2</v>
      </c>
      <c r="D63">
        <v>14.554</v>
      </c>
      <c r="E63">
        <f t="shared" si="0"/>
        <v>1.0229999999999997</v>
      </c>
    </row>
    <row r="64" spans="1:5" x14ac:dyDescent="0.35">
      <c r="A64" s="3" t="s">
        <v>58</v>
      </c>
      <c r="B64" t="str">
        <f t="shared" si="1"/>
        <v>RUSMUL</v>
      </c>
      <c r="C64">
        <v>3</v>
      </c>
      <c r="D64">
        <v>16.152999999999999</v>
      </c>
      <c r="E64">
        <f t="shared" si="0"/>
        <v>2.6219999999999981</v>
      </c>
    </row>
    <row r="65" spans="1:5" x14ac:dyDescent="0.35">
      <c r="A65" s="3" t="s">
        <v>59</v>
      </c>
      <c r="B65" t="str">
        <f t="shared" si="1"/>
        <v>RUSMUL</v>
      </c>
      <c r="C65">
        <v>4</v>
      </c>
      <c r="D65">
        <v>15.175000000000001</v>
      </c>
      <c r="E65">
        <f t="shared" si="0"/>
        <v>1.6440000000000001</v>
      </c>
    </row>
    <row r="66" spans="1:5" x14ac:dyDescent="0.35">
      <c r="A66" s="3" t="s">
        <v>60</v>
      </c>
      <c r="B66" t="str">
        <f t="shared" si="1"/>
        <v>RUSMUL</v>
      </c>
      <c r="C66">
        <v>5</v>
      </c>
      <c r="D66">
        <v>14.743</v>
      </c>
      <c r="E66">
        <f t="shared" si="0"/>
        <v>1.2119999999999997</v>
      </c>
    </row>
    <row r="67" spans="1:5" x14ac:dyDescent="0.35">
      <c r="A67" s="4" t="s">
        <v>61</v>
      </c>
      <c r="B67" t="str">
        <f t="shared" si="1"/>
        <v>RUSMUL</v>
      </c>
      <c r="C67">
        <v>6</v>
      </c>
      <c r="D67">
        <v>14.656000000000001</v>
      </c>
      <c r="E67">
        <f t="shared" ref="E67:E79" si="2">IF(ISBLANK(D67),"",D67-13.531)</f>
        <v>1.125</v>
      </c>
    </row>
    <row r="68" spans="1:5" x14ac:dyDescent="0.35">
      <c r="A68" s="2" t="s">
        <v>68</v>
      </c>
      <c r="B68" t="str">
        <f t="shared" ref="B68:B79" si="3">MID(A68,10,6)</f>
        <v>SELDOL</v>
      </c>
      <c r="C68">
        <v>1</v>
      </c>
      <c r="D68">
        <v>14.27</v>
      </c>
      <c r="E68">
        <f t="shared" si="2"/>
        <v>0.73899999999999899</v>
      </c>
    </row>
    <row r="69" spans="1:5" x14ac:dyDescent="0.35">
      <c r="A69" s="3" t="s">
        <v>69</v>
      </c>
      <c r="B69" t="str">
        <f t="shared" si="3"/>
        <v>SELDOL</v>
      </c>
      <c r="C69">
        <v>2</v>
      </c>
      <c r="D69">
        <v>14.714</v>
      </c>
      <c r="E69">
        <f t="shared" si="2"/>
        <v>1.1829999999999998</v>
      </c>
    </row>
    <row r="70" spans="1:5" x14ac:dyDescent="0.35">
      <c r="A70" s="3" t="s">
        <v>70</v>
      </c>
      <c r="B70" t="str">
        <f t="shared" si="3"/>
        <v>SELDOL</v>
      </c>
      <c r="C70">
        <v>3</v>
      </c>
      <c r="D70">
        <v>14.583</v>
      </c>
      <c r="E70">
        <f t="shared" si="2"/>
        <v>1.0519999999999996</v>
      </c>
    </row>
    <row r="71" spans="1:5" x14ac:dyDescent="0.35">
      <c r="A71" s="3" t="s">
        <v>71</v>
      </c>
      <c r="B71" t="str">
        <f t="shared" si="3"/>
        <v>SELDOL</v>
      </c>
      <c r="C71">
        <v>4</v>
      </c>
      <c r="D71">
        <v>14.698</v>
      </c>
      <c r="E71">
        <f t="shared" si="2"/>
        <v>1.1669999999999998</v>
      </c>
    </row>
    <row r="72" spans="1:5" x14ac:dyDescent="0.35">
      <c r="A72" s="3" t="s">
        <v>72</v>
      </c>
      <c r="B72" t="str">
        <f t="shared" si="3"/>
        <v>SELDOL</v>
      </c>
      <c r="C72">
        <v>5</v>
      </c>
      <c r="E72" t="str">
        <f t="shared" si="2"/>
        <v/>
      </c>
    </row>
    <row r="73" spans="1:5" x14ac:dyDescent="0.35">
      <c r="A73" s="4" t="s">
        <v>73</v>
      </c>
      <c r="B73" t="str">
        <f t="shared" si="3"/>
        <v>SELDOL</v>
      </c>
      <c r="C73">
        <v>6</v>
      </c>
      <c r="D73">
        <v>14.164999999999999</v>
      </c>
      <c r="E73">
        <f t="shared" si="2"/>
        <v>0.63399999999999856</v>
      </c>
    </row>
    <row r="74" spans="1:5" x14ac:dyDescent="0.35">
      <c r="A74" s="2" t="s">
        <v>74</v>
      </c>
      <c r="B74" t="str">
        <f t="shared" si="3"/>
        <v>WAHNOD</v>
      </c>
      <c r="C74">
        <v>1</v>
      </c>
      <c r="D74">
        <v>13.769</v>
      </c>
      <c r="E74">
        <f t="shared" si="2"/>
        <v>0.23799999999999955</v>
      </c>
    </row>
    <row r="75" spans="1:5" x14ac:dyDescent="0.35">
      <c r="A75" s="3" t="s">
        <v>75</v>
      </c>
      <c r="B75" t="str">
        <f t="shared" si="3"/>
        <v>WAHNOD</v>
      </c>
      <c r="C75">
        <v>2</v>
      </c>
      <c r="D75">
        <v>13.673999999999999</v>
      </c>
      <c r="E75">
        <f t="shared" si="2"/>
        <v>0.14299999999999891</v>
      </c>
    </row>
    <row r="76" spans="1:5" x14ac:dyDescent="0.35">
      <c r="A76" s="3" t="s">
        <v>76</v>
      </c>
      <c r="B76" t="str">
        <f t="shared" si="3"/>
        <v>WAHNOD</v>
      </c>
      <c r="C76">
        <v>3</v>
      </c>
      <c r="D76">
        <v>13.632999999999999</v>
      </c>
      <c r="E76">
        <f t="shared" si="2"/>
        <v>0.10199999999999854</v>
      </c>
    </row>
    <row r="77" spans="1:5" x14ac:dyDescent="0.35">
      <c r="A77" s="3" t="s">
        <v>77</v>
      </c>
      <c r="B77" t="str">
        <f t="shared" si="3"/>
        <v>WAHNOD</v>
      </c>
      <c r="C77">
        <v>4</v>
      </c>
      <c r="D77">
        <v>14.064</v>
      </c>
      <c r="E77">
        <f t="shared" si="2"/>
        <v>0.53299999999999947</v>
      </c>
    </row>
    <row r="78" spans="1:5" x14ac:dyDescent="0.35">
      <c r="A78" s="3" t="s">
        <v>78</v>
      </c>
      <c r="B78" t="str">
        <f t="shared" si="3"/>
        <v>WAHNOD</v>
      </c>
      <c r="C78">
        <v>5</v>
      </c>
      <c r="D78">
        <v>13.733000000000001</v>
      </c>
      <c r="E78">
        <f t="shared" si="2"/>
        <v>0.20199999999999996</v>
      </c>
    </row>
    <row r="79" spans="1:5" x14ac:dyDescent="0.35">
      <c r="A79" s="4" t="s">
        <v>79</v>
      </c>
      <c r="B79" t="str">
        <f t="shared" si="3"/>
        <v>WAHNOD</v>
      </c>
      <c r="C79">
        <v>6</v>
      </c>
      <c r="D79">
        <v>13.827</v>
      </c>
      <c r="E79">
        <f t="shared" si="2"/>
        <v>0.29599999999999937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dryweights_run4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Huw Irlam</cp:lastModifiedBy>
  <dcterms:created xsi:type="dcterms:W3CDTF">2025-09-19T10:38:37Z</dcterms:created>
  <dcterms:modified xsi:type="dcterms:W3CDTF">2025-10-06T12:04:33Z</dcterms:modified>
</cp:coreProperties>
</file>