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C" sheetId="1" r:id="rId4"/>
    <sheet state="hidden" name="Data Feed (40C)" sheetId="2" r:id="rId5"/>
    <sheet state="hidden" name="Data Feed (20C)" sheetId="3" r:id="rId6"/>
  </sheets>
  <definedNames/>
  <calcPr/>
</workbook>
</file>

<file path=xl/sharedStrings.xml><?xml version="1.0" encoding="utf-8"?>
<sst xmlns="http://schemas.openxmlformats.org/spreadsheetml/2006/main" count="414" uniqueCount="39">
  <si>
    <t>GENSPP</t>
  </si>
  <si>
    <t>ID_Code</t>
  </si>
  <si>
    <t>Species</t>
  </si>
  <si>
    <t>Treat</t>
  </si>
  <si>
    <t>Sample_no</t>
  </si>
  <si>
    <t>Date_Time</t>
  </si>
  <si>
    <t>Weight</t>
  </si>
  <si>
    <t>PASOBT</t>
  </si>
  <si>
    <t>PROLOR</t>
  </si>
  <si>
    <t>PROLAU</t>
  </si>
  <si>
    <t>LOBDEC</t>
  </si>
  <si>
    <t>SELDOL</t>
  </si>
  <si>
    <t>AGACAP</t>
  </si>
  <si>
    <t>RUSMUL</t>
  </si>
  <si>
    <t>ASPSHA</t>
  </si>
  <si>
    <t>ELYRHI</t>
  </si>
  <si>
    <t>MICPOL</t>
  </si>
  <si>
    <t>OEDSQU</t>
  </si>
  <si>
    <t>WAHNOD</t>
  </si>
  <si>
    <t>CLURUB</t>
  </si>
  <si>
    <t>Site</t>
  </si>
  <si>
    <t>Sampling Date</t>
  </si>
  <si>
    <t>Sample No.</t>
  </si>
  <si>
    <t>Agathosma capensis</t>
  </si>
  <si>
    <t>20C</t>
  </si>
  <si>
    <t>Fynbos</t>
  </si>
  <si>
    <t>Aspalathus shawii</t>
  </si>
  <si>
    <t>Clutia rubricaulis</t>
  </si>
  <si>
    <t>Renosterveld</t>
  </si>
  <si>
    <t>Elytropappus rhinocerotis</t>
  </si>
  <si>
    <t>Lobostemon decorus</t>
  </si>
  <si>
    <t>Microdon polygaloides</t>
  </si>
  <si>
    <t>Oedera squarrosa</t>
  </si>
  <si>
    <t>Passerina obtusifolia</t>
  </si>
  <si>
    <t>Protea laurifolia</t>
  </si>
  <si>
    <t>Protea lorifolia</t>
  </si>
  <si>
    <t>Ruschia multiflora</t>
  </si>
  <si>
    <t>Selago dolosa</t>
  </si>
  <si>
    <t>Wahlenbergia nodosa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</si>
</sst>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h:mm"/>
    <numFmt numFmtId="165" formatCode="d mmm"/>
  </numFmts>
  <fonts count="4">
    <font>
      <sz val="10.0"/>
      <color rgb="FF000000"/>
      <name val="Arial"/>
      <scheme val="minor"/>
    </font>
    <font>
      <color theme="1"/>
      <name val="Arial"/>
      <scheme val="minor"/>
    </font>
    <font>
      <color theme="1"/>
      <name val="Arial"/>
    </font>
    <font>
      <sz val="11.0"/>
      <color rgb="FF000000"/>
      <name val="Arial"/>
    </font>
  </fonts>
  <fills count="3">
    <fill>
      <patternFill patternType="none"/>
    </fill>
    <fill>
      <patternFill patternType="lightGray"/>
    </fill>
    <fill>
      <patternFill patternType="solid">
        <fgColor rgb="FFFFFFFF"/>
        <bgColor rgb="FFFFFFFF"/>
      </patternFill>
    </fill>
  </fills>
  <borders count="4">
    <border/>
    <border>
      <bottom style="thin">
        <color rgb="FF000000"/>
      </bottom>
    </border>
    <border>
      <left style="thin">
        <color rgb="FF000000"/>
      </left>
      <bottom style="thin">
        <color rgb="FF000000"/>
      </bottom>
    </border>
    <border>
      <left style="thin">
        <color rgb="FF000000"/>
      </left>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left" readingOrder="0"/>
    </xf>
    <xf borderId="1" fillId="0" fontId="1" numFmtId="0" xfId="0" applyAlignment="1" applyBorder="1" applyFont="1">
      <alignment readingOrder="0"/>
    </xf>
    <xf borderId="2" fillId="0" fontId="2" numFmtId="0" xfId="0" applyAlignment="1" applyBorder="1" applyFont="1">
      <alignment readingOrder="0" vertical="bottom"/>
    </xf>
    <xf borderId="1" fillId="0" fontId="2" numFmtId="0" xfId="0" applyAlignment="1" applyBorder="1" applyFont="1">
      <alignment vertical="bottom"/>
    </xf>
    <xf borderId="0" fillId="0" fontId="1" numFmtId="0" xfId="0" applyAlignment="1" applyFont="1">
      <alignment horizontal="left" readingOrder="0"/>
    </xf>
    <xf borderId="0" fillId="2" fontId="0" numFmtId="0" xfId="0" applyFill="1" applyFont="1"/>
    <xf borderId="3" fillId="0" fontId="2" numFmtId="164" xfId="0" applyAlignment="1" applyBorder="1" applyFont="1" applyNumberFormat="1">
      <alignment readingOrder="0" vertical="bottom"/>
    </xf>
    <xf borderId="0" fillId="0" fontId="2" numFmtId="0" xfId="0" applyAlignment="1" applyFont="1">
      <alignment readingOrder="0" vertical="bottom"/>
    </xf>
    <xf borderId="0" fillId="0" fontId="1" numFmtId="0" xfId="0" applyAlignment="1" applyFont="1">
      <alignment horizontal="left"/>
    </xf>
    <xf borderId="0" fillId="0" fontId="1" numFmtId="0" xfId="0" applyAlignment="1" applyFont="1">
      <alignment horizontal="right"/>
    </xf>
    <xf borderId="3" fillId="0" fontId="2" numFmtId="164" xfId="0" applyAlignment="1" applyBorder="1" applyFont="1" applyNumberFormat="1">
      <alignment vertical="bottom"/>
    </xf>
    <xf borderId="1" fillId="0" fontId="1" numFmtId="0" xfId="0" applyAlignment="1" applyBorder="1" applyFont="1">
      <alignment horizontal="left"/>
    </xf>
    <xf borderId="1" fillId="2" fontId="0" numFmtId="0" xfId="0" applyBorder="1" applyFont="1"/>
    <xf borderId="1" fillId="0" fontId="1" numFmtId="0" xfId="0" applyAlignment="1" applyBorder="1" applyFont="1">
      <alignment horizontal="right"/>
    </xf>
    <xf borderId="2" fillId="0" fontId="2" numFmtId="164" xfId="0" applyAlignment="1" applyBorder="1" applyFont="1" applyNumberFormat="1">
      <alignment vertical="bottom"/>
    </xf>
    <xf borderId="1" fillId="0" fontId="2" numFmtId="0" xfId="0" applyAlignment="1" applyBorder="1" applyFont="1">
      <alignment readingOrder="0" vertical="bottom"/>
    </xf>
    <xf borderId="3" fillId="0" fontId="2" numFmtId="20" xfId="0" applyAlignment="1" applyBorder="1" applyFont="1" applyNumberFormat="1">
      <alignment readingOrder="0" vertical="bottom"/>
    </xf>
    <xf borderId="3" fillId="0" fontId="2" numFmtId="20" xfId="0" applyAlignment="1" applyBorder="1" applyFont="1" applyNumberFormat="1">
      <alignment vertical="bottom"/>
    </xf>
    <xf borderId="2" fillId="0" fontId="2" numFmtId="20" xfId="0" applyAlignment="1" applyBorder="1" applyFont="1" applyNumberFormat="1">
      <alignment vertical="bottom"/>
    </xf>
    <xf borderId="3" fillId="0" fontId="2" numFmtId="0" xfId="0" applyAlignment="1" applyBorder="1" applyFont="1">
      <alignment vertical="bottom"/>
    </xf>
    <xf borderId="0" fillId="0" fontId="1" numFmtId="0" xfId="0" applyAlignment="1" applyFont="1">
      <alignment readingOrder="0"/>
    </xf>
    <xf borderId="0" fillId="0" fontId="1" numFmtId="0" xfId="0" applyFont="1"/>
    <xf borderId="0" fillId="0" fontId="2" numFmtId="0" xfId="0" applyAlignment="1" applyFont="1">
      <alignment vertical="bottom"/>
    </xf>
    <xf borderId="0" fillId="0" fontId="2" numFmtId="0" xfId="0" applyAlignment="1" applyFont="1">
      <alignment horizontal="right" readingOrder="0" vertical="bottom"/>
    </xf>
    <xf borderId="0" fillId="0" fontId="1" numFmtId="165" xfId="0" applyAlignment="1" applyFont="1" applyNumberFormat="1">
      <alignment readingOrder="0"/>
    </xf>
    <xf borderId="0" fillId="0" fontId="2" numFmtId="0" xfId="0" applyAlignment="1" applyFont="1">
      <alignment horizontal="righ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1.88"/>
    <col customWidth="1" hidden="1" min="2" max="2" width="31.88"/>
    <col customWidth="1" hidden="1" min="3" max="3" width="19.75"/>
    <col hidden="1" min="4" max="4" width="12.63"/>
    <col customWidth="1" min="5" max="6" width="11.25"/>
    <col customWidth="1" min="7" max="7" width="6.13"/>
  </cols>
  <sheetData>
    <row r="1">
      <c r="A1" s="1" t="s">
        <v>0</v>
      </c>
      <c r="B1" s="1" t="s">
        <v>1</v>
      </c>
      <c r="C1" s="2" t="s">
        <v>2</v>
      </c>
      <c r="D1" s="2" t="s">
        <v>3</v>
      </c>
      <c r="E1" s="2" t="s">
        <v>4</v>
      </c>
      <c r="F1" s="3" t="s">
        <v>5</v>
      </c>
      <c r="G1" s="4" t="s">
        <v>6</v>
      </c>
    </row>
    <row r="2">
      <c r="A2" s="5" t="s">
        <v>7</v>
      </c>
      <c r="B2" s="6" t="str">
        <f>IF(ISBLANK(A2),"",VLOOKUP($A2,'Data Feed (20C)'!$A$1:$G$14,2,FALSE))</f>
        <v>DKR250911PASOBT_20C_sample_1</v>
      </c>
      <c r="C2" s="6" t="str">
        <f>IF(ISBLANK(A2),"",VLOOKUP($A2,'Data Feed (20C)'!$A$1:$G$14,3,FALSE))</f>
        <v>Passerina obtusifolia</v>
      </c>
      <c r="D2" s="6" t="str">
        <f>IF(ISBLANK(A2),"",VLOOKUP($A2,'Data Feed (20C)'!$A$1:$G$14,4,FALSE))</f>
        <v>20C</v>
      </c>
      <c r="E2" s="6">
        <f>IF(ISBLANK(A2),"",VLOOKUP($A2,'Data Feed (20C)'!$A$1:$G$14,7,FALSE))</f>
        <v>1</v>
      </c>
      <c r="F2" s="7">
        <v>45912.42361111111</v>
      </c>
      <c r="G2" s="8">
        <v>3.416</v>
      </c>
    </row>
    <row r="3">
      <c r="A3" s="9" t="str">
        <f t="shared" ref="A3:A7" si="2">A2</f>
        <v>PASOBT</v>
      </c>
      <c r="B3" s="9" t="str">
        <f>IF(ISBLANK(A2),"",LEFT(B2,27)&amp;VALUE(RIGHT(B2,1)+1))</f>
        <v>DKR250911PASOBT_20C_sample_2</v>
      </c>
      <c r="C3" s="6" t="str">
        <f t="shared" ref="C3:D3" si="1">C2</f>
        <v>Passerina obtusifolia</v>
      </c>
      <c r="D3" s="6" t="str">
        <f t="shared" si="1"/>
        <v>20C</v>
      </c>
      <c r="E3" s="10">
        <f>IF(ISBLANK(A2),"",E2+1)</f>
        <v>2</v>
      </c>
      <c r="F3" s="11">
        <f t="shared" ref="F3:F7" si="4">F2</f>
        <v>45912.42361</v>
      </c>
      <c r="G3" s="8">
        <v>4.734</v>
      </c>
    </row>
    <row r="4">
      <c r="A4" s="9" t="str">
        <f t="shared" si="2"/>
        <v>PASOBT</v>
      </c>
      <c r="B4" s="9" t="str">
        <f>IF(ISBLANK(A2),"",LEFT(B3,27)&amp;VALUE(RIGHT(B3,1)+1))</f>
        <v>DKR250911PASOBT_20C_sample_3</v>
      </c>
      <c r="C4" s="6" t="str">
        <f t="shared" ref="C4:D4" si="3">C3</f>
        <v>Passerina obtusifolia</v>
      </c>
      <c r="D4" s="6" t="str">
        <f t="shared" si="3"/>
        <v>20C</v>
      </c>
      <c r="E4" s="10">
        <f>IF(ISBLANK(A2),"",E3+1)</f>
        <v>3</v>
      </c>
      <c r="F4" s="11">
        <f t="shared" si="4"/>
        <v>45912.42361</v>
      </c>
      <c r="G4" s="8">
        <v>1.663</v>
      </c>
    </row>
    <row r="5">
      <c r="A5" s="9" t="str">
        <f t="shared" si="2"/>
        <v>PASOBT</v>
      </c>
      <c r="B5" s="9" t="str">
        <f>IF(ISBLANK(A2),"",LEFT(B4,27)&amp;VALUE(RIGHT(B4,1)+1))</f>
        <v>DKR250911PASOBT_20C_sample_4</v>
      </c>
      <c r="C5" s="6" t="str">
        <f t="shared" ref="C5:D5" si="5">C4</f>
        <v>Passerina obtusifolia</v>
      </c>
      <c r="D5" s="6" t="str">
        <f t="shared" si="5"/>
        <v>20C</v>
      </c>
      <c r="E5" s="10">
        <f>IF(ISBLANK(A2),"",E4+1)</f>
        <v>4</v>
      </c>
      <c r="F5" s="11">
        <f t="shared" si="4"/>
        <v>45912.42361</v>
      </c>
      <c r="G5" s="8">
        <v>2.569</v>
      </c>
    </row>
    <row r="6">
      <c r="A6" s="9" t="str">
        <f t="shared" si="2"/>
        <v>PASOBT</v>
      </c>
      <c r="B6" s="9" t="str">
        <f>IF(ISBLANK(A2),"",LEFT(B5,27)&amp;VALUE(RIGHT(B5,1)+1))</f>
        <v>DKR250911PASOBT_20C_sample_5</v>
      </c>
      <c r="C6" s="6" t="str">
        <f t="shared" ref="C6:D6" si="6">C5</f>
        <v>Passerina obtusifolia</v>
      </c>
      <c r="D6" s="6" t="str">
        <f t="shared" si="6"/>
        <v>20C</v>
      </c>
      <c r="E6" s="10">
        <f>IF(ISBLANK(A2),"",E5+1)</f>
        <v>5</v>
      </c>
      <c r="F6" s="11">
        <f t="shared" si="4"/>
        <v>45912.42361</v>
      </c>
      <c r="G6" s="8">
        <v>1.956</v>
      </c>
    </row>
    <row r="7">
      <c r="A7" s="12" t="str">
        <f t="shared" si="2"/>
        <v>PASOBT</v>
      </c>
      <c r="B7" s="12" t="str">
        <f>IF(ISBLANK(A2),"",LEFT(B6,27)&amp;VALUE(RIGHT(B6,1)+1))</f>
        <v>DKR250911PASOBT_20C_sample_6</v>
      </c>
      <c r="C7" s="13" t="str">
        <f t="shared" ref="C7:D7" si="7">C6</f>
        <v>Passerina obtusifolia</v>
      </c>
      <c r="D7" s="13" t="str">
        <f t="shared" si="7"/>
        <v>20C</v>
      </c>
      <c r="E7" s="14">
        <f>IF(ISBLANK(A2),"",E6+1)</f>
        <v>6</v>
      </c>
      <c r="F7" s="15">
        <f t="shared" si="4"/>
        <v>45912.42361</v>
      </c>
      <c r="G7" s="16">
        <v>3.581</v>
      </c>
    </row>
    <row r="8">
      <c r="A8" s="5" t="s">
        <v>8</v>
      </c>
      <c r="B8" s="6" t="str">
        <f>IF(ISBLANK(A8),"",VLOOKUP($A8,'Data Feed (20C)'!$A$1:$G$14,2,FALSE))</f>
        <v>DKF250911PROLOR_20C_sample_1</v>
      </c>
      <c r="C8" s="6" t="str">
        <f>IF(ISBLANK(A8),"",VLOOKUP($A8,'Data Feed (20C)'!$A$1:$G$14,3,FALSE))</f>
        <v>Protea lorifolia</v>
      </c>
      <c r="D8" s="6" t="str">
        <f>IF(ISBLANK(A8),"",VLOOKUP($A8,'Data Feed (20C)'!$A$1:$G$14,4,FALSE))</f>
        <v>20C</v>
      </c>
      <c r="E8" s="6">
        <f>IF(ISBLANK(A8),"",VLOOKUP($A8,'Data Feed (20C)'!$A$1:$G$14,7,FALSE))</f>
        <v>1</v>
      </c>
      <c r="F8" s="7">
        <v>45912.42638888889</v>
      </c>
      <c r="G8" s="8">
        <v>3.35</v>
      </c>
    </row>
    <row r="9">
      <c r="A9" s="9" t="str">
        <f t="shared" ref="A9:A13" si="9">A8</f>
        <v>PROLOR</v>
      </c>
      <c r="B9" s="9" t="str">
        <f>IF(ISBLANK(A8),"",LEFT(B8,27)&amp;VALUE(RIGHT(B8,1)+1))</f>
        <v>DKF250911PROLOR_20C_sample_2</v>
      </c>
      <c r="C9" s="6" t="str">
        <f t="shared" ref="C9:D9" si="8">C8</f>
        <v>Protea lorifolia</v>
      </c>
      <c r="D9" s="6" t="str">
        <f t="shared" si="8"/>
        <v>20C</v>
      </c>
      <c r="E9" s="10">
        <f>IF(ISBLANK(A8),"",E8+1)</f>
        <v>2</v>
      </c>
      <c r="F9" s="11">
        <f t="shared" ref="F9:F13" si="11">F8</f>
        <v>45912.42639</v>
      </c>
      <c r="G9" s="8">
        <v>3.796</v>
      </c>
    </row>
    <row r="10">
      <c r="A10" s="9" t="str">
        <f t="shared" si="9"/>
        <v>PROLOR</v>
      </c>
      <c r="B10" s="9" t="str">
        <f>IF(ISBLANK(A8),"",LEFT(B9,27)&amp;VALUE(RIGHT(B9,1)+1))</f>
        <v>DKF250911PROLOR_20C_sample_3</v>
      </c>
      <c r="C10" s="6" t="str">
        <f t="shared" ref="C10:D10" si="10">C9</f>
        <v>Protea lorifolia</v>
      </c>
      <c r="D10" s="6" t="str">
        <f t="shared" si="10"/>
        <v>20C</v>
      </c>
      <c r="E10" s="10">
        <f>IF(ISBLANK(A8),"",E9+1)</f>
        <v>3</v>
      </c>
      <c r="F10" s="11">
        <f t="shared" si="11"/>
        <v>45912.42639</v>
      </c>
      <c r="G10" s="8">
        <v>3.973</v>
      </c>
    </row>
    <row r="11">
      <c r="A11" s="9" t="str">
        <f t="shared" si="9"/>
        <v>PROLOR</v>
      </c>
      <c r="B11" s="9" t="str">
        <f>IF(ISBLANK(A8),"",LEFT(B10,27)&amp;VALUE(RIGHT(B10,1)+1))</f>
        <v>DKF250911PROLOR_20C_sample_4</v>
      </c>
      <c r="C11" s="6" t="str">
        <f t="shared" ref="C11:D11" si="12">C10</f>
        <v>Protea lorifolia</v>
      </c>
      <c r="D11" s="6" t="str">
        <f t="shared" si="12"/>
        <v>20C</v>
      </c>
      <c r="E11" s="10">
        <f>IF(ISBLANK(A8),"",E10+1)</f>
        <v>4</v>
      </c>
      <c r="F11" s="11">
        <f t="shared" si="11"/>
        <v>45912.42639</v>
      </c>
      <c r="G11" s="8">
        <v>3.16</v>
      </c>
    </row>
    <row r="12">
      <c r="A12" s="9" t="str">
        <f t="shared" si="9"/>
        <v>PROLOR</v>
      </c>
      <c r="B12" s="9" t="str">
        <f>IF(ISBLANK(A8),"",LEFT(B11,27)&amp;VALUE(RIGHT(B11,1)+1))</f>
        <v>DKF250911PROLOR_20C_sample_5</v>
      </c>
      <c r="C12" s="6" t="str">
        <f t="shared" ref="C12:D12" si="13">C11</f>
        <v>Protea lorifolia</v>
      </c>
      <c r="D12" s="6" t="str">
        <f t="shared" si="13"/>
        <v>20C</v>
      </c>
      <c r="E12" s="10">
        <f>IF(ISBLANK(A8),"",E11+1)</f>
        <v>5</v>
      </c>
      <c r="F12" s="11">
        <f t="shared" si="11"/>
        <v>45912.42639</v>
      </c>
      <c r="G12" s="8">
        <v>5.853</v>
      </c>
    </row>
    <row r="13">
      <c r="A13" s="12" t="str">
        <f t="shared" si="9"/>
        <v>PROLOR</v>
      </c>
      <c r="B13" s="12" t="str">
        <f>IF(ISBLANK(A8),"",LEFT(B12,27)&amp;VALUE(RIGHT(B12,1)+1))</f>
        <v>DKF250911PROLOR_20C_sample_6</v>
      </c>
      <c r="C13" s="13" t="str">
        <f t="shared" ref="C13:D13" si="14">C12</f>
        <v>Protea lorifolia</v>
      </c>
      <c r="D13" s="13" t="str">
        <f t="shared" si="14"/>
        <v>20C</v>
      </c>
      <c r="E13" s="14">
        <f>IF(ISBLANK(A8),"",E12+1)</f>
        <v>6</v>
      </c>
      <c r="F13" s="15">
        <f t="shared" si="11"/>
        <v>45912.42639</v>
      </c>
      <c r="G13" s="16">
        <v>4.8</v>
      </c>
    </row>
    <row r="14">
      <c r="A14" s="5" t="s">
        <v>9</v>
      </c>
      <c r="B14" s="6" t="str">
        <f>IF(ISBLANK(A14),"",VLOOKUP($A14,'Data Feed (20C)'!$A$1:$G$14,2,FALSE))</f>
        <v>DKR250911PROLAU_20C_sample_1</v>
      </c>
      <c r="C14" s="6" t="str">
        <f>IF(ISBLANK(A14),"",VLOOKUP($A14,'Data Feed (20C)'!$A$1:$G$14,3,FALSE))</f>
        <v>Protea laurifolia</v>
      </c>
      <c r="D14" s="6" t="str">
        <f>IF(ISBLANK(A14),"",VLOOKUP($A14,'Data Feed (20C)'!$A$1:$G$14,4,FALSE))</f>
        <v>20C</v>
      </c>
      <c r="E14" s="6">
        <f>IF(ISBLANK(A14),"",VLOOKUP($A14,'Data Feed (20C)'!$A$1:$G$14,7,FALSE))</f>
        <v>1</v>
      </c>
      <c r="F14" s="7">
        <v>45912.43263888889</v>
      </c>
      <c r="G14" s="8">
        <v>1.077</v>
      </c>
    </row>
    <row r="15">
      <c r="A15" s="9" t="str">
        <f t="shared" ref="A15:A19" si="16">A14</f>
        <v>PROLAU</v>
      </c>
      <c r="B15" s="9" t="str">
        <f>IF(ISBLANK(A14),"",LEFT(B14,27)&amp;VALUE(RIGHT(B14,1)+1))</f>
        <v>DKR250911PROLAU_20C_sample_2</v>
      </c>
      <c r="C15" s="6" t="str">
        <f t="shared" ref="C15:D15" si="15">C14</f>
        <v>Protea laurifolia</v>
      </c>
      <c r="D15" s="6" t="str">
        <f t="shared" si="15"/>
        <v>20C</v>
      </c>
      <c r="E15" s="10">
        <f>IF(ISBLANK(A14),"",E14+1)</f>
        <v>2</v>
      </c>
      <c r="F15" s="11">
        <f t="shared" ref="F15:F19" si="18">F14</f>
        <v>45912.43264</v>
      </c>
      <c r="G15" s="8">
        <v>1.315</v>
      </c>
    </row>
    <row r="16">
      <c r="A16" s="9" t="str">
        <f t="shared" si="16"/>
        <v>PROLAU</v>
      </c>
      <c r="B16" s="9" t="str">
        <f>IF(ISBLANK(A14),"",LEFT(B15,27)&amp;VALUE(RIGHT(B15,1)+1))</f>
        <v>DKR250911PROLAU_20C_sample_3</v>
      </c>
      <c r="C16" s="6" t="str">
        <f t="shared" ref="C16:D16" si="17">C15</f>
        <v>Protea laurifolia</v>
      </c>
      <c r="D16" s="6" t="str">
        <f t="shared" si="17"/>
        <v>20C</v>
      </c>
      <c r="E16" s="10">
        <f>IF(ISBLANK(A14),"",E15+1)</f>
        <v>3</v>
      </c>
      <c r="F16" s="11">
        <f t="shared" si="18"/>
        <v>45912.43264</v>
      </c>
      <c r="G16" s="8">
        <v>1.185</v>
      </c>
    </row>
    <row r="17">
      <c r="A17" s="9" t="str">
        <f t="shared" si="16"/>
        <v>PROLAU</v>
      </c>
      <c r="B17" s="9" t="str">
        <f>IF(ISBLANK(A14),"",LEFT(B16,27)&amp;VALUE(RIGHT(B16,1)+1))</f>
        <v>DKR250911PROLAU_20C_sample_4</v>
      </c>
      <c r="C17" s="6" t="str">
        <f t="shared" ref="C17:D17" si="19">C16</f>
        <v>Protea laurifolia</v>
      </c>
      <c r="D17" s="6" t="str">
        <f t="shared" si="19"/>
        <v>20C</v>
      </c>
      <c r="E17" s="10">
        <f>IF(ISBLANK(A14),"",E16+1)</f>
        <v>4</v>
      </c>
      <c r="F17" s="11">
        <f t="shared" si="18"/>
        <v>45912.43264</v>
      </c>
      <c r="G17" s="8">
        <v>0.591</v>
      </c>
    </row>
    <row r="18">
      <c r="A18" s="9" t="str">
        <f t="shared" si="16"/>
        <v>PROLAU</v>
      </c>
      <c r="B18" s="9" t="str">
        <f>IF(ISBLANK(A14),"",LEFT(B17,27)&amp;VALUE(RIGHT(B17,1)+1))</f>
        <v>DKR250911PROLAU_20C_sample_5</v>
      </c>
      <c r="C18" s="6" t="str">
        <f t="shared" ref="C18:D18" si="20">C17</f>
        <v>Protea laurifolia</v>
      </c>
      <c r="D18" s="6" t="str">
        <f t="shared" si="20"/>
        <v>20C</v>
      </c>
      <c r="E18" s="10">
        <f>IF(ISBLANK(A14),"",E17+1)</f>
        <v>5</v>
      </c>
      <c r="F18" s="11">
        <f t="shared" si="18"/>
        <v>45912.43264</v>
      </c>
      <c r="G18" s="8">
        <v>1.035</v>
      </c>
    </row>
    <row r="19">
      <c r="A19" s="12" t="str">
        <f t="shared" si="16"/>
        <v>PROLAU</v>
      </c>
      <c r="B19" s="12" t="str">
        <f>IF(ISBLANK(A14),"",LEFT(B18,27)&amp;VALUE(RIGHT(B18,1)+1))</f>
        <v>DKR250911PROLAU_20C_sample_6</v>
      </c>
      <c r="C19" s="13" t="str">
        <f t="shared" ref="C19:D19" si="21">C18</f>
        <v>Protea laurifolia</v>
      </c>
      <c r="D19" s="13" t="str">
        <f t="shared" si="21"/>
        <v>20C</v>
      </c>
      <c r="E19" s="14">
        <f>IF(ISBLANK(A14),"",E18+1)</f>
        <v>6</v>
      </c>
      <c r="F19" s="15">
        <f t="shared" si="18"/>
        <v>45912.43264</v>
      </c>
      <c r="G19" s="16">
        <v>1.048</v>
      </c>
    </row>
    <row r="20">
      <c r="A20" s="5" t="s">
        <v>10</v>
      </c>
      <c r="B20" s="6" t="str">
        <f>IF(ISBLANK(A20),"",VLOOKUP($A20,'Data Feed (20C)'!$A$1:$G$14,2,FALSE))</f>
        <v>DKF250911LOBDEC_20C_sample_1</v>
      </c>
      <c r="C20" s="6" t="str">
        <f>IF(ISBLANK(A20),"",VLOOKUP($A20,'Data Feed (20C)'!$A$1:$G$14,3,FALSE))</f>
        <v>Lobostemon decorus</v>
      </c>
      <c r="D20" s="6" t="str">
        <f>IF(ISBLANK(A20),"",VLOOKUP($A20,'Data Feed (20C)'!$A$1:$G$14,4,FALSE))</f>
        <v>20C</v>
      </c>
      <c r="E20" s="6">
        <f>IF(ISBLANK(A20),"",VLOOKUP($A20,'Data Feed (20C)'!$A$1:$G$14,7,FALSE))</f>
        <v>1</v>
      </c>
      <c r="F20" s="7">
        <v>45912.43472222222</v>
      </c>
      <c r="G20" s="8">
        <v>13.153</v>
      </c>
    </row>
    <row r="21">
      <c r="A21" s="9" t="str">
        <f t="shared" ref="A21:A25" si="23">A20</f>
        <v>LOBDEC</v>
      </c>
      <c r="B21" s="9" t="str">
        <f>IF(ISBLANK(A20),"",LEFT(B20,27)&amp;VALUE(RIGHT(B20,1)+1))</f>
        <v>DKF250911LOBDEC_20C_sample_2</v>
      </c>
      <c r="C21" s="6" t="str">
        <f t="shared" ref="C21:D21" si="22">C20</f>
        <v>Lobostemon decorus</v>
      </c>
      <c r="D21" s="6" t="str">
        <f t="shared" si="22"/>
        <v>20C</v>
      </c>
      <c r="E21" s="10">
        <f>IF(ISBLANK(A20),"",E20+1)</f>
        <v>2</v>
      </c>
      <c r="F21" s="11">
        <f t="shared" ref="F21:F25" si="25">F20</f>
        <v>45912.43472</v>
      </c>
      <c r="G21" s="8">
        <v>10.143</v>
      </c>
    </row>
    <row r="22">
      <c r="A22" s="9" t="str">
        <f t="shared" si="23"/>
        <v>LOBDEC</v>
      </c>
      <c r="B22" s="9" t="str">
        <f>IF(ISBLANK(A20),"",LEFT(B21,27)&amp;VALUE(RIGHT(B21,1)+1))</f>
        <v>DKF250911LOBDEC_20C_sample_3</v>
      </c>
      <c r="C22" s="6" t="str">
        <f t="shared" ref="C22:D22" si="24">C21</f>
        <v>Lobostemon decorus</v>
      </c>
      <c r="D22" s="6" t="str">
        <f t="shared" si="24"/>
        <v>20C</v>
      </c>
      <c r="E22" s="10">
        <f>IF(ISBLANK(A20),"",E21+1)</f>
        <v>3</v>
      </c>
      <c r="F22" s="11">
        <f t="shared" si="25"/>
        <v>45912.43472</v>
      </c>
      <c r="G22" s="8">
        <v>12.837</v>
      </c>
    </row>
    <row r="23">
      <c r="A23" s="9" t="str">
        <f t="shared" si="23"/>
        <v>LOBDEC</v>
      </c>
      <c r="B23" s="9" t="str">
        <f>IF(ISBLANK(A20),"",LEFT(B22,27)&amp;VALUE(RIGHT(B22,1)+1))</f>
        <v>DKF250911LOBDEC_20C_sample_4</v>
      </c>
      <c r="C23" s="6" t="str">
        <f t="shared" ref="C23:D23" si="26">C22</f>
        <v>Lobostemon decorus</v>
      </c>
      <c r="D23" s="6" t="str">
        <f t="shared" si="26"/>
        <v>20C</v>
      </c>
      <c r="E23" s="10">
        <f>IF(ISBLANK(A20),"",E22+1)</f>
        <v>4</v>
      </c>
      <c r="F23" s="11">
        <f t="shared" si="25"/>
        <v>45912.43472</v>
      </c>
      <c r="G23" s="8">
        <v>9.209</v>
      </c>
    </row>
    <row r="24">
      <c r="A24" s="9" t="str">
        <f t="shared" si="23"/>
        <v>LOBDEC</v>
      </c>
      <c r="B24" s="9" t="str">
        <f>IF(ISBLANK(A20),"",LEFT(B23,27)&amp;VALUE(RIGHT(B23,1)+1))</f>
        <v>DKF250911LOBDEC_20C_sample_5</v>
      </c>
      <c r="C24" s="6" t="str">
        <f t="shared" ref="C24:D24" si="27">C23</f>
        <v>Lobostemon decorus</v>
      </c>
      <c r="D24" s="6" t="str">
        <f t="shared" si="27"/>
        <v>20C</v>
      </c>
      <c r="E24" s="10">
        <f>IF(ISBLANK(A20),"",E23+1)</f>
        <v>5</v>
      </c>
      <c r="F24" s="11">
        <f t="shared" si="25"/>
        <v>45912.43472</v>
      </c>
      <c r="G24" s="8">
        <v>6.164</v>
      </c>
    </row>
    <row r="25">
      <c r="A25" s="12" t="str">
        <f t="shared" si="23"/>
        <v>LOBDEC</v>
      </c>
      <c r="B25" s="12" t="str">
        <f>IF(ISBLANK(A20),"",LEFT(B24,27)&amp;VALUE(RIGHT(B24,1)+1))</f>
        <v>DKF250911LOBDEC_20C_sample_6</v>
      </c>
      <c r="C25" s="13" t="str">
        <f t="shared" ref="C25:D25" si="28">C24</f>
        <v>Lobostemon decorus</v>
      </c>
      <c r="D25" s="13" t="str">
        <f t="shared" si="28"/>
        <v>20C</v>
      </c>
      <c r="E25" s="14">
        <f>IF(ISBLANK(A20),"",E24+1)</f>
        <v>6</v>
      </c>
      <c r="F25" s="15">
        <f t="shared" si="25"/>
        <v>45912.43472</v>
      </c>
      <c r="G25" s="16">
        <v>6.343</v>
      </c>
    </row>
    <row r="26">
      <c r="A26" s="5" t="s">
        <v>11</v>
      </c>
      <c r="B26" s="6" t="str">
        <f>IF(ISBLANK(A26),"",VLOOKUP($A26,'Data Feed (20C)'!$A$1:$G$14,2,FALSE))</f>
        <v>DKF250911SELDOL_20C_sample_1</v>
      </c>
      <c r="C26" s="6" t="str">
        <f>IF(ISBLANK(A26),"",VLOOKUP($A26,'Data Feed (20C)'!$A$1:$G$14,3,FALSE))</f>
        <v>Selago dolosa</v>
      </c>
      <c r="D26" s="6" t="str">
        <f>IF(ISBLANK(A26),"",VLOOKUP($A26,'Data Feed (20C)'!$A$1:$G$14,4,FALSE))</f>
        <v>20C</v>
      </c>
      <c r="E26" s="6">
        <f>IF(ISBLANK(A26),"",VLOOKUP($A26,'Data Feed (20C)'!$A$1:$G$14,7,FALSE))</f>
        <v>1</v>
      </c>
      <c r="F26" s="7">
        <v>45912.4375</v>
      </c>
      <c r="G26" s="8">
        <v>1.75</v>
      </c>
    </row>
    <row r="27">
      <c r="A27" s="9" t="str">
        <f t="shared" ref="A27:A31" si="30">A26</f>
        <v>SELDOL</v>
      </c>
      <c r="B27" s="9" t="str">
        <f>IF(ISBLANK(A26),"",LEFT(B26,27)&amp;VALUE(RIGHT(B26,1)+1))</f>
        <v>DKF250911SELDOL_20C_sample_2</v>
      </c>
      <c r="C27" s="6" t="str">
        <f t="shared" ref="C27:D27" si="29">C26</f>
        <v>Selago dolosa</v>
      </c>
      <c r="D27" s="6" t="str">
        <f t="shared" si="29"/>
        <v>20C</v>
      </c>
      <c r="E27" s="10">
        <f>IF(ISBLANK(A26),"",E26+1)</f>
        <v>2</v>
      </c>
      <c r="F27" s="11">
        <f t="shared" ref="F27:F31" si="32">F26</f>
        <v>45912.4375</v>
      </c>
      <c r="G27" s="8">
        <v>2.323</v>
      </c>
    </row>
    <row r="28">
      <c r="A28" s="9" t="str">
        <f t="shared" si="30"/>
        <v>SELDOL</v>
      </c>
      <c r="B28" s="9" t="str">
        <f>IF(ISBLANK(A26),"",LEFT(B27,27)&amp;VALUE(RIGHT(B27,1)+1))</f>
        <v>DKF250911SELDOL_20C_sample_3</v>
      </c>
      <c r="C28" s="6" t="str">
        <f t="shared" ref="C28:D28" si="31">C27</f>
        <v>Selago dolosa</v>
      </c>
      <c r="D28" s="6" t="str">
        <f t="shared" si="31"/>
        <v>20C</v>
      </c>
      <c r="E28" s="10">
        <f>IF(ISBLANK(A26),"",E27+1)</f>
        <v>3</v>
      </c>
      <c r="F28" s="11">
        <f t="shared" si="32"/>
        <v>45912.4375</v>
      </c>
      <c r="G28" s="8">
        <v>2.27</v>
      </c>
    </row>
    <row r="29">
      <c r="A29" s="9" t="str">
        <f t="shared" si="30"/>
        <v>SELDOL</v>
      </c>
      <c r="B29" s="9" t="str">
        <f>IF(ISBLANK(A26),"",LEFT(B28,27)&amp;VALUE(RIGHT(B28,1)+1))</f>
        <v>DKF250911SELDOL_20C_sample_4</v>
      </c>
      <c r="C29" s="6" t="str">
        <f t="shared" ref="C29:D29" si="33">C28</f>
        <v>Selago dolosa</v>
      </c>
      <c r="D29" s="6" t="str">
        <f t="shared" si="33"/>
        <v>20C</v>
      </c>
      <c r="E29" s="10">
        <f>IF(ISBLANK(A26),"",E28+1)</f>
        <v>4</v>
      </c>
      <c r="F29" s="11">
        <f t="shared" si="32"/>
        <v>45912.4375</v>
      </c>
      <c r="G29" s="8">
        <v>2.39</v>
      </c>
    </row>
    <row r="30">
      <c r="A30" s="9" t="str">
        <f t="shared" si="30"/>
        <v>SELDOL</v>
      </c>
      <c r="B30" s="9" t="str">
        <f>IF(ISBLANK(A26),"",LEFT(B29,27)&amp;VALUE(RIGHT(B29,1)+1))</f>
        <v>DKF250911SELDOL_20C_sample_5</v>
      </c>
      <c r="C30" s="6" t="str">
        <f t="shared" ref="C30:D30" si="34">C29</f>
        <v>Selago dolosa</v>
      </c>
      <c r="D30" s="6" t="str">
        <f t="shared" si="34"/>
        <v>20C</v>
      </c>
      <c r="E30" s="10">
        <f>IF(ISBLANK(A26),"",E29+1)</f>
        <v>5</v>
      </c>
      <c r="F30" s="11">
        <f t="shared" si="32"/>
        <v>45912.4375</v>
      </c>
      <c r="G30" s="8">
        <v>3.188</v>
      </c>
    </row>
    <row r="31">
      <c r="A31" s="12" t="str">
        <f t="shared" si="30"/>
        <v>SELDOL</v>
      </c>
      <c r="B31" s="12" t="str">
        <f>IF(ISBLANK(A26),"",LEFT(B30,27)&amp;VALUE(RIGHT(B30,1)+1))</f>
        <v>DKF250911SELDOL_20C_sample_6</v>
      </c>
      <c r="C31" s="13" t="str">
        <f t="shared" ref="C31:D31" si="35">C30</f>
        <v>Selago dolosa</v>
      </c>
      <c r="D31" s="13" t="str">
        <f t="shared" si="35"/>
        <v>20C</v>
      </c>
      <c r="E31" s="14">
        <f>IF(ISBLANK(A26),"",E30+1)</f>
        <v>6</v>
      </c>
      <c r="F31" s="15">
        <f t="shared" si="32"/>
        <v>45912.4375</v>
      </c>
      <c r="G31" s="16">
        <v>1.451</v>
      </c>
    </row>
    <row r="32">
      <c r="A32" s="5" t="s">
        <v>12</v>
      </c>
      <c r="B32" s="6" t="str">
        <f>IF(ISBLANK(A32),"",VLOOKUP($A32,'Data Feed (20C)'!$A$1:$G$14,2,FALSE))</f>
        <v>DKF250911AGACAP_20C_sample_1</v>
      </c>
      <c r="C32" s="6" t="str">
        <f>IF(ISBLANK(A32),"",VLOOKUP($A32,'Data Feed (20C)'!$A$1:$G$14,3,FALSE))</f>
        <v>Agathosma capensis</v>
      </c>
      <c r="D32" s="6" t="str">
        <f>IF(ISBLANK(A32),"",VLOOKUP($A32,'Data Feed (20C)'!$A$1:$G$14,4,FALSE))</f>
        <v>20C</v>
      </c>
      <c r="E32" s="6">
        <f>IF(ISBLANK(A32),"",VLOOKUP($A32,'Data Feed (20C)'!$A$1:$G$14,7,FALSE))</f>
        <v>1</v>
      </c>
      <c r="F32" s="7">
        <v>45912.44652777778</v>
      </c>
      <c r="G32" s="8">
        <v>5.789</v>
      </c>
    </row>
    <row r="33">
      <c r="A33" s="9" t="str">
        <f t="shared" ref="A33:A37" si="37">A32</f>
        <v>AGACAP</v>
      </c>
      <c r="B33" s="9" t="str">
        <f>IF(ISBLANK(A32),"",LEFT(B32,27)&amp;VALUE(RIGHT(B32,1)+1))</f>
        <v>DKF250911AGACAP_20C_sample_2</v>
      </c>
      <c r="C33" s="6" t="str">
        <f t="shared" ref="C33:D33" si="36">C32</f>
        <v>Agathosma capensis</v>
      </c>
      <c r="D33" s="6" t="str">
        <f t="shared" si="36"/>
        <v>20C</v>
      </c>
      <c r="E33" s="10">
        <f>IF(ISBLANK(A32),"",E32+1)</f>
        <v>2</v>
      </c>
      <c r="F33" s="11">
        <f t="shared" ref="F33:F37" si="39">F32</f>
        <v>45912.44653</v>
      </c>
      <c r="G33" s="8">
        <v>2.065</v>
      </c>
    </row>
    <row r="34">
      <c r="A34" s="9" t="str">
        <f t="shared" si="37"/>
        <v>AGACAP</v>
      </c>
      <c r="B34" s="9" t="str">
        <f>IF(ISBLANK(A32),"",LEFT(B33,27)&amp;VALUE(RIGHT(B33,1)+1))</f>
        <v>DKF250911AGACAP_20C_sample_3</v>
      </c>
      <c r="C34" s="6" t="str">
        <f t="shared" ref="C34:D34" si="38">C33</f>
        <v>Agathosma capensis</v>
      </c>
      <c r="D34" s="6" t="str">
        <f t="shared" si="38"/>
        <v>20C</v>
      </c>
      <c r="E34" s="10">
        <f>IF(ISBLANK(A32),"",E33+1)</f>
        <v>3</v>
      </c>
      <c r="F34" s="11">
        <f t="shared" si="39"/>
        <v>45912.44653</v>
      </c>
      <c r="G34" s="8">
        <v>3.022</v>
      </c>
    </row>
    <row r="35">
      <c r="A35" s="9" t="str">
        <f t="shared" si="37"/>
        <v>AGACAP</v>
      </c>
      <c r="B35" s="9" t="str">
        <f>IF(ISBLANK(A32),"",LEFT(B34,27)&amp;VALUE(RIGHT(B34,1)+1))</f>
        <v>DKF250911AGACAP_20C_sample_4</v>
      </c>
      <c r="C35" s="6" t="str">
        <f t="shared" ref="C35:D35" si="40">C34</f>
        <v>Agathosma capensis</v>
      </c>
      <c r="D35" s="6" t="str">
        <f t="shared" si="40"/>
        <v>20C</v>
      </c>
      <c r="E35" s="10">
        <f>IF(ISBLANK(A32),"",E34+1)</f>
        <v>4</v>
      </c>
      <c r="F35" s="11">
        <f t="shared" si="39"/>
        <v>45912.44653</v>
      </c>
      <c r="G35" s="8">
        <v>1.965</v>
      </c>
    </row>
    <row r="36">
      <c r="A36" s="9" t="str">
        <f t="shared" si="37"/>
        <v>AGACAP</v>
      </c>
      <c r="B36" s="9" t="str">
        <f>IF(ISBLANK(A32),"",LEFT(B35,27)&amp;VALUE(RIGHT(B35,1)+1))</f>
        <v>DKF250911AGACAP_20C_sample_5</v>
      </c>
      <c r="C36" s="6" t="str">
        <f t="shared" ref="C36:D36" si="41">C35</f>
        <v>Agathosma capensis</v>
      </c>
      <c r="D36" s="6" t="str">
        <f t="shared" si="41"/>
        <v>20C</v>
      </c>
      <c r="E36" s="10">
        <f>IF(ISBLANK(A32),"",E35+1)</f>
        <v>5</v>
      </c>
      <c r="F36" s="11">
        <f t="shared" si="39"/>
        <v>45912.44653</v>
      </c>
      <c r="G36" s="8">
        <v>0.829</v>
      </c>
    </row>
    <row r="37">
      <c r="A37" s="12" t="str">
        <f t="shared" si="37"/>
        <v>AGACAP</v>
      </c>
      <c r="B37" s="12" t="str">
        <f>IF(ISBLANK(A32),"",LEFT(B36,27)&amp;VALUE(RIGHT(B36,1)+1))</f>
        <v>DKF250911AGACAP_20C_sample_6</v>
      </c>
      <c r="C37" s="13" t="str">
        <f t="shared" ref="C37:D37" si="42">C36</f>
        <v>Agathosma capensis</v>
      </c>
      <c r="D37" s="13" t="str">
        <f t="shared" si="42"/>
        <v>20C</v>
      </c>
      <c r="E37" s="14">
        <f>IF(ISBLANK(A32),"",E36+1)</f>
        <v>6</v>
      </c>
      <c r="F37" s="15">
        <f t="shared" si="39"/>
        <v>45912.44653</v>
      </c>
      <c r="G37" s="16">
        <v>2.157</v>
      </c>
    </row>
    <row r="38">
      <c r="A38" s="5" t="s">
        <v>13</v>
      </c>
      <c r="B38" s="6" t="str">
        <f>IF(ISBLANK(A38),"",VLOOKUP($A38,'Data Feed (20C)'!$A$1:$G$14,2,FALSE))</f>
        <v>DKR250911RUSMUL_20C_sample_1</v>
      </c>
      <c r="C38" s="6" t="str">
        <f>IF(ISBLANK(A38),"",VLOOKUP($A38,'Data Feed (20C)'!$A$1:$G$14,3,FALSE))</f>
        <v>Ruschia multiflora</v>
      </c>
      <c r="D38" s="6" t="str">
        <f>IF(ISBLANK(A38),"",VLOOKUP($A38,'Data Feed (20C)'!$A$1:$G$14,4,FALSE))</f>
        <v>20C</v>
      </c>
      <c r="E38" s="6">
        <f>IF(ISBLANK(A38),"",VLOOKUP($A38,'Data Feed (20C)'!$A$1:$G$14,7,FALSE))</f>
        <v>1</v>
      </c>
      <c r="F38" s="7">
        <v>45912.45347222222</v>
      </c>
      <c r="G38" s="8">
        <v>3.48</v>
      </c>
    </row>
    <row r="39">
      <c r="A39" s="9" t="str">
        <f t="shared" ref="A39:A43" si="44">A38</f>
        <v>RUSMUL</v>
      </c>
      <c r="B39" s="9" t="str">
        <f>IF(ISBLANK(A38),"",LEFT(B38,27)&amp;VALUE(RIGHT(B38,1)+1))</f>
        <v>DKR250911RUSMUL_20C_sample_2</v>
      </c>
      <c r="C39" s="6" t="str">
        <f t="shared" ref="C39:D39" si="43">C38</f>
        <v>Ruschia multiflora</v>
      </c>
      <c r="D39" s="6" t="str">
        <f t="shared" si="43"/>
        <v>20C</v>
      </c>
      <c r="E39" s="10">
        <f>IF(ISBLANK(A38),"",E38+1)</f>
        <v>2</v>
      </c>
      <c r="F39" s="11">
        <f t="shared" ref="F39:F43" si="46">F38</f>
        <v>45912.45347</v>
      </c>
      <c r="G39" s="8">
        <v>4.591</v>
      </c>
    </row>
    <row r="40">
      <c r="A40" s="9" t="str">
        <f t="shared" si="44"/>
        <v>RUSMUL</v>
      </c>
      <c r="B40" s="9" t="str">
        <f>IF(ISBLANK(A38),"",LEFT(B39,27)&amp;VALUE(RIGHT(B39,1)+1))</f>
        <v>DKR250911RUSMUL_20C_sample_3</v>
      </c>
      <c r="C40" s="6" t="str">
        <f t="shared" ref="C40:D40" si="45">C39</f>
        <v>Ruschia multiflora</v>
      </c>
      <c r="D40" s="6" t="str">
        <f t="shared" si="45"/>
        <v>20C</v>
      </c>
      <c r="E40" s="10">
        <f>IF(ISBLANK(A38),"",E39+1)</f>
        <v>3</v>
      </c>
      <c r="F40" s="11">
        <f t="shared" si="46"/>
        <v>45912.45347</v>
      </c>
      <c r="G40" s="8">
        <v>8.479</v>
      </c>
    </row>
    <row r="41">
      <c r="A41" s="9" t="str">
        <f t="shared" si="44"/>
        <v>RUSMUL</v>
      </c>
      <c r="B41" s="9" t="str">
        <f>IF(ISBLANK(A38),"",LEFT(B40,27)&amp;VALUE(RIGHT(B40,1)+1))</f>
        <v>DKR250911RUSMUL_20C_sample_4</v>
      </c>
      <c r="C41" s="6" t="str">
        <f t="shared" ref="C41:D41" si="47">C40</f>
        <v>Ruschia multiflora</v>
      </c>
      <c r="D41" s="6" t="str">
        <f t="shared" si="47"/>
        <v>20C</v>
      </c>
      <c r="E41" s="10">
        <f>IF(ISBLANK(A38),"",E40+1)</f>
        <v>4</v>
      </c>
      <c r="F41" s="11">
        <f t="shared" si="46"/>
        <v>45912.45347</v>
      </c>
      <c r="G41" s="8">
        <v>4.741</v>
      </c>
    </row>
    <row r="42">
      <c r="A42" s="9" t="str">
        <f t="shared" si="44"/>
        <v>RUSMUL</v>
      </c>
      <c r="B42" s="9" t="str">
        <f>IF(ISBLANK(A38),"",LEFT(B41,27)&amp;VALUE(RIGHT(B41,1)+1))</f>
        <v>DKR250911RUSMUL_20C_sample_5</v>
      </c>
      <c r="C42" s="6" t="str">
        <f t="shared" ref="C42:D42" si="48">C41</f>
        <v>Ruschia multiflora</v>
      </c>
      <c r="D42" s="6" t="str">
        <f t="shared" si="48"/>
        <v>20C</v>
      </c>
      <c r="E42" s="10">
        <f>IF(ISBLANK(A38),"",E41+1)</f>
        <v>5</v>
      </c>
      <c r="F42" s="11">
        <f t="shared" si="46"/>
        <v>45912.45347</v>
      </c>
      <c r="G42" s="8">
        <v>3.853</v>
      </c>
    </row>
    <row r="43">
      <c r="A43" s="12" t="str">
        <f t="shared" si="44"/>
        <v>RUSMUL</v>
      </c>
      <c r="B43" s="12" t="str">
        <f>IF(ISBLANK(A38),"",LEFT(B42,27)&amp;VALUE(RIGHT(B42,1)+1))</f>
        <v>DKR250911RUSMUL_20C_sample_6</v>
      </c>
      <c r="C43" s="13" t="str">
        <f t="shared" ref="C43:D43" si="49">C42</f>
        <v>Ruschia multiflora</v>
      </c>
      <c r="D43" s="13" t="str">
        <f t="shared" si="49"/>
        <v>20C</v>
      </c>
      <c r="E43" s="14">
        <f>IF(ISBLANK(A38),"",E42+1)</f>
        <v>6</v>
      </c>
      <c r="F43" s="15">
        <f t="shared" si="46"/>
        <v>45912.45347</v>
      </c>
      <c r="G43" s="16">
        <v>3.247</v>
      </c>
    </row>
    <row r="44">
      <c r="A44" s="5" t="s">
        <v>14</v>
      </c>
      <c r="B44" s="6" t="str">
        <f>IF(ISBLANK(A44),"",VLOOKUP($A44,'Data Feed (20C)'!$A$1:$G$14,2,FALSE))</f>
        <v>DKF250911ASPSHA_20C_sample_1</v>
      </c>
      <c r="C44" s="6" t="str">
        <f>IF(ISBLANK(A44),"",VLOOKUP($A44,'Data Feed (20C)'!$A$1:$G$14,3,FALSE))</f>
        <v>Aspalathus shawii</v>
      </c>
      <c r="D44" s="6" t="str">
        <f>IF(ISBLANK(A44),"",VLOOKUP($A44,'Data Feed (20C)'!$A$1:$G$14,4,FALSE))</f>
        <v>20C</v>
      </c>
      <c r="E44" s="6">
        <f>IF(ISBLANK(A44),"",VLOOKUP($A44,'Data Feed (20C)'!$A$1:$G$14,7,FALSE))</f>
        <v>1</v>
      </c>
      <c r="F44" s="7">
        <v>45912.46527777778</v>
      </c>
      <c r="G44" s="8">
        <v>17.053</v>
      </c>
    </row>
    <row r="45">
      <c r="A45" s="9" t="str">
        <f t="shared" ref="A45:A49" si="51">A44</f>
        <v>ASPSHA</v>
      </c>
      <c r="B45" s="9" t="str">
        <f>IF(ISBLANK(A44),"",LEFT(B44,27)&amp;VALUE(RIGHT(B44,1)+1))</f>
        <v>DKF250911ASPSHA_20C_sample_2</v>
      </c>
      <c r="C45" s="6" t="str">
        <f t="shared" ref="C45:D45" si="50">C44</f>
        <v>Aspalathus shawii</v>
      </c>
      <c r="D45" s="6" t="str">
        <f t="shared" si="50"/>
        <v>20C</v>
      </c>
      <c r="E45" s="10">
        <f>IF(ISBLANK(A44),"",E44+1)</f>
        <v>2</v>
      </c>
      <c r="F45" s="11">
        <f t="shared" ref="F45:F49" si="53">F44</f>
        <v>45912.46528</v>
      </c>
      <c r="G45" s="8">
        <v>11.232</v>
      </c>
    </row>
    <row r="46">
      <c r="A46" s="9" t="str">
        <f t="shared" si="51"/>
        <v>ASPSHA</v>
      </c>
      <c r="B46" s="9" t="str">
        <f>IF(ISBLANK(A44),"",LEFT(B45,27)&amp;VALUE(RIGHT(B45,1)+1))</f>
        <v>DKF250911ASPSHA_20C_sample_3</v>
      </c>
      <c r="C46" s="6" t="str">
        <f t="shared" ref="C46:D46" si="52">C45</f>
        <v>Aspalathus shawii</v>
      </c>
      <c r="D46" s="6" t="str">
        <f t="shared" si="52"/>
        <v>20C</v>
      </c>
      <c r="E46" s="10">
        <f>IF(ISBLANK(A44),"",E45+1)</f>
        <v>3</v>
      </c>
      <c r="F46" s="11">
        <f t="shared" si="53"/>
        <v>45912.46528</v>
      </c>
      <c r="G46" s="8">
        <v>6.318</v>
      </c>
    </row>
    <row r="47">
      <c r="A47" s="9" t="str">
        <f t="shared" si="51"/>
        <v>ASPSHA</v>
      </c>
      <c r="B47" s="9" t="str">
        <f>IF(ISBLANK(A44),"",LEFT(B46,27)&amp;VALUE(RIGHT(B46,1)+1))</f>
        <v>DKF250911ASPSHA_20C_sample_4</v>
      </c>
      <c r="C47" s="6" t="str">
        <f t="shared" ref="C47:D47" si="54">C46</f>
        <v>Aspalathus shawii</v>
      </c>
      <c r="D47" s="6" t="str">
        <f t="shared" si="54"/>
        <v>20C</v>
      </c>
      <c r="E47" s="10">
        <f>IF(ISBLANK(A44),"",E46+1)</f>
        <v>4</v>
      </c>
      <c r="F47" s="11">
        <f t="shared" si="53"/>
        <v>45912.46528</v>
      </c>
      <c r="G47" s="8">
        <v>15.352</v>
      </c>
    </row>
    <row r="48">
      <c r="A48" s="9" t="str">
        <f t="shared" si="51"/>
        <v>ASPSHA</v>
      </c>
      <c r="B48" s="9" t="str">
        <f>IF(ISBLANK(A44),"",LEFT(B47,27)&amp;VALUE(RIGHT(B47,1)+1))</f>
        <v>DKF250911ASPSHA_20C_sample_5</v>
      </c>
      <c r="C48" s="6" t="str">
        <f t="shared" ref="C48:D48" si="55">C47</f>
        <v>Aspalathus shawii</v>
      </c>
      <c r="D48" s="6" t="str">
        <f t="shared" si="55"/>
        <v>20C</v>
      </c>
      <c r="E48" s="10">
        <f>IF(ISBLANK(A44),"",E47+1)</f>
        <v>5</v>
      </c>
      <c r="F48" s="11">
        <f t="shared" si="53"/>
        <v>45912.46528</v>
      </c>
      <c r="G48" s="8">
        <v>4.843</v>
      </c>
    </row>
    <row r="49">
      <c r="A49" s="12" t="str">
        <f t="shared" si="51"/>
        <v>ASPSHA</v>
      </c>
      <c r="B49" s="12" t="str">
        <f>IF(ISBLANK(A44),"",LEFT(B48,27)&amp;VALUE(RIGHT(B48,1)+1))</f>
        <v>DKF250911ASPSHA_20C_sample_6</v>
      </c>
      <c r="C49" s="13" t="str">
        <f t="shared" ref="C49:D49" si="56">C48</f>
        <v>Aspalathus shawii</v>
      </c>
      <c r="D49" s="13" t="str">
        <f t="shared" si="56"/>
        <v>20C</v>
      </c>
      <c r="E49" s="14">
        <f>IF(ISBLANK(A44),"",E48+1)</f>
        <v>6</v>
      </c>
      <c r="F49" s="15">
        <f t="shared" si="53"/>
        <v>45912.46528</v>
      </c>
      <c r="G49" s="16">
        <v>13.015</v>
      </c>
    </row>
    <row r="50">
      <c r="A50" s="5" t="s">
        <v>15</v>
      </c>
      <c r="B50" s="6" t="str">
        <f>IF(ISBLANK(A50),"",VLOOKUP($A50,'Data Feed (20C)'!$A$1:$G$14,2,FALSE))</f>
        <v>DKR250911ELYRHI_20C_sample_1</v>
      </c>
      <c r="C50" s="6" t="str">
        <f>IF(ISBLANK(A50),"",VLOOKUP($A50,'Data Feed (20C)'!$A$1:$G$14,3,FALSE))</f>
        <v>Elytropappus rhinocerotis</v>
      </c>
      <c r="D50" s="6" t="str">
        <f>IF(ISBLANK(A50),"",VLOOKUP($A50,'Data Feed (20C)'!$A$1:$G$14,4,FALSE))</f>
        <v>20C</v>
      </c>
      <c r="E50" s="6">
        <f>IF(ISBLANK(A50),"",VLOOKUP($A50,'Data Feed (20C)'!$A$1:$G$14,7,FALSE))</f>
        <v>1</v>
      </c>
      <c r="F50" s="7">
        <v>45912.467361111114</v>
      </c>
      <c r="G50" s="8">
        <v>4.301</v>
      </c>
    </row>
    <row r="51">
      <c r="A51" s="9" t="str">
        <f t="shared" ref="A51:A55" si="58">A50</f>
        <v>ELYRHI</v>
      </c>
      <c r="B51" s="9" t="str">
        <f>IF(ISBLANK(A50),"",LEFT(B50,27)&amp;VALUE(RIGHT(B50,1)+1))</f>
        <v>DKR250911ELYRHI_20C_sample_2</v>
      </c>
      <c r="C51" s="6" t="str">
        <f t="shared" ref="C51:D51" si="57">C50</f>
        <v>Elytropappus rhinocerotis</v>
      </c>
      <c r="D51" s="6" t="str">
        <f t="shared" si="57"/>
        <v>20C</v>
      </c>
      <c r="E51" s="10">
        <f>IF(ISBLANK(A50),"",E50+1)</f>
        <v>2</v>
      </c>
      <c r="F51" s="11">
        <f t="shared" ref="F51:F55" si="60">F50</f>
        <v>45912.46736</v>
      </c>
      <c r="G51" s="8">
        <v>4.885</v>
      </c>
    </row>
    <row r="52">
      <c r="A52" s="9" t="str">
        <f t="shared" si="58"/>
        <v>ELYRHI</v>
      </c>
      <c r="B52" s="9" t="str">
        <f>IF(ISBLANK(A50),"",LEFT(B51,27)&amp;VALUE(RIGHT(B51,1)+1))</f>
        <v>DKR250911ELYRHI_20C_sample_3</v>
      </c>
      <c r="C52" s="6" t="str">
        <f t="shared" ref="C52:D52" si="59">C51</f>
        <v>Elytropappus rhinocerotis</v>
      </c>
      <c r="D52" s="6" t="str">
        <f t="shared" si="59"/>
        <v>20C</v>
      </c>
      <c r="E52" s="10">
        <f>IF(ISBLANK(A50),"",E51+1)</f>
        <v>3</v>
      </c>
      <c r="F52" s="11">
        <f t="shared" si="60"/>
        <v>45912.46736</v>
      </c>
      <c r="G52" s="8">
        <v>7.528</v>
      </c>
    </row>
    <row r="53">
      <c r="A53" s="9" t="str">
        <f t="shared" si="58"/>
        <v>ELYRHI</v>
      </c>
      <c r="B53" s="9" t="str">
        <f>IF(ISBLANK(A50),"",LEFT(B52,27)&amp;VALUE(RIGHT(B52,1)+1))</f>
        <v>DKR250911ELYRHI_20C_sample_4</v>
      </c>
      <c r="C53" s="6" t="str">
        <f t="shared" ref="C53:D53" si="61">C52</f>
        <v>Elytropappus rhinocerotis</v>
      </c>
      <c r="D53" s="6" t="str">
        <f t="shared" si="61"/>
        <v>20C</v>
      </c>
      <c r="E53" s="10">
        <f>IF(ISBLANK(A50),"",E52+1)</f>
        <v>4</v>
      </c>
      <c r="F53" s="11">
        <f t="shared" si="60"/>
        <v>45912.46736</v>
      </c>
      <c r="G53" s="8">
        <v>4.783</v>
      </c>
    </row>
    <row r="54">
      <c r="A54" s="9" t="str">
        <f t="shared" si="58"/>
        <v>ELYRHI</v>
      </c>
      <c r="B54" s="9" t="str">
        <f>IF(ISBLANK(A50),"",LEFT(B53,27)&amp;VALUE(RIGHT(B53,1)+1))</f>
        <v>DKR250911ELYRHI_20C_sample_5</v>
      </c>
      <c r="C54" s="6" t="str">
        <f t="shared" ref="C54:D54" si="62">C53</f>
        <v>Elytropappus rhinocerotis</v>
      </c>
      <c r="D54" s="6" t="str">
        <f t="shared" si="62"/>
        <v>20C</v>
      </c>
      <c r="E54" s="10">
        <f>IF(ISBLANK(A50),"",E53+1)</f>
        <v>5</v>
      </c>
      <c r="F54" s="11">
        <f t="shared" si="60"/>
        <v>45912.46736</v>
      </c>
      <c r="G54" s="8">
        <v>3.015</v>
      </c>
    </row>
    <row r="55">
      <c r="A55" s="12" t="str">
        <f t="shared" si="58"/>
        <v>ELYRHI</v>
      </c>
      <c r="B55" s="12" t="str">
        <f>IF(ISBLANK(A50),"",LEFT(B54,27)&amp;VALUE(RIGHT(B54,1)+1))</f>
        <v>DKR250911ELYRHI_20C_sample_6</v>
      </c>
      <c r="C55" s="13" t="str">
        <f t="shared" ref="C55:D55" si="63">C54</f>
        <v>Elytropappus rhinocerotis</v>
      </c>
      <c r="D55" s="13" t="str">
        <f t="shared" si="63"/>
        <v>20C</v>
      </c>
      <c r="E55" s="14">
        <f>IF(ISBLANK(A50),"",E54+1)</f>
        <v>6</v>
      </c>
      <c r="F55" s="15">
        <f t="shared" si="60"/>
        <v>45912.46736</v>
      </c>
      <c r="G55" s="16">
        <v>2.537</v>
      </c>
    </row>
    <row r="56">
      <c r="A56" s="5" t="s">
        <v>16</v>
      </c>
      <c r="B56" s="6" t="str">
        <f>IF(ISBLANK(A56),"",VLOOKUP($A56,'Data Feed (20C)'!$A$1:$G$14,2,FALSE))</f>
        <v>DKR250911MICPOL_20C_sample_1</v>
      </c>
      <c r="C56" s="6" t="str">
        <f>IF(ISBLANK(A56),"",VLOOKUP($A56,'Data Feed (20C)'!$A$1:$G$14,3,FALSE))</f>
        <v>Microdon polygaloides</v>
      </c>
      <c r="D56" s="6" t="str">
        <f>IF(ISBLANK(A56),"",VLOOKUP($A56,'Data Feed (20C)'!$A$1:$G$14,4,FALSE))</f>
        <v>20C</v>
      </c>
      <c r="E56" s="6">
        <f>IF(ISBLANK(A56),"",VLOOKUP($A56,'Data Feed (20C)'!$A$1:$G$14,7,FALSE))</f>
        <v>1</v>
      </c>
      <c r="F56" s="7">
        <v>45912.478472222225</v>
      </c>
      <c r="G56" s="8">
        <v>2.064</v>
      </c>
    </row>
    <row r="57">
      <c r="A57" s="9" t="str">
        <f t="shared" ref="A57:A61" si="65">A56</f>
        <v>MICPOL</v>
      </c>
      <c r="B57" s="9" t="str">
        <f>IF(ISBLANK(A56),"",LEFT(B56,27)&amp;VALUE(RIGHT(B56,1)+1))</f>
        <v>DKR250911MICPOL_20C_sample_2</v>
      </c>
      <c r="C57" s="6" t="str">
        <f t="shared" ref="C57:D57" si="64">C56</f>
        <v>Microdon polygaloides</v>
      </c>
      <c r="D57" s="6" t="str">
        <f t="shared" si="64"/>
        <v>20C</v>
      </c>
      <c r="E57" s="10">
        <f>IF(ISBLANK(A56),"",E56+1)</f>
        <v>2</v>
      </c>
      <c r="F57" s="11">
        <f t="shared" ref="F57:F61" si="67">F56</f>
        <v>45912.47847</v>
      </c>
      <c r="G57" s="8">
        <v>1.409</v>
      </c>
    </row>
    <row r="58">
      <c r="A58" s="9" t="str">
        <f t="shared" si="65"/>
        <v>MICPOL</v>
      </c>
      <c r="B58" s="9" t="str">
        <f>IF(ISBLANK(A56),"",LEFT(B57,27)&amp;VALUE(RIGHT(B57,1)+1))</f>
        <v>DKR250911MICPOL_20C_sample_3</v>
      </c>
      <c r="C58" s="6" t="str">
        <f t="shared" ref="C58:D58" si="66">C57</f>
        <v>Microdon polygaloides</v>
      </c>
      <c r="D58" s="6" t="str">
        <f t="shared" si="66"/>
        <v>20C</v>
      </c>
      <c r="E58" s="10">
        <f>IF(ISBLANK(A56),"",E57+1)</f>
        <v>3</v>
      </c>
      <c r="F58" s="11">
        <f t="shared" si="67"/>
        <v>45912.47847</v>
      </c>
      <c r="G58" s="8">
        <v>0.585</v>
      </c>
    </row>
    <row r="59">
      <c r="A59" s="9" t="str">
        <f t="shared" si="65"/>
        <v>MICPOL</v>
      </c>
      <c r="B59" s="9" t="str">
        <f>IF(ISBLANK(A56),"",LEFT(B58,27)&amp;VALUE(RIGHT(B58,1)+1))</f>
        <v>DKR250911MICPOL_20C_sample_4</v>
      </c>
      <c r="C59" s="6" t="str">
        <f t="shared" ref="C59:D59" si="68">C58</f>
        <v>Microdon polygaloides</v>
      </c>
      <c r="D59" s="6" t="str">
        <f t="shared" si="68"/>
        <v>20C</v>
      </c>
      <c r="E59" s="10">
        <f>IF(ISBLANK(A56),"",E58+1)</f>
        <v>4</v>
      </c>
      <c r="F59" s="11">
        <f t="shared" si="67"/>
        <v>45912.47847</v>
      </c>
      <c r="G59" s="8">
        <v>0.269</v>
      </c>
    </row>
    <row r="60">
      <c r="A60" s="9" t="str">
        <f t="shared" si="65"/>
        <v>MICPOL</v>
      </c>
      <c r="B60" s="9" t="str">
        <f>IF(ISBLANK(A56),"",LEFT(B59,27)&amp;VALUE(RIGHT(B59,1)+1))</f>
        <v>DKR250911MICPOL_20C_sample_5</v>
      </c>
      <c r="C60" s="6" t="str">
        <f t="shared" ref="C60:D60" si="69">C59</f>
        <v>Microdon polygaloides</v>
      </c>
      <c r="D60" s="6" t="str">
        <f t="shared" si="69"/>
        <v>20C</v>
      </c>
      <c r="E60" s="10">
        <f>IF(ISBLANK(A56),"",E59+1)</f>
        <v>5</v>
      </c>
      <c r="F60" s="11">
        <f t="shared" si="67"/>
        <v>45912.47847</v>
      </c>
      <c r="G60" s="8">
        <v>0.369</v>
      </c>
    </row>
    <row r="61">
      <c r="A61" s="12" t="str">
        <f t="shared" si="65"/>
        <v>MICPOL</v>
      </c>
      <c r="B61" s="12" t="str">
        <f>IF(ISBLANK(A56),"",LEFT(B60,27)&amp;VALUE(RIGHT(B60,1)+1))</f>
        <v>DKR250911MICPOL_20C_sample_6</v>
      </c>
      <c r="C61" s="13" t="str">
        <f t="shared" ref="C61:D61" si="70">C60</f>
        <v>Microdon polygaloides</v>
      </c>
      <c r="D61" s="13" t="str">
        <f t="shared" si="70"/>
        <v>20C</v>
      </c>
      <c r="E61" s="14">
        <f>IF(ISBLANK(A56),"",E60+1)</f>
        <v>6</v>
      </c>
      <c r="F61" s="15">
        <f t="shared" si="67"/>
        <v>45912.47847</v>
      </c>
      <c r="G61" s="16">
        <v>0.373</v>
      </c>
    </row>
    <row r="62">
      <c r="A62" s="5" t="s">
        <v>17</v>
      </c>
      <c r="B62" s="6" t="str">
        <f>IF(ISBLANK(A62),"",VLOOKUP($A62,'Data Feed (20C)'!$A$1:$G$14,2,FALSE))</f>
        <v>DKR250911OEDSQU_20C_sample_1</v>
      </c>
      <c r="C62" s="6" t="str">
        <f>IF(ISBLANK(A62),"",VLOOKUP($A62,'Data Feed (20C)'!$A$1:$G$14,3,FALSE))</f>
        <v>Oedera squarrosa</v>
      </c>
      <c r="D62" s="6" t="str">
        <f>IF(ISBLANK(A62),"",VLOOKUP($A62,'Data Feed (20C)'!$A$1:$G$14,4,FALSE))</f>
        <v>20C</v>
      </c>
      <c r="E62" s="6">
        <f>IF(ISBLANK(A62),"",VLOOKUP($A62,'Data Feed (20C)'!$A$1:$G$14,7,FALSE))</f>
        <v>1</v>
      </c>
      <c r="F62" s="7">
        <v>45912.48055555556</v>
      </c>
      <c r="G62" s="8">
        <v>1.755</v>
      </c>
    </row>
    <row r="63">
      <c r="A63" s="9" t="str">
        <f t="shared" ref="A63:A67" si="72">A62</f>
        <v>OEDSQU</v>
      </c>
      <c r="B63" s="9" t="str">
        <f>IF(ISBLANK(A62),"",LEFT(B62,27)&amp;VALUE(RIGHT(B62,1)+1))</f>
        <v>DKR250911OEDSQU_20C_sample_2</v>
      </c>
      <c r="C63" s="6" t="str">
        <f t="shared" ref="C63:D63" si="71">C62</f>
        <v>Oedera squarrosa</v>
      </c>
      <c r="D63" s="6" t="str">
        <f t="shared" si="71"/>
        <v>20C</v>
      </c>
      <c r="E63" s="10">
        <f>IF(ISBLANK(A62),"",E62+1)</f>
        <v>2</v>
      </c>
      <c r="F63" s="11">
        <f t="shared" ref="F63:F67" si="74">F62</f>
        <v>45912.48056</v>
      </c>
      <c r="G63" s="8">
        <v>1.359</v>
      </c>
    </row>
    <row r="64">
      <c r="A64" s="9" t="str">
        <f t="shared" si="72"/>
        <v>OEDSQU</v>
      </c>
      <c r="B64" s="9" t="str">
        <f>IF(ISBLANK(A62),"",LEFT(B63,27)&amp;VALUE(RIGHT(B63,1)+1))</f>
        <v>DKR250911OEDSQU_20C_sample_3</v>
      </c>
      <c r="C64" s="6" t="str">
        <f t="shared" ref="C64:D64" si="73">C63</f>
        <v>Oedera squarrosa</v>
      </c>
      <c r="D64" s="6" t="str">
        <f t="shared" si="73"/>
        <v>20C</v>
      </c>
      <c r="E64" s="10">
        <f>IF(ISBLANK(A62),"",E63+1)</f>
        <v>3</v>
      </c>
      <c r="F64" s="11">
        <f t="shared" si="74"/>
        <v>45912.48056</v>
      </c>
      <c r="G64" s="8">
        <v>1.797</v>
      </c>
    </row>
    <row r="65">
      <c r="A65" s="9" t="str">
        <f t="shared" si="72"/>
        <v>OEDSQU</v>
      </c>
      <c r="B65" s="9" t="str">
        <f>IF(ISBLANK(A62),"",LEFT(B64,27)&amp;VALUE(RIGHT(B64,1)+1))</f>
        <v>DKR250911OEDSQU_20C_sample_4</v>
      </c>
      <c r="C65" s="6" t="str">
        <f t="shared" ref="C65:D65" si="75">C64</f>
        <v>Oedera squarrosa</v>
      </c>
      <c r="D65" s="6" t="str">
        <f t="shared" si="75"/>
        <v>20C</v>
      </c>
      <c r="E65" s="10">
        <f>IF(ISBLANK(A62),"",E64+1)</f>
        <v>4</v>
      </c>
      <c r="F65" s="11">
        <f t="shared" si="74"/>
        <v>45912.48056</v>
      </c>
      <c r="G65" s="8">
        <v>1.894</v>
      </c>
    </row>
    <row r="66">
      <c r="A66" s="9" t="str">
        <f t="shared" si="72"/>
        <v>OEDSQU</v>
      </c>
      <c r="B66" s="9" t="str">
        <f>IF(ISBLANK(A62),"",LEFT(B65,27)&amp;VALUE(RIGHT(B65,1)+1))</f>
        <v>DKR250911OEDSQU_20C_sample_5</v>
      </c>
      <c r="C66" s="6" t="str">
        <f t="shared" ref="C66:D66" si="76">C65</f>
        <v>Oedera squarrosa</v>
      </c>
      <c r="D66" s="6" t="str">
        <f t="shared" si="76"/>
        <v>20C</v>
      </c>
      <c r="E66" s="10">
        <f>IF(ISBLANK(A62),"",E65+1)</f>
        <v>5</v>
      </c>
      <c r="F66" s="11">
        <f t="shared" si="74"/>
        <v>45912.48056</v>
      </c>
      <c r="G66" s="8">
        <v>0.975</v>
      </c>
    </row>
    <row r="67">
      <c r="A67" s="12" t="str">
        <f t="shared" si="72"/>
        <v>OEDSQU</v>
      </c>
      <c r="B67" s="12" t="str">
        <f>IF(ISBLANK(A62),"",LEFT(B66,27)&amp;VALUE(RIGHT(B66,1)+1))</f>
        <v>DKR250911OEDSQU_20C_sample_6</v>
      </c>
      <c r="C67" s="13" t="str">
        <f t="shared" ref="C67:D67" si="77">C66</f>
        <v>Oedera squarrosa</v>
      </c>
      <c r="D67" s="13" t="str">
        <f t="shared" si="77"/>
        <v>20C</v>
      </c>
      <c r="E67" s="14">
        <f>IF(ISBLANK(A62),"",E66+1)</f>
        <v>6</v>
      </c>
      <c r="F67" s="15">
        <f t="shared" si="74"/>
        <v>45912.48056</v>
      </c>
      <c r="G67" s="16">
        <v>0.395</v>
      </c>
    </row>
    <row r="68">
      <c r="A68" s="5" t="s">
        <v>18</v>
      </c>
      <c r="B68" s="6" t="str">
        <f>IF(ISBLANK(A68),"",VLOOKUP($A68,'Data Feed (20C)'!$A$1:$G$14,2,FALSE))</f>
        <v>DKR250911WAHNOD_20C_sample_1</v>
      </c>
      <c r="C68" s="6" t="str">
        <f>IF(ISBLANK(A68),"",VLOOKUP($A68,'Data Feed (20C)'!$A$1:$G$14,3,FALSE))</f>
        <v>Wahlenbergia nodosa</v>
      </c>
      <c r="D68" s="6" t="str">
        <f>IF(ISBLANK(A68),"",VLOOKUP($A68,'Data Feed (20C)'!$A$1:$G$14,4,FALSE))</f>
        <v>20C</v>
      </c>
      <c r="E68" s="6">
        <f>IF(ISBLANK(A68),"",VLOOKUP($A68,'Data Feed (20C)'!$A$1:$G$14,7,FALSE))</f>
        <v>1</v>
      </c>
      <c r="F68" s="7">
        <v>45912.48263888889</v>
      </c>
      <c r="G68" s="8">
        <v>0.545</v>
      </c>
    </row>
    <row r="69">
      <c r="A69" s="9" t="str">
        <f t="shared" ref="A69:A73" si="79">A68</f>
        <v>WAHNOD</v>
      </c>
      <c r="B69" s="9" t="str">
        <f>IF(ISBLANK(A68),"",LEFT(B68,27)&amp;VALUE(RIGHT(B68,1)+1))</f>
        <v>DKR250911WAHNOD_20C_sample_2</v>
      </c>
      <c r="C69" s="6" t="str">
        <f t="shared" ref="C69:D69" si="78">C68</f>
        <v>Wahlenbergia nodosa</v>
      </c>
      <c r="D69" s="6" t="str">
        <f t="shared" si="78"/>
        <v>20C</v>
      </c>
      <c r="E69" s="10">
        <f>IF(ISBLANK(A68),"",E68+1)</f>
        <v>2</v>
      </c>
      <c r="F69" s="11">
        <f t="shared" ref="F69:F73" si="81">F68</f>
        <v>45912.48264</v>
      </c>
      <c r="G69" s="8">
        <v>0.326</v>
      </c>
    </row>
    <row r="70">
      <c r="A70" s="9" t="str">
        <f t="shared" si="79"/>
        <v>WAHNOD</v>
      </c>
      <c r="B70" s="9" t="str">
        <f>IF(ISBLANK(A68),"",LEFT(B69,27)&amp;VALUE(RIGHT(B69,1)+1))</f>
        <v>DKR250911WAHNOD_20C_sample_3</v>
      </c>
      <c r="C70" s="6" t="str">
        <f t="shared" ref="C70:D70" si="80">C69</f>
        <v>Wahlenbergia nodosa</v>
      </c>
      <c r="D70" s="6" t="str">
        <f t="shared" si="80"/>
        <v>20C</v>
      </c>
      <c r="E70" s="10">
        <f>IF(ISBLANK(A68),"",E69+1)</f>
        <v>3</v>
      </c>
      <c r="F70" s="11">
        <f t="shared" si="81"/>
        <v>45912.48264</v>
      </c>
      <c r="G70" s="8">
        <v>0.258</v>
      </c>
    </row>
    <row r="71">
      <c r="A71" s="9" t="str">
        <f t="shared" si="79"/>
        <v>WAHNOD</v>
      </c>
      <c r="B71" s="9" t="str">
        <f>IF(ISBLANK(A68),"",LEFT(B70,27)&amp;VALUE(RIGHT(B70,1)+1))</f>
        <v>DKR250911WAHNOD_20C_sample_4</v>
      </c>
      <c r="C71" s="6" t="str">
        <f t="shared" ref="C71:D71" si="82">C70</f>
        <v>Wahlenbergia nodosa</v>
      </c>
      <c r="D71" s="6" t="str">
        <f t="shared" si="82"/>
        <v>20C</v>
      </c>
      <c r="E71" s="10">
        <f>IF(ISBLANK(A68),"",E70+1)</f>
        <v>4</v>
      </c>
      <c r="F71" s="11">
        <f t="shared" si="81"/>
        <v>45912.48264</v>
      </c>
      <c r="G71" s="8">
        <v>1.034</v>
      </c>
    </row>
    <row r="72">
      <c r="A72" s="9" t="str">
        <f t="shared" si="79"/>
        <v>WAHNOD</v>
      </c>
      <c r="B72" s="9" t="str">
        <f>IF(ISBLANK(A68),"",LEFT(B71,27)&amp;VALUE(RIGHT(B71,1)+1))</f>
        <v>DKR250911WAHNOD_20C_sample_5</v>
      </c>
      <c r="C72" s="6" t="str">
        <f t="shared" ref="C72:D72" si="83">C71</f>
        <v>Wahlenbergia nodosa</v>
      </c>
      <c r="D72" s="6" t="str">
        <f t="shared" si="83"/>
        <v>20C</v>
      </c>
      <c r="E72" s="10">
        <f>IF(ISBLANK(A68),"",E71+1)</f>
        <v>5</v>
      </c>
      <c r="F72" s="11">
        <f t="shared" si="81"/>
        <v>45912.48264</v>
      </c>
      <c r="G72" s="8">
        <v>0.579</v>
      </c>
    </row>
    <row r="73">
      <c r="A73" s="12" t="str">
        <f t="shared" si="79"/>
        <v>WAHNOD</v>
      </c>
      <c r="B73" s="12" t="str">
        <f>IF(ISBLANK(A68),"",LEFT(B72,27)&amp;VALUE(RIGHT(B72,1)+1))</f>
        <v>DKR250911WAHNOD_20C_sample_6</v>
      </c>
      <c r="C73" s="13" t="str">
        <f t="shared" ref="C73:D73" si="84">C72</f>
        <v>Wahlenbergia nodosa</v>
      </c>
      <c r="D73" s="13" t="str">
        <f t="shared" si="84"/>
        <v>20C</v>
      </c>
      <c r="E73" s="14">
        <f>IF(ISBLANK(A68),"",E72+1)</f>
        <v>6</v>
      </c>
      <c r="F73" s="15">
        <f t="shared" si="81"/>
        <v>45912.48264</v>
      </c>
      <c r="G73" s="16">
        <v>0.612</v>
      </c>
    </row>
    <row r="74">
      <c r="A74" s="5" t="s">
        <v>19</v>
      </c>
      <c r="B74" s="6" t="str">
        <f>IF(ISBLANK(A74),"",VLOOKUP($A74,'Data Feed (20C)'!$A$1:$G$14,2,FALSE))</f>
        <v>DKR250911CLURUB_20C_sample_1</v>
      </c>
      <c r="C74" s="6" t="str">
        <f>IF(ISBLANK(A74),"",VLOOKUP($A74,'Data Feed (20C)'!$A$1:$G$14,3,FALSE))</f>
        <v>Clutia rubricaulis</v>
      </c>
      <c r="D74" s="6" t="str">
        <f>IF(ISBLANK(A74),"",VLOOKUP($A74,'Data Feed (20C)'!$A$1:$G$14,4,FALSE))</f>
        <v>20C</v>
      </c>
      <c r="E74" s="6">
        <f>IF(ISBLANK(A74),"",VLOOKUP($A74,'Data Feed (20C)'!$A$1:$G$14,7,FALSE))</f>
        <v>1</v>
      </c>
      <c r="F74" s="7">
        <v>45912.486805555556</v>
      </c>
      <c r="G74" s="8">
        <v>0.68</v>
      </c>
    </row>
    <row r="75">
      <c r="A75" s="9" t="str">
        <f t="shared" ref="A75:A79" si="86">A74</f>
        <v>CLURUB</v>
      </c>
      <c r="B75" s="9" t="str">
        <f>IF(ISBLANK(A74),"",LEFT(B74,27)&amp;VALUE(RIGHT(B74,1)+1))</f>
        <v>DKR250911CLURUB_20C_sample_2</v>
      </c>
      <c r="C75" s="6" t="str">
        <f t="shared" ref="C75:D75" si="85">C74</f>
        <v>Clutia rubricaulis</v>
      </c>
      <c r="D75" s="6" t="str">
        <f t="shared" si="85"/>
        <v>20C</v>
      </c>
      <c r="E75" s="10">
        <f>IF(ISBLANK(A74),"",E74+1)</f>
        <v>2</v>
      </c>
      <c r="F75" s="11">
        <f t="shared" ref="F75:F79" si="88">F74</f>
        <v>45912.48681</v>
      </c>
      <c r="G75" s="8">
        <v>0.5</v>
      </c>
    </row>
    <row r="76">
      <c r="A76" s="9" t="str">
        <f t="shared" si="86"/>
        <v>CLURUB</v>
      </c>
      <c r="B76" s="9" t="str">
        <f>IF(ISBLANK(A74),"",LEFT(B75,27)&amp;VALUE(RIGHT(B75,1)+1))</f>
        <v>DKR250911CLURUB_20C_sample_3</v>
      </c>
      <c r="C76" s="6" t="str">
        <f t="shared" ref="C76:D76" si="87">C75</f>
        <v>Clutia rubricaulis</v>
      </c>
      <c r="D76" s="6" t="str">
        <f t="shared" si="87"/>
        <v>20C</v>
      </c>
      <c r="E76" s="10">
        <f>IF(ISBLANK(A74),"",E75+1)</f>
        <v>3</v>
      </c>
      <c r="F76" s="11">
        <f t="shared" si="88"/>
        <v>45912.48681</v>
      </c>
      <c r="G76" s="8">
        <v>0.64</v>
      </c>
    </row>
    <row r="77">
      <c r="A77" s="9" t="str">
        <f t="shared" si="86"/>
        <v>CLURUB</v>
      </c>
      <c r="B77" s="9" t="str">
        <f>IF(ISBLANK(A74),"",LEFT(B76,27)&amp;VALUE(RIGHT(B76,1)+1))</f>
        <v>DKR250911CLURUB_20C_sample_4</v>
      </c>
      <c r="C77" s="6" t="str">
        <f t="shared" ref="C77:D77" si="89">C76</f>
        <v>Clutia rubricaulis</v>
      </c>
      <c r="D77" s="6" t="str">
        <f t="shared" si="89"/>
        <v>20C</v>
      </c>
      <c r="E77" s="10">
        <f>IF(ISBLANK(A74),"",E76+1)</f>
        <v>4</v>
      </c>
      <c r="F77" s="11">
        <f t="shared" si="88"/>
        <v>45912.48681</v>
      </c>
      <c r="G77" s="8">
        <v>0.27</v>
      </c>
    </row>
    <row r="78">
      <c r="A78" s="9" t="str">
        <f t="shared" si="86"/>
        <v>CLURUB</v>
      </c>
      <c r="B78" s="9" t="str">
        <f>IF(ISBLANK(A74),"",LEFT(B77,27)&amp;VALUE(RIGHT(B77,1)+1))</f>
        <v>DKR250911CLURUB_20C_sample_5</v>
      </c>
      <c r="C78" s="6" t="str">
        <f t="shared" ref="C78:D78" si="90">C77</f>
        <v>Clutia rubricaulis</v>
      </c>
      <c r="D78" s="6" t="str">
        <f t="shared" si="90"/>
        <v>20C</v>
      </c>
      <c r="E78" s="10">
        <f>IF(ISBLANK(A74),"",E77+1)</f>
        <v>5</v>
      </c>
      <c r="F78" s="11">
        <f t="shared" si="88"/>
        <v>45912.48681</v>
      </c>
      <c r="G78" s="8">
        <v>0.645</v>
      </c>
    </row>
    <row r="79">
      <c r="A79" s="12" t="str">
        <f t="shared" si="86"/>
        <v>CLURUB</v>
      </c>
      <c r="B79" s="12" t="str">
        <f>IF(ISBLANK(A74),"",LEFT(B78,27)&amp;VALUE(RIGHT(B78,1)+1))</f>
        <v>DKR250911CLURUB_20C_sample_6</v>
      </c>
      <c r="C79" s="13" t="str">
        <f t="shared" ref="C79:D79" si="91">C78</f>
        <v>Clutia rubricaulis</v>
      </c>
      <c r="D79" s="13" t="str">
        <f t="shared" si="91"/>
        <v>20C</v>
      </c>
      <c r="E79" s="14">
        <f>IF(ISBLANK(A74),"",E78+1)</f>
        <v>6</v>
      </c>
      <c r="F79" s="15">
        <f t="shared" si="88"/>
        <v>45912.48681</v>
      </c>
      <c r="G79" s="16">
        <v>0.596</v>
      </c>
    </row>
    <row r="80">
      <c r="A80" s="5" t="s">
        <v>12</v>
      </c>
      <c r="B80" s="6" t="str">
        <f>IF(ISBLANK(A80),"",VLOOKUP($A80,'Data Feed (20C)'!$A$1:$G$14,2,FALSE))</f>
        <v>DKF250911AGACAP_20C_sample_1</v>
      </c>
      <c r="C80" s="6" t="str">
        <f>IF(ISBLANK(A80),"",VLOOKUP($A80,'Data Feed (20C)'!$A$1:$G$14,3,FALSE))</f>
        <v>Agathosma capensis</v>
      </c>
      <c r="D80" s="6" t="str">
        <f>IF(ISBLANK(A80),"",VLOOKUP($A80,'Data Feed (20C)'!$A$1:$G$14,4,FALSE))</f>
        <v>20C</v>
      </c>
      <c r="E80" s="6">
        <f>IF(ISBLANK(A80),"",VLOOKUP($A80,'Data Feed (20C)'!$A$1:$G$14,7,FALSE))</f>
        <v>1</v>
      </c>
      <c r="F80" s="7">
        <v>45912.48888888889</v>
      </c>
      <c r="G80" s="8">
        <v>5.65</v>
      </c>
    </row>
    <row r="81">
      <c r="A81" s="9" t="str">
        <f t="shared" ref="A81:A85" si="93">A80</f>
        <v>AGACAP</v>
      </c>
      <c r="B81" s="9" t="str">
        <f>IF(ISBLANK(A80),"",LEFT(B80,27)&amp;VALUE(RIGHT(B80,1)+1))</f>
        <v>DKF250911AGACAP_20C_sample_2</v>
      </c>
      <c r="C81" s="6" t="str">
        <f t="shared" ref="C81:D81" si="92">C80</f>
        <v>Agathosma capensis</v>
      </c>
      <c r="D81" s="6" t="str">
        <f t="shared" si="92"/>
        <v>20C</v>
      </c>
      <c r="E81" s="10">
        <f>IF(ISBLANK(A80),"",E80+1)</f>
        <v>2</v>
      </c>
      <c r="F81" s="11">
        <f t="shared" ref="F81:F85" si="95">F80</f>
        <v>45912.48889</v>
      </c>
      <c r="G81" s="8">
        <v>2.024</v>
      </c>
    </row>
    <row r="82">
      <c r="A82" s="9" t="str">
        <f t="shared" si="93"/>
        <v>AGACAP</v>
      </c>
      <c r="B82" s="9" t="str">
        <f>IF(ISBLANK(A80),"",LEFT(B81,27)&amp;VALUE(RIGHT(B81,1)+1))</f>
        <v>DKF250911AGACAP_20C_sample_3</v>
      </c>
      <c r="C82" s="6" t="str">
        <f t="shared" ref="C82:D82" si="94">C81</f>
        <v>Agathosma capensis</v>
      </c>
      <c r="D82" s="6" t="str">
        <f t="shared" si="94"/>
        <v>20C</v>
      </c>
      <c r="E82" s="10">
        <f>IF(ISBLANK(A80),"",E81+1)</f>
        <v>3</v>
      </c>
      <c r="F82" s="11">
        <f t="shared" si="95"/>
        <v>45912.48889</v>
      </c>
      <c r="G82" s="8">
        <v>2.857</v>
      </c>
    </row>
    <row r="83">
      <c r="A83" s="9" t="str">
        <f t="shared" si="93"/>
        <v>AGACAP</v>
      </c>
      <c r="B83" s="9" t="str">
        <f>IF(ISBLANK(A80),"",LEFT(B82,27)&amp;VALUE(RIGHT(B82,1)+1))</f>
        <v>DKF250911AGACAP_20C_sample_4</v>
      </c>
      <c r="C83" s="6" t="str">
        <f t="shared" ref="C83:D83" si="96">C82</f>
        <v>Agathosma capensis</v>
      </c>
      <c r="D83" s="6" t="str">
        <f t="shared" si="96"/>
        <v>20C</v>
      </c>
      <c r="E83" s="10">
        <f>IF(ISBLANK(A80),"",E82+1)</f>
        <v>4</v>
      </c>
      <c r="F83" s="11">
        <f t="shared" si="95"/>
        <v>45912.48889</v>
      </c>
      <c r="G83" s="8">
        <v>1.901</v>
      </c>
    </row>
    <row r="84">
      <c r="A84" s="9" t="str">
        <f t="shared" si="93"/>
        <v>AGACAP</v>
      </c>
      <c r="B84" s="9" t="str">
        <f>IF(ISBLANK(A80),"",LEFT(B83,27)&amp;VALUE(RIGHT(B83,1)+1))</f>
        <v>DKF250911AGACAP_20C_sample_5</v>
      </c>
      <c r="C84" s="6" t="str">
        <f t="shared" ref="C84:D84" si="97">C83</f>
        <v>Agathosma capensis</v>
      </c>
      <c r="D84" s="6" t="str">
        <f t="shared" si="97"/>
        <v>20C</v>
      </c>
      <c r="E84" s="10">
        <f>IF(ISBLANK(A80),"",E83+1)</f>
        <v>5</v>
      </c>
      <c r="F84" s="11">
        <f t="shared" si="95"/>
        <v>45912.48889</v>
      </c>
      <c r="G84" s="8">
        <v>0.791</v>
      </c>
    </row>
    <row r="85">
      <c r="A85" s="12" t="str">
        <f t="shared" si="93"/>
        <v>AGACAP</v>
      </c>
      <c r="B85" s="12" t="str">
        <f>IF(ISBLANK(A80),"",LEFT(B84,27)&amp;VALUE(RIGHT(B84,1)+1))</f>
        <v>DKF250911AGACAP_20C_sample_6</v>
      </c>
      <c r="C85" s="13" t="str">
        <f t="shared" ref="C85:D85" si="98">C84</f>
        <v>Agathosma capensis</v>
      </c>
      <c r="D85" s="13" t="str">
        <f t="shared" si="98"/>
        <v>20C</v>
      </c>
      <c r="E85" s="14">
        <f>IF(ISBLANK(A80),"",E84+1)</f>
        <v>6</v>
      </c>
      <c r="F85" s="15">
        <f t="shared" si="95"/>
        <v>45912.48889</v>
      </c>
      <c r="G85" s="16">
        <v>2.097</v>
      </c>
    </row>
    <row r="86">
      <c r="A86" s="5" t="s">
        <v>7</v>
      </c>
      <c r="B86" s="6" t="str">
        <f>IF(ISBLANK(A86),"",VLOOKUP($A86,'Data Feed (20C)'!$A$1:$G$14,2,FALSE))</f>
        <v>DKR250911PASOBT_20C_sample_1</v>
      </c>
      <c r="C86" s="6" t="str">
        <f>IF(ISBLANK(A86),"",VLOOKUP($A86,'Data Feed (20C)'!$A$1:$G$14,3,FALSE))</f>
        <v>Passerina obtusifolia</v>
      </c>
      <c r="D86" s="6" t="str">
        <f>IF(ISBLANK(A86),"",VLOOKUP($A86,'Data Feed (20C)'!$A$1:$G$14,4,FALSE))</f>
        <v>20C</v>
      </c>
      <c r="E86" s="6">
        <f>IF(ISBLANK(A86),"",VLOOKUP($A86,'Data Feed (20C)'!$A$1:$G$14,7,FALSE))</f>
        <v>1</v>
      </c>
      <c r="F86" s="7">
        <v>45912.49097222222</v>
      </c>
      <c r="G86" s="8">
        <v>3.32</v>
      </c>
    </row>
    <row r="87">
      <c r="A87" s="9" t="str">
        <f t="shared" ref="A87:A91" si="100">A86</f>
        <v>PASOBT</v>
      </c>
      <c r="B87" s="9" t="str">
        <f>IF(ISBLANK(A86),"",LEFT(B86,27)&amp;VALUE(RIGHT(B86,1)+1))</f>
        <v>DKR250911PASOBT_20C_sample_2</v>
      </c>
      <c r="C87" s="6" t="str">
        <f t="shared" ref="C87:D87" si="99">C86</f>
        <v>Passerina obtusifolia</v>
      </c>
      <c r="D87" s="6" t="str">
        <f t="shared" si="99"/>
        <v>20C</v>
      </c>
      <c r="E87" s="10">
        <f>IF(ISBLANK(A86),"",E86+1)</f>
        <v>2</v>
      </c>
      <c r="F87" s="11">
        <f t="shared" ref="F87:F91" si="102">F86</f>
        <v>45912.49097</v>
      </c>
      <c r="G87" s="8">
        <v>4.605</v>
      </c>
    </row>
    <row r="88">
      <c r="A88" s="9" t="str">
        <f t="shared" si="100"/>
        <v>PASOBT</v>
      </c>
      <c r="B88" s="9" t="str">
        <f>IF(ISBLANK(A86),"",LEFT(B87,27)&amp;VALUE(RIGHT(B87,1)+1))</f>
        <v>DKR250911PASOBT_20C_sample_3</v>
      </c>
      <c r="C88" s="6" t="str">
        <f t="shared" ref="C88:D88" si="101">C87</f>
        <v>Passerina obtusifolia</v>
      </c>
      <c r="D88" s="6" t="str">
        <f t="shared" si="101"/>
        <v>20C</v>
      </c>
      <c r="E88" s="10">
        <f>IF(ISBLANK(A86),"",E87+1)</f>
        <v>3</v>
      </c>
      <c r="F88" s="11">
        <f t="shared" si="102"/>
        <v>45912.49097</v>
      </c>
      <c r="G88" s="8">
        <v>1.602</v>
      </c>
    </row>
    <row r="89">
      <c r="A89" s="9" t="str">
        <f t="shared" si="100"/>
        <v>PASOBT</v>
      </c>
      <c r="B89" s="9" t="str">
        <f>IF(ISBLANK(A86),"",LEFT(B88,27)&amp;VALUE(RIGHT(B88,1)+1))</f>
        <v>DKR250911PASOBT_20C_sample_4</v>
      </c>
      <c r="C89" s="6" t="str">
        <f t="shared" ref="C89:D89" si="103">C88</f>
        <v>Passerina obtusifolia</v>
      </c>
      <c r="D89" s="6" t="str">
        <f t="shared" si="103"/>
        <v>20C</v>
      </c>
      <c r="E89" s="10">
        <f>IF(ISBLANK(A86),"",E88+1)</f>
        <v>4</v>
      </c>
      <c r="F89" s="11">
        <f t="shared" si="102"/>
        <v>45912.49097</v>
      </c>
      <c r="G89" s="8">
        <v>2.358</v>
      </c>
    </row>
    <row r="90">
      <c r="A90" s="9" t="str">
        <f t="shared" si="100"/>
        <v>PASOBT</v>
      </c>
      <c r="B90" s="9" t="str">
        <f>IF(ISBLANK(A86),"",LEFT(B89,27)&amp;VALUE(RIGHT(B89,1)+1))</f>
        <v>DKR250911PASOBT_20C_sample_5</v>
      </c>
      <c r="C90" s="6" t="str">
        <f t="shared" ref="C90:D90" si="104">C89</f>
        <v>Passerina obtusifolia</v>
      </c>
      <c r="D90" s="6" t="str">
        <f t="shared" si="104"/>
        <v>20C</v>
      </c>
      <c r="E90" s="10">
        <f>IF(ISBLANK(A86),"",E89+1)</f>
        <v>5</v>
      </c>
      <c r="F90" s="11">
        <f t="shared" si="102"/>
        <v>45912.49097</v>
      </c>
      <c r="G90" s="8">
        <v>1.872</v>
      </c>
    </row>
    <row r="91">
      <c r="A91" s="12" t="str">
        <f t="shared" si="100"/>
        <v>PASOBT</v>
      </c>
      <c r="B91" s="12" t="str">
        <f>IF(ISBLANK(A86),"",LEFT(B90,27)&amp;VALUE(RIGHT(B90,1)+1))</f>
        <v>DKR250911PASOBT_20C_sample_6</v>
      </c>
      <c r="C91" s="13" t="str">
        <f t="shared" ref="C91:D91" si="105">C90</f>
        <v>Passerina obtusifolia</v>
      </c>
      <c r="D91" s="13" t="str">
        <f t="shared" si="105"/>
        <v>20C</v>
      </c>
      <c r="E91" s="14">
        <f>IF(ISBLANK(A86),"",E90+1)</f>
        <v>6</v>
      </c>
      <c r="F91" s="15">
        <f t="shared" si="102"/>
        <v>45912.49097</v>
      </c>
      <c r="G91" s="16">
        <v>3.261</v>
      </c>
    </row>
    <row r="92">
      <c r="A92" s="5" t="s">
        <v>14</v>
      </c>
      <c r="B92" s="6" t="str">
        <f>IF(ISBLANK(A92),"",VLOOKUP($A92,'Data Feed (20C)'!$A$1:$G$14,2,FALSE))</f>
        <v>DKF250911ASPSHA_20C_sample_1</v>
      </c>
      <c r="C92" s="6" t="str">
        <f>IF(ISBLANK(A92),"",VLOOKUP($A92,'Data Feed (20C)'!$A$1:$G$14,3,FALSE))</f>
        <v>Aspalathus shawii</v>
      </c>
      <c r="D92" s="6" t="str">
        <f>IF(ISBLANK(A92),"",VLOOKUP($A92,'Data Feed (20C)'!$A$1:$G$14,4,FALSE))</f>
        <v>20C</v>
      </c>
      <c r="E92" s="6">
        <f>IF(ISBLANK(A92),"",VLOOKUP($A92,'Data Feed (20C)'!$A$1:$G$14,7,FALSE))</f>
        <v>1</v>
      </c>
      <c r="F92" s="7">
        <v>45912.49166666667</v>
      </c>
      <c r="G92" s="8">
        <v>16.522</v>
      </c>
    </row>
    <row r="93">
      <c r="A93" s="9" t="str">
        <f t="shared" ref="A93:A97" si="107">A92</f>
        <v>ASPSHA</v>
      </c>
      <c r="B93" s="9" t="str">
        <f>IF(ISBLANK(A92),"",LEFT(B92,27)&amp;VALUE(RIGHT(B92,1)+1))</f>
        <v>DKF250911ASPSHA_20C_sample_2</v>
      </c>
      <c r="C93" s="6" t="str">
        <f t="shared" ref="C93:D93" si="106">C92</f>
        <v>Aspalathus shawii</v>
      </c>
      <c r="D93" s="6" t="str">
        <f t="shared" si="106"/>
        <v>20C</v>
      </c>
      <c r="E93" s="10">
        <f>IF(ISBLANK(A92),"",E92+1)</f>
        <v>2</v>
      </c>
      <c r="F93" s="11">
        <f t="shared" ref="F93:F97" si="109">F92</f>
        <v>45912.49167</v>
      </c>
      <c r="G93" s="8">
        <v>11.135</v>
      </c>
    </row>
    <row r="94">
      <c r="A94" s="9" t="str">
        <f t="shared" si="107"/>
        <v>ASPSHA</v>
      </c>
      <c r="B94" s="9" t="str">
        <f>IF(ISBLANK(A92),"",LEFT(B93,27)&amp;VALUE(RIGHT(B93,1)+1))</f>
        <v>DKF250911ASPSHA_20C_sample_3</v>
      </c>
      <c r="C94" s="6" t="str">
        <f t="shared" ref="C94:D94" si="108">C93</f>
        <v>Aspalathus shawii</v>
      </c>
      <c r="D94" s="6" t="str">
        <f t="shared" si="108"/>
        <v>20C</v>
      </c>
      <c r="E94" s="10">
        <f>IF(ISBLANK(A92),"",E93+1)</f>
        <v>3</v>
      </c>
      <c r="F94" s="11">
        <f t="shared" si="109"/>
        <v>45912.49167</v>
      </c>
      <c r="G94" s="8">
        <v>6.225</v>
      </c>
    </row>
    <row r="95">
      <c r="A95" s="9" t="str">
        <f t="shared" si="107"/>
        <v>ASPSHA</v>
      </c>
      <c r="B95" s="9" t="str">
        <f>IF(ISBLANK(A92),"",LEFT(B94,27)&amp;VALUE(RIGHT(B94,1)+1))</f>
        <v>DKF250911ASPSHA_20C_sample_4</v>
      </c>
      <c r="C95" s="6" t="str">
        <f t="shared" ref="C95:D95" si="110">C94</f>
        <v>Aspalathus shawii</v>
      </c>
      <c r="D95" s="6" t="str">
        <f t="shared" si="110"/>
        <v>20C</v>
      </c>
      <c r="E95" s="10">
        <f>IF(ISBLANK(A92),"",E94+1)</f>
        <v>4</v>
      </c>
      <c r="F95" s="11">
        <f t="shared" si="109"/>
        <v>45912.49167</v>
      </c>
      <c r="G95" s="8">
        <v>15.219</v>
      </c>
    </row>
    <row r="96">
      <c r="A96" s="9" t="str">
        <f t="shared" si="107"/>
        <v>ASPSHA</v>
      </c>
      <c r="B96" s="9" t="str">
        <f>IF(ISBLANK(A92),"",LEFT(B95,27)&amp;VALUE(RIGHT(B95,1)+1))</f>
        <v>DKF250911ASPSHA_20C_sample_5</v>
      </c>
      <c r="C96" s="6" t="str">
        <f t="shared" ref="C96:D96" si="111">C95</f>
        <v>Aspalathus shawii</v>
      </c>
      <c r="D96" s="6" t="str">
        <f t="shared" si="111"/>
        <v>20C</v>
      </c>
      <c r="E96" s="10">
        <f>IF(ISBLANK(A92),"",E95+1)</f>
        <v>5</v>
      </c>
      <c r="F96" s="11">
        <f t="shared" si="109"/>
        <v>45912.49167</v>
      </c>
      <c r="G96" s="8">
        <v>4.789</v>
      </c>
    </row>
    <row r="97">
      <c r="A97" s="12" t="str">
        <f t="shared" si="107"/>
        <v>ASPSHA</v>
      </c>
      <c r="B97" s="12" t="str">
        <f>IF(ISBLANK(A92),"",LEFT(B96,27)&amp;VALUE(RIGHT(B96,1)+1))</f>
        <v>DKF250911ASPSHA_20C_sample_6</v>
      </c>
      <c r="C97" s="13" t="str">
        <f t="shared" ref="C97:D97" si="112">C96</f>
        <v>Aspalathus shawii</v>
      </c>
      <c r="D97" s="13" t="str">
        <f t="shared" si="112"/>
        <v>20C</v>
      </c>
      <c r="E97" s="14">
        <f>IF(ISBLANK(A92),"",E96+1)</f>
        <v>6</v>
      </c>
      <c r="F97" s="15">
        <f t="shared" si="109"/>
        <v>45912.49167</v>
      </c>
      <c r="G97" s="16">
        <v>12.883</v>
      </c>
    </row>
    <row r="98">
      <c r="A98" s="5" t="s">
        <v>15</v>
      </c>
      <c r="B98" s="6" t="str">
        <f>IF(ISBLANK(A98),"",VLOOKUP($A98,'Data Feed (20C)'!$A$1:$G$14,2,FALSE))</f>
        <v>DKR250911ELYRHI_20C_sample_1</v>
      </c>
      <c r="C98" s="6" t="str">
        <f>IF(ISBLANK(A98),"",VLOOKUP($A98,'Data Feed (20C)'!$A$1:$G$14,3,FALSE))</f>
        <v>Elytropappus rhinocerotis</v>
      </c>
      <c r="D98" s="6" t="str">
        <f>IF(ISBLANK(A98),"",VLOOKUP($A98,'Data Feed (20C)'!$A$1:$G$14,4,FALSE))</f>
        <v>20C</v>
      </c>
      <c r="E98" s="6">
        <f>IF(ISBLANK(A98),"",VLOOKUP($A98,'Data Feed (20C)'!$A$1:$G$14,7,FALSE))</f>
        <v>1</v>
      </c>
      <c r="F98" s="7">
        <v>45912.49375</v>
      </c>
      <c r="G98" s="8">
        <v>4.235</v>
      </c>
    </row>
    <row r="99">
      <c r="A99" s="9" t="str">
        <f t="shared" ref="A99:A103" si="114">A98</f>
        <v>ELYRHI</v>
      </c>
      <c r="B99" s="9" t="str">
        <f>IF(ISBLANK(A98),"",LEFT(B98,27)&amp;VALUE(RIGHT(B98,1)+1))</f>
        <v>DKR250911ELYRHI_20C_sample_2</v>
      </c>
      <c r="C99" s="6" t="str">
        <f t="shared" ref="C99:D99" si="113">C98</f>
        <v>Elytropappus rhinocerotis</v>
      </c>
      <c r="D99" s="6" t="str">
        <f t="shared" si="113"/>
        <v>20C</v>
      </c>
      <c r="E99" s="10">
        <f>IF(ISBLANK(A98),"",E98+1)</f>
        <v>2</v>
      </c>
      <c r="F99" s="11">
        <f t="shared" ref="F99:F103" si="116">F98</f>
        <v>45912.49375</v>
      </c>
      <c r="G99" s="8">
        <v>4.655</v>
      </c>
    </row>
    <row r="100">
      <c r="A100" s="9" t="str">
        <f t="shared" si="114"/>
        <v>ELYRHI</v>
      </c>
      <c r="B100" s="9" t="str">
        <f>IF(ISBLANK(A98),"",LEFT(B99,27)&amp;VALUE(RIGHT(B99,1)+1))</f>
        <v>DKR250911ELYRHI_20C_sample_3</v>
      </c>
      <c r="C100" s="6" t="str">
        <f t="shared" ref="C100:D100" si="115">C99</f>
        <v>Elytropappus rhinocerotis</v>
      </c>
      <c r="D100" s="6" t="str">
        <f t="shared" si="115"/>
        <v>20C</v>
      </c>
      <c r="E100" s="10">
        <f>IF(ISBLANK(A98),"",E99+1)</f>
        <v>3</v>
      </c>
      <c r="F100" s="11">
        <f t="shared" si="116"/>
        <v>45912.49375</v>
      </c>
      <c r="G100" s="8">
        <v>7.445</v>
      </c>
    </row>
    <row r="101">
      <c r="A101" s="9" t="str">
        <f t="shared" si="114"/>
        <v>ELYRHI</v>
      </c>
      <c r="B101" s="9" t="str">
        <f>IF(ISBLANK(A98),"",LEFT(B100,27)&amp;VALUE(RIGHT(B100,1)+1))</f>
        <v>DKR250911ELYRHI_20C_sample_4</v>
      </c>
      <c r="C101" s="6" t="str">
        <f t="shared" ref="C101:D101" si="117">C100</f>
        <v>Elytropappus rhinocerotis</v>
      </c>
      <c r="D101" s="6" t="str">
        <f t="shared" si="117"/>
        <v>20C</v>
      </c>
      <c r="E101" s="10">
        <f>IF(ISBLANK(A98),"",E100+1)</f>
        <v>4</v>
      </c>
      <c r="F101" s="11">
        <f t="shared" si="116"/>
        <v>45912.49375</v>
      </c>
      <c r="G101" s="8">
        <v>4.575</v>
      </c>
    </row>
    <row r="102">
      <c r="A102" s="9" t="str">
        <f t="shared" si="114"/>
        <v>ELYRHI</v>
      </c>
      <c r="B102" s="9" t="str">
        <f>IF(ISBLANK(A98),"",LEFT(B101,27)&amp;VALUE(RIGHT(B101,1)+1))</f>
        <v>DKR250911ELYRHI_20C_sample_5</v>
      </c>
      <c r="C102" s="6" t="str">
        <f t="shared" ref="C102:D102" si="118">C101</f>
        <v>Elytropappus rhinocerotis</v>
      </c>
      <c r="D102" s="6" t="str">
        <f t="shared" si="118"/>
        <v>20C</v>
      </c>
      <c r="E102" s="10">
        <f>IF(ISBLANK(A98),"",E101+1)</f>
        <v>5</v>
      </c>
      <c r="F102" s="11">
        <f t="shared" si="116"/>
        <v>45912.49375</v>
      </c>
      <c r="G102" s="8">
        <v>2.963</v>
      </c>
    </row>
    <row r="103">
      <c r="A103" s="12" t="str">
        <f t="shared" si="114"/>
        <v>ELYRHI</v>
      </c>
      <c r="B103" s="12" t="str">
        <f>IF(ISBLANK(A98),"",LEFT(B102,27)&amp;VALUE(RIGHT(B102,1)+1))</f>
        <v>DKR250911ELYRHI_20C_sample_6</v>
      </c>
      <c r="C103" s="13" t="str">
        <f t="shared" ref="C103:D103" si="119">C102</f>
        <v>Elytropappus rhinocerotis</v>
      </c>
      <c r="D103" s="13" t="str">
        <f t="shared" si="119"/>
        <v>20C</v>
      </c>
      <c r="E103" s="14">
        <f>IF(ISBLANK(A98),"",E102+1)</f>
        <v>6</v>
      </c>
      <c r="F103" s="15">
        <f t="shared" si="116"/>
        <v>45912.49375</v>
      </c>
      <c r="G103" s="16">
        <v>2.472</v>
      </c>
    </row>
    <row r="104">
      <c r="A104" s="5" t="s">
        <v>10</v>
      </c>
      <c r="B104" s="6" t="str">
        <f>IF(ISBLANK(A104),"",VLOOKUP($A104,'Data Feed (20C)'!$A$1:$G$14,2,FALSE))</f>
        <v>DKF250911LOBDEC_20C_sample_1</v>
      </c>
      <c r="C104" s="6" t="str">
        <f>IF(ISBLANK(A104),"",VLOOKUP($A104,'Data Feed (20C)'!$A$1:$G$14,3,FALSE))</f>
        <v>Lobostemon decorus</v>
      </c>
      <c r="D104" s="6" t="str">
        <f>IF(ISBLANK(A104),"",VLOOKUP($A104,'Data Feed (20C)'!$A$1:$G$14,4,FALSE))</f>
        <v>20C</v>
      </c>
      <c r="E104" s="6">
        <f>IF(ISBLANK(A104),"",VLOOKUP($A104,'Data Feed (20C)'!$A$1:$G$14,7,FALSE))</f>
        <v>1</v>
      </c>
      <c r="F104" s="7">
        <v>45912.49722222222</v>
      </c>
      <c r="G104" s="8">
        <v>12.262</v>
      </c>
    </row>
    <row r="105">
      <c r="A105" s="9" t="str">
        <f t="shared" ref="A105:A109" si="121">A104</f>
        <v>LOBDEC</v>
      </c>
      <c r="B105" s="9" t="str">
        <f>IF(ISBLANK(A104),"",LEFT(B104,27)&amp;VALUE(RIGHT(B104,1)+1))</f>
        <v>DKF250911LOBDEC_20C_sample_2</v>
      </c>
      <c r="C105" s="6" t="str">
        <f t="shared" ref="C105:D105" si="120">C104</f>
        <v>Lobostemon decorus</v>
      </c>
      <c r="D105" s="6" t="str">
        <f t="shared" si="120"/>
        <v>20C</v>
      </c>
      <c r="E105" s="10">
        <f>IF(ISBLANK(A104),"",E104+1)</f>
        <v>2</v>
      </c>
      <c r="F105" s="11">
        <f t="shared" ref="F105:F109" si="123">F104</f>
        <v>45912.49722</v>
      </c>
      <c r="G105" s="8">
        <v>9.51</v>
      </c>
    </row>
    <row r="106">
      <c r="A106" s="9" t="str">
        <f t="shared" si="121"/>
        <v>LOBDEC</v>
      </c>
      <c r="B106" s="9" t="str">
        <f>IF(ISBLANK(A104),"",LEFT(B105,27)&amp;VALUE(RIGHT(B105,1)+1))</f>
        <v>DKF250911LOBDEC_20C_sample_3</v>
      </c>
      <c r="C106" s="6" t="str">
        <f t="shared" ref="C106:D106" si="122">C105</f>
        <v>Lobostemon decorus</v>
      </c>
      <c r="D106" s="6" t="str">
        <f t="shared" si="122"/>
        <v>20C</v>
      </c>
      <c r="E106" s="10">
        <f>IF(ISBLANK(A104),"",E105+1)</f>
        <v>3</v>
      </c>
      <c r="F106" s="11">
        <f t="shared" si="123"/>
        <v>45912.49722</v>
      </c>
      <c r="G106" s="8">
        <v>12.406</v>
      </c>
    </row>
    <row r="107">
      <c r="A107" s="9" t="str">
        <f t="shared" si="121"/>
        <v>LOBDEC</v>
      </c>
      <c r="B107" s="9" t="str">
        <f>IF(ISBLANK(A104),"",LEFT(B106,27)&amp;VALUE(RIGHT(B106,1)+1))</f>
        <v>DKF250911LOBDEC_20C_sample_4</v>
      </c>
      <c r="C107" s="6" t="str">
        <f t="shared" ref="C107:D107" si="124">C106</f>
        <v>Lobostemon decorus</v>
      </c>
      <c r="D107" s="6" t="str">
        <f t="shared" si="124"/>
        <v>20C</v>
      </c>
      <c r="E107" s="10">
        <f>IF(ISBLANK(A104),"",E106+1)</f>
        <v>4</v>
      </c>
      <c r="F107" s="11">
        <f t="shared" si="123"/>
        <v>45912.49722</v>
      </c>
      <c r="G107" s="8">
        <v>8.737</v>
      </c>
    </row>
    <row r="108">
      <c r="A108" s="9" t="str">
        <f t="shared" si="121"/>
        <v>LOBDEC</v>
      </c>
      <c r="B108" s="9" t="str">
        <f>IF(ISBLANK(A104),"",LEFT(B107,27)&amp;VALUE(RIGHT(B107,1)+1))</f>
        <v>DKF250911LOBDEC_20C_sample_5</v>
      </c>
      <c r="C108" s="6" t="str">
        <f t="shared" ref="C108:D108" si="125">C107</f>
        <v>Lobostemon decorus</v>
      </c>
      <c r="D108" s="6" t="str">
        <f t="shared" si="125"/>
        <v>20C</v>
      </c>
      <c r="E108" s="10">
        <f>IF(ISBLANK(A104),"",E107+1)</f>
        <v>5</v>
      </c>
      <c r="F108" s="11">
        <f t="shared" si="123"/>
        <v>45912.49722</v>
      </c>
      <c r="G108" s="8">
        <v>5.786</v>
      </c>
    </row>
    <row r="109">
      <c r="A109" s="12" t="str">
        <f t="shared" si="121"/>
        <v>LOBDEC</v>
      </c>
      <c r="B109" s="12" t="str">
        <f>IF(ISBLANK(A104),"",LEFT(B108,27)&amp;VALUE(RIGHT(B108,1)+1))</f>
        <v>DKF250911LOBDEC_20C_sample_6</v>
      </c>
      <c r="C109" s="13" t="str">
        <f t="shared" ref="C109:D109" si="126">C108</f>
        <v>Lobostemon decorus</v>
      </c>
      <c r="D109" s="13" t="str">
        <f t="shared" si="126"/>
        <v>20C</v>
      </c>
      <c r="E109" s="14">
        <f>IF(ISBLANK(A104),"",E108+1)</f>
        <v>6</v>
      </c>
      <c r="F109" s="15">
        <f t="shared" si="123"/>
        <v>45912.49722</v>
      </c>
      <c r="G109" s="16">
        <v>5.981</v>
      </c>
    </row>
    <row r="110">
      <c r="A110" s="5" t="s">
        <v>9</v>
      </c>
      <c r="B110" s="6" t="str">
        <f>IF(ISBLANK(A110),"",VLOOKUP($A110,'Data Feed (20C)'!$A$1:$G$14,2,FALSE))</f>
        <v>DKR250911PROLAU_20C_sample_1</v>
      </c>
      <c r="C110" s="6" t="str">
        <f>IF(ISBLANK(A110),"",VLOOKUP($A110,'Data Feed (20C)'!$A$1:$G$14,3,FALSE))</f>
        <v>Protea laurifolia</v>
      </c>
      <c r="D110" s="6" t="str">
        <f>IF(ISBLANK(A110),"",VLOOKUP($A110,'Data Feed (20C)'!$A$1:$G$14,4,FALSE))</f>
        <v>20C</v>
      </c>
      <c r="E110" s="6">
        <f>IF(ISBLANK(A110),"",VLOOKUP($A110,'Data Feed (20C)'!$A$1:$G$14,7,FALSE))</f>
        <v>1</v>
      </c>
      <c r="F110" s="7">
        <v>45912.49791666667</v>
      </c>
      <c r="G110" s="8">
        <v>1.075</v>
      </c>
    </row>
    <row r="111">
      <c r="A111" s="9" t="str">
        <f t="shared" ref="A111:A115" si="128">A110</f>
        <v>PROLAU</v>
      </c>
      <c r="B111" s="9" t="str">
        <f>IF(ISBLANK(A110),"",LEFT(B110,27)&amp;VALUE(RIGHT(B110,1)+1))</f>
        <v>DKR250911PROLAU_20C_sample_2</v>
      </c>
      <c r="C111" s="6" t="str">
        <f t="shared" ref="C111:D111" si="127">C110</f>
        <v>Protea laurifolia</v>
      </c>
      <c r="D111" s="6" t="str">
        <f t="shared" si="127"/>
        <v>20C</v>
      </c>
      <c r="E111" s="10">
        <f>IF(ISBLANK(A110),"",E110+1)</f>
        <v>2</v>
      </c>
      <c r="F111" s="11">
        <f t="shared" ref="F111:F115" si="130">F110</f>
        <v>45912.49792</v>
      </c>
      <c r="G111" s="8">
        <v>1.302</v>
      </c>
    </row>
    <row r="112">
      <c r="A112" s="9" t="str">
        <f t="shared" si="128"/>
        <v>PROLAU</v>
      </c>
      <c r="B112" s="9" t="str">
        <f>IF(ISBLANK(A110),"",LEFT(B111,27)&amp;VALUE(RIGHT(B111,1)+1))</f>
        <v>DKR250911PROLAU_20C_sample_3</v>
      </c>
      <c r="C112" s="6" t="str">
        <f t="shared" ref="C112:D112" si="129">C111</f>
        <v>Protea laurifolia</v>
      </c>
      <c r="D112" s="6" t="str">
        <f t="shared" si="129"/>
        <v>20C</v>
      </c>
      <c r="E112" s="10">
        <f>IF(ISBLANK(A110),"",E111+1)</f>
        <v>3</v>
      </c>
      <c r="F112" s="11">
        <f t="shared" si="130"/>
        <v>45912.49792</v>
      </c>
      <c r="G112" s="8">
        <v>1.181</v>
      </c>
    </row>
    <row r="113">
      <c r="A113" s="9" t="str">
        <f t="shared" si="128"/>
        <v>PROLAU</v>
      </c>
      <c r="B113" s="9" t="str">
        <f>IF(ISBLANK(A110),"",LEFT(B112,27)&amp;VALUE(RIGHT(B112,1)+1))</f>
        <v>DKR250911PROLAU_20C_sample_4</v>
      </c>
      <c r="C113" s="6" t="str">
        <f t="shared" ref="C113:D113" si="131">C112</f>
        <v>Protea laurifolia</v>
      </c>
      <c r="D113" s="6" t="str">
        <f t="shared" si="131"/>
        <v>20C</v>
      </c>
      <c r="E113" s="10">
        <f>IF(ISBLANK(A110),"",E112+1)</f>
        <v>4</v>
      </c>
      <c r="F113" s="11">
        <f t="shared" si="130"/>
        <v>45912.49792</v>
      </c>
      <c r="G113" s="8">
        <v>0.584</v>
      </c>
    </row>
    <row r="114">
      <c r="A114" s="9" t="str">
        <f t="shared" si="128"/>
        <v>PROLAU</v>
      </c>
      <c r="B114" s="9" t="str">
        <f>IF(ISBLANK(A110),"",LEFT(B113,27)&amp;VALUE(RIGHT(B113,1)+1))</f>
        <v>DKR250911PROLAU_20C_sample_5</v>
      </c>
      <c r="C114" s="6" t="str">
        <f t="shared" ref="C114:D114" si="132">C113</f>
        <v>Protea laurifolia</v>
      </c>
      <c r="D114" s="6" t="str">
        <f t="shared" si="132"/>
        <v>20C</v>
      </c>
      <c r="E114" s="10">
        <f>IF(ISBLANK(A110),"",E113+1)</f>
        <v>5</v>
      </c>
      <c r="F114" s="11">
        <f t="shared" si="130"/>
        <v>45912.49792</v>
      </c>
      <c r="G114" s="8">
        <v>1.025</v>
      </c>
    </row>
    <row r="115">
      <c r="A115" s="12" t="str">
        <f t="shared" si="128"/>
        <v>PROLAU</v>
      </c>
      <c r="B115" s="12" t="str">
        <f>IF(ISBLANK(A110),"",LEFT(B114,27)&amp;VALUE(RIGHT(B114,1)+1))</f>
        <v>DKR250911PROLAU_20C_sample_6</v>
      </c>
      <c r="C115" s="13" t="str">
        <f t="shared" ref="C115:D115" si="133">C114</f>
        <v>Protea laurifolia</v>
      </c>
      <c r="D115" s="13" t="str">
        <f t="shared" si="133"/>
        <v>20C</v>
      </c>
      <c r="E115" s="14">
        <f>IF(ISBLANK(A110),"",E114+1)</f>
        <v>6</v>
      </c>
      <c r="F115" s="15">
        <f t="shared" si="130"/>
        <v>45912.49792</v>
      </c>
      <c r="G115" s="16">
        <v>1.047</v>
      </c>
    </row>
    <row r="116">
      <c r="A116" s="5" t="s">
        <v>8</v>
      </c>
      <c r="B116" s="6" t="str">
        <f>IF(ISBLANK(A116),"",VLOOKUP($A116,'Data Feed (20C)'!$A$1:$G$14,2,FALSE))</f>
        <v>DKF250911PROLOR_20C_sample_1</v>
      </c>
      <c r="C116" s="6" t="str">
        <f>IF(ISBLANK(A116),"",VLOOKUP($A116,'Data Feed (20C)'!$A$1:$G$14,3,FALSE))</f>
        <v>Protea lorifolia</v>
      </c>
      <c r="D116" s="6" t="str">
        <f>IF(ISBLANK(A116),"",VLOOKUP($A116,'Data Feed (20C)'!$A$1:$G$14,4,FALSE))</f>
        <v>20C</v>
      </c>
      <c r="E116" s="6">
        <f>IF(ISBLANK(A116),"",VLOOKUP($A116,'Data Feed (20C)'!$A$1:$G$14,7,FALSE))</f>
        <v>1</v>
      </c>
      <c r="F116" s="7">
        <v>45912.49930555555</v>
      </c>
      <c r="G116" s="8">
        <v>3.332</v>
      </c>
    </row>
    <row r="117">
      <c r="A117" s="9" t="str">
        <f t="shared" ref="A117:A121" si="135">A116</f>
        <v>PROLOR</v>
      </c>
      <c r="B117" s="9" t="str">
        <f>IF(ISBLANK(A116),"",LEFT(B116,27)&amp;VALUE(RIGHT(B116,1)+1))</f>
        <v>DKF250911PROLOR_20C_sample_2</v>
      </c>
      <c r="C117" s="6" t="str">
        <f t="shared" ref="C117:D117" si="134">C116</f>
        <v>Protea lorifolia</v>
      </c>
      <c r="D117" s="6" t="str">
        <f t="shared" si="134"/>
        <v>20C</v>
      </c>
      <c r="E117" s="10">
        <f>IF(ISBLANK(A116),"",E116+1)</f>
        <v>2</v>
      </c>
      <c r="F117" s="11">
        <f t="shared" ref="F117:F121" si="137">F116</f>
        <v>45912.49931</v>
      </c>
      <c r="G117" s="8">
        <v>3.789</v>
      </c>
    </row>
    <row r="118">
      <c r="A118" s="9" t="str">
        <f t="shared" si="135"/>
        <v>PROLOR</v>
      </c>
      <c r="B118" s="9" t="str">
        <f>IF(ISBLANK(A116),"",LEFT(B117,27)&amp;VALUE(RIGHT(B117,1)+1))</f>
        <v>DKF250911PROLOR_20C_sample_3</v>
      </c>
      <c r="C118" s="6" t="str">
        <f t="shared" ref="C118:D118" si="136">C117</f>
        <v>Protea lorifolia</v>
      </c>
      <c r="D118" s="6" t="str">
        <f t="shared" si="136"/>
        <v>20C</v>
      </c>
      <c r="E118" s="10">
        <f>IF(ISBLANK(A116),"",E117+1)</f>
        <v>3</v>
      </c>
      <c r="F118" s="11">
        <f t="shared" si="137"/>
        <v>45912.49931</v>
      </c>
      <c r="G118" s="8">
        <v>3.965</v>
      </c>
    </row>
    <row r="119">
      <c r="A119" s="9" t="str">
        <f t="shared" si="135"/>
        <v>PROLOR</v>
      </c>
      <c r="B119" s="9" t="str">
        <f>IF(ISBLANK(A116),"",LEFT(B118,27)&amp;VALUE(RIGHT(B118,1)+1))</f>
        <v>DKF250911PROLOR_20C_sample_4</v>
      </c>
      <c r="C119" s="6" t="str">
        <f t="shared" ref="C119:D119" si="138">C118</f>
        <v>Protea lorifolia</v>
      </c>
      <c r="D119" s="6" t="str">
        <f t="shared" si="138"/>
        <v>20C</v>
      </c>
      <c r="E119" s="10">
        <f>IF(ISBLANK(A116),"",E118+1)</f>
        <v>4</v>
      </c>
      <c r="F119" s="11">
        <f t="shared" si="137"/>
        <v>45912.49931</v>
      </c>
      <c r="G119" s="8">
        <v>3.151</v>
      </c>
    </row>
    <row r="120">
      <c r="A120" s="9" t="str">
        <f t="shared" si="135"/>
        <v>PROLOR</v>
      </c>
      <c r="B120" s="9" t="str">
        <f>IF(ISBLANK(A116),"",LEFT(B119,27)&amp;VALUE(RIGHT(B119,1)+1))</f>
        <v>DKF250911PROLOR_20C_sample_5</v>
      </c>
      <c r="C120" s="6" t="str">
        <f t="shared" ref="C120:D120" si="139">C119</f>
        <v>Protea lorifolia</v>
      </c>
      <c r="D120" s="6" t="str">
        <f t="shared" si="139"/>
        <v>20C</v>
      </c>
      <c r="E120" s="10">
        <f>IF(ISBLANK(A116),"",E119+1)</f>
        <v>5</v>
      </c>
      <c r="F120" s="11">
        <f t="shared" si="137"/>
        <v>45912.49931</v>
      </c>
      <c r="G120" s="8">
        <v>5.836</v>
      </c>
    </row>
    <row r="121">
      <c r="A121" s="12" t="str">
        <f t="shared" si="135"/>
        <v>PROLOR</v>
      </c>
      <c r="B121" s="12" t="str">
        <f>IF(ISBLANK(A116),"",LEFT(B120,27)&amp;VALUE(RIGHT(B120,1)+1))</f>
        <v>DKF250911PROLOR_20C_sample_6</v>
      </c>
      <c r="C121" s="13" t="str">
        <f t="shared" ref="C121:D121" si="140">C120</f>
        <v>Protea lorifolia</v>
      </c>
      <c r="D121" s="13" t="str">
        <f t="shared" si="140"/>
        <v>20C</v>
      </c>
      <c r="E121" s="14">
        <f>IF(ISBLANK(A116),"",E120+1)</f>
        <v>6</v>
      </c>
      <c r="F121" s="15">
        <f t="shared" si="137"/>
        <v>45912.49931</v>
      </c>
      <c r="G121" s="16">
        <v>4.78</v>
      </c>
    </row>
    <row r="122">
      <c r="A122" s="5" t="s">
        <v>11</v>
      </c>
      <c r="B122" s="6" t="str">
        <f>IF(ISBLANK(A122),"",VLOOKUP($A122,'Data Feed (20C)'!$A$1:$G$14,2,FALSE))</f>
        <v>DKF250911SELDOL_20C_sample_1</v>
      </c>
      <c r="C122" s="6" t="str">
        <f>IF(ISBLANK(A122),"",VLOOKUP($A122,'Data Feed (20C)'!$A$1:$G$14,3,FALSE))</f>
        <v>Selago dolosa</v>
      </c>
      <c r="D122" s="6" t="str">
        <f>IF(ISBLANK(A122),"",VLOOKUP($A122,'Data Feed (20C)'!$A$1:$G$14,4,FALSE))</f>
        <v>20C</v>
      </c>
      <c r="E122" s="6">
        <f>IF(ISBLANK(A122),"",VLOOKUP($A122,'Data Feed (20C)'!$A$1:$G$14,7,FALSE))</f>
        <v>1</v>
      </c>
      <c r="F122" s="7">
        <v>45912.50069444445</v>
      </c>
      <c r="G122" s="8">
        <v>1.649</v>
      </c>
    </row>
    <row r="123">
      <c r="A123" s="9" t="str">
        <f t="shared" ref="A123:A127" si="142">A122</f>
        <v>SELDOL</v>
      </c>
      <c r="B123" s="9" t="str">
        <f>IF(ISBLANK(A122),"",LEFT(B122,27)&amp;VALUE(RIGHT(B122,1)+1))</f>
        <v>DKF250911SELDOL_20C_sample_2</v>
      </c>
      <c r="C123" s="6" t="str">
        <f t="shared" ref="C123:D123" si="141">C122</f>
        <v>Selago dolosa</v>
      </c>
      <c r="D123" s="6" t="str">
        <f t="shared" si="141"/>
        <v>20C</v>
      </c>
      <c r="E123" s="10">
        <f>IF(ISBLANK(A122),"",E122+1)</f>
        <v>2</v>
      </c>
      <c r="F123" s="11">
        <f t="shared" ref="F123:F127" si="144">F122</f>
        <v>45912.50069</v>
      </c>
      <c r="G123" s="8">
        <v>2.202</v>
      </c>
    </row>
    <row r="124">
      <c r="A124" s="9" t="str">
        <f t="shared" si="142"/>
        <v>SELDOL</v>
      </c>
      <c r="B124" s="9" t="str">
        <f>IF(ISBLANK(A122),"",LEFT(B123,27)&amp;VALUE(RIGHT(B123,1)+1))</f>
        <v>DKF250911SELDOL_20C_sample_3</v>
      </c>
      <c r="C124" s="6" t="str">
        <f t="shared" ref="C124:D124" si="143">C123</f>
        <v>Selago dolosa</v>
      </c>
      <c r="D124" s="6" t="str">
        <f t="shared" si="143"/>
        <v>20C</v>
      </c>
      <c r="E124" s="10">
        <f>IF(ISBLANK(A122),"",E123+1)</f>
        <v>3</v>
      </c>
      <c r="F124" s="11">
        <f t="shared" si="144"/>
        <v>45912.50069</v>
      </c>
      <c r="G124" s="8">
        <v>2.141</v>
      </c>
    </row>
    <row r="125">
      <c r="A125" s="9" t="str">
        <f t="shared" si="142"/>
        <v>SELDOL</v>
      </c>
      <c r="B125" s="9" t="str">
        <f>IF(ISBLANK(A122),"",LEFT(B124,27)&amp;VALUE(RIGHT(B124,1)+1))</f>
        <v>DKF250911SELDOL_20C_sample_4</v>
      </c>
      <c r="C125" s="6" t="str">
        <f t="shared" ref="C125:D125" si="145">C124</f>
        <v>Selago dolosa</v>
      </c>
      <c r="D125" s="6" t="str">
        <f t="shared" si="145"/>
        <v>20C</v>
      </c>
      <c r="E125" s="10">
        <f>IF(ISBLANK(A122),"",E124+1)</f>
        <v>4</v>
      </c>
      <c r="F125" s="11">
        <f t="shared" si="144"/>
        <v>45912.50069</v>
      </c>
      <c r="G125" s="8">
        <v>2.232</v>
      </c>
    </row>
    <row r="126">
      <c r="A126" s="9" t="str">
        <f t="shared" si="142"/>
        <v>SELDOL</v>
      </c>
      <c r="B126" s="9" t="str">
        <f>IF(ISBLANK(A122),"",LEFT(B125,27)&amp;VALUE(RIGHT(B125,1)+1))</f>
        <v>DKF250911SELDOL_20C_sample_5</v>
      </c>
      <c r="C126" s="6" t="str">
        <f t="shared" ref="C126:D126" si="146">C125</f>
        <v>Selago dolosa</v>
      </c>
      <c r="D126" s="6" t="str">
        <f t="shared" si="146"/>
        <v>20C</v>
      </c>
      <c r="E126" s="10">
        <f>IF(ISBLANK(A122),"",E125+1)</f>
        <v>5</v>
      </c>
      <c r="F126" s="11">
        <f t="shared" si="144"/>
        <v>45912.50069</v>
      </c>
      <c r="G126" s="8">
        <v>2.981</v>
      </c>
    </row>
    <row r="127">
      <c r="A127" s="12" t="str">
        <f t="shared" si="142"/>
        <v>SELDOL</v>
      </c>
      <c r="B127" s="12" t="str">
        <f>IF(ISBLANK(A122),"",LEFT(B126,27)&amp;VALUE(RIGHT(B126,1)+1))</f>
        <v>DKF250911SELDOL_20C_sample_6</v>
      </c>
      <c r="C127" s="13" t="str">
        <f t="shared" ref="C127:D127" si="147">C126</f>
        <v>Selago dolosa</v>
      </c>
      <c r="D127" s="13" t="str">
        <f t="shared" si="147"/>
        <v>20C</v>
      </c>
      <c r="E127" s="14">
        <f>IF(ISBLANK(A122),"",E126+1)</f>
        <v>6</v>
      </c>
      <c r="F127" s="15">
        <f t="shared" si="144"/>
        <v>45912.50069</v>
      </c>
      <c r="G127" s="16">
        <v>1.36</v>
      </c>
    </row>
    <row r="128">
      <c r="A128" s="5" t="s">
        <v>13</v>
      </c>
      <c r="B128" s="6" t="str">
        <f>IF(ISBLANK(A128),"",VLOOKUP($A128,'Data Feed (20C)'!$A$1:$G$14,2,FALSE))</f>
        <v>DKR250911RUSMUL_20C_sample_1</v>
      </c>
      <c r="C128" s="6" t="str">
        <f>IF(ISBLANK(A128),"",VLOOKUP($A128,'Data Feed (20C)'!$A$1:$G$14,3,FALSE))</f>
        <v>Ruschia multiflora</v>
      </c>
      <c r="D128" s="6" t="str">
        <f>IF(ISBLANK(A128),"",VLOOKUP($A128,'Data Feed (20C)'!$A$1:$G$14,4,FALSE))</f>
        <v>20C</v>
      </c>
      <c r="E128" s="6">
        <f>IF(ISBLANK(A128),"",VLOOKUP($A128,'Data Feed (20C)'!$A$1:$G$14,7,FALSE))</f>
        <v>1</v>
      </c>
      <c r="F128" s="7">
        <v>45912.50208333333</v>
      </c>
      <c r="G128" s="8">
        <v>3.438</v>
      </c>
    </row>
    <row r="129">
      <c r="A129" s="9" t="str">
        <f t="shared" ref="A129:A133" si="149">A128</f>
        <v>RUSMUL</v>
      </c>
      <c r="B129" s="9" t="str">
        <f>IF(ISBLANK(A128),"",LEFT(B128,27)&amp;VALUE(RIGHT(B128,1)+1))</f>
        <v>DKR250911RUSMUL_20C_sample_2</v>
      </c>
      <c r="C129" s="6" t="str">
        <f t="shared" ref="C129:D129" si="148">C128</f>
        <v>Ruschia multiflora</v>
      </c>
      <c r="D129" s="6" t="str">
        <f t="shared" si="148"/>
        <v>20C</v>
      </c>
      <c r="E129" s="10">
        <f>IF(ISBLANK(A128),"",E128+1)</f>
        <v>2</v>
      </c>
      <c r="F129" s="11">
        <f t="shared" ref="F129:F133" si="151">F128</f>
        <v>45912.50208</v>
      </c>
      <c r="G129" s="8">
        <v>4.547</v>
      </c>
    </row>
    <row r="130">
      <c r="A130" s="9" t="str">
        <f t="shared" si="149"/>
        <v>RUSMUL</v>
      </c>
      <c r="B130" s="9" t="str">
        <f>IF(ISBLANK(A128),"",LEFT(B129,27)&amp;VALUE(RIGHT(B129,1)+1))</f>
        <v>DKR250911RUSMUL_20C_sample_3</v>
      </c>
      <c r="C130" s="6" t="str">
        <f t="shared" ref="C130:D130" si="150">C129</f>
        <v>Ruschia multiflora</v>
      </c>
      <c r="D130" s="6" t="str">
        <f t="shared" si="150"/>
        <v>20C</v>
      </c>
      <c r="E130" s="10">
        <f>IF(ISBLANK(A128),"",E129+1)</f>
        <v>3</v>
      </c>
      <c r="F130" s="11">
        <f t="shared" si="151"/>
        <v>45912.50208</v>
      </c>
      <c r="G130" s="8">
        <v>8.418</v>
      </c>
    </row>
    <row r="131">
      <c r="A131" s="9" t="str">
        <f t="shared" si="149"/>
        <v>RUSMUL</v>
      </c>
      <c r="B131" s="9" t="str">
        <f>IF(ISBLANK(A128),"",LEFT(B130,27)&amp;VALUE(RIGHT(B130,1)+1))</f>
        <v>DKR250911RUSMUL_20C_sample_4</v>
      </c>
      <c r="C131" s="6" t="str">
        <f t="shared" ref="C131:D131" si="152">C130</f>
        <v>Ruschia multiflora</v>
      </c>
      <c r="D131" s="6" t="str">
        <f t="shared" si="152"/>
        <v>20C</v>
      </c>
      <c r="E131" s="10">
        <f>IF(ISBLANK(A128),"",E130+1)</f>
        <v>4</v>
      </c>
      <c r="F131" s="11">
        <f t="shared" si="151"/>
        <v>45912.50208</v>
      </c>
      <c r="G131" s="8">
        <v>4.691</v>
      </c>
    </row>
    <row r="132">
      <c r="A132" s="9" t="str">
        <f t="shared" si="149"/>
        <v>RUSMUL</v>
      </c>
      <c r="B132" s="9" t="str">
        <f>IF(ISBLANK(A128),"",LEFT(B131,27)&amp;VALUE(RIGHT(B131,1)+1))</f>
        <v>DKR250911RUSMUL_20C_sample_5</v>
      </c>
      <c r="C132" s="6" t="str">
        <f t="shared" ref="C132:D132" si="153">C131</f>
        <v>Ruschia multiflora</v>
      </c>
      <c r="D132" s="6" t="str">
        <f t="shared" si="153"/>
        <v>20C</v>
      </c>
      <c r="E132" s="10">
        <f>IF(ISBLANK(A128),"",E131+1)</f>
        <v>5</v>
      </c>
      <c r="F132" s="11">
        <f t="shared" si="151"/>
        <v>45912.50208</v>
      </c>
      <c r="G132" s="8">
        <v>3.818</v>
      </c>
    </row>
    <row r="133">
      <c r="A133" s="12" t="str">
        <f t="shared" si="149"/>
        <v>RUSMUL</v>
      </c>
      <c r="B133" s="12" t="str">
        <f>IF(ISBLANK(A128),"",LEFT(B132,27)&amp;VALUE(RIGHT(B132,1)+1))</f>
        <v>DKR250911RUSMUL_20C_sample_6</v>
      </c>
      <c r="C133" s="13" t="str">
        <f t="shared" ref="C133:D133" si="154">C132</f>
        <v>Ruschia multiflora</v>
      </c>
      <c r="D133" s="13" t="str">
        <f t="shared" si="154"/>
        <v>20C</v>
      </c>
      <c r="E133" s="14">
        <f>IF(ISBLANK(A128),"",E132+1)</f>
        <v>6</v>
      </c>
      <c r="F133" s="15">
        <f t="shared" si="151"/>
        <v>45912.50208</v>
      </c>
      <c r="G133" s="16">
        <v>3.181</v>
      </c>
    </row>
    <row r="134">
      <c r="A134" s="5" t="s">
        <v>17</v>
      </c>
      <c r="B134" s="6" t="str">
        <f>IF(ISBLANK(A134),"",VLOOKUP($A134,'Data Feed (20C)'!$A$1:$G$14,2,FALSE))</f>
        <v>DKR250911OEDSQU_20C_sample_1</v>
      </c>
      <c r="C134" s="6" t="str">
        <f>IF(ISBLANK(A134),"",VLOOKUP($A134,'Data Feed (20C)'!$A$1:$G$14,3,FALSE))</f>
        <v>Oedera squarrosa</v>
      </c>
      <c r="D134" s="6" t="str">
        <f>IF(ISBLANK(A134),"",VLOOKUP($A134,'Data Feed (20C)'!$A$1:$G$14,4,FALSE))</f>
        <v>20C</v>
      </c>
      <c r="E134" s="6">
        <f>IF(ISBLANK(A134),"",VLOOKUP($A134,'Data Feed (20C)'!$A$1:$G$14,7,FALSE))</f>
        <v>1</v>
      </c>
      <c r="F134" s="7">
        <v>45912.50347222222</v>
      </c>
      <c r="G134" s="8">
        <v>1.67</v>
      </c>
    </row>
    <row r="135">
      <c r="A135" s="9" t="str">
        <f t="shared" ref="A135:A139" si="156">A134</f>
        <v>OEDSQU</v>
      </c>
      <c r="B135" s="9" t="str">
        <f>IF(ISBLANK(A134),"",LEFT(B134,27)&amp;VALUE(RIGHT(B134,1)+1))</f>
        <v>DKR250911OEDSQU_20C_sample_2</v>
      </c>
      <c r="C135" s="6" t="str">
        <f t="shared" ref="C135:D135" si="155">C134</f>
        <v>Oedera squarrosa</v>
      </c>
      <c r="D135" s="6" t="str">
        <f t="shared" si="155"/>
        <v>20C</v>
      </c>
      <c r="E135" s="10">
        <f>IF(ISBLANK(A134),"",E134+1)</f>
        <v>2</v>
      </c>
      <c r="F135" s="11">
        <f t="shared" ref="F135:F139" si="158">F134</f>
        <v>45912.50347</v>
      </c>
      <c r="G135" s="8">
        <v>1.331</v>
      </c>
    </row>
    <row r="136">
      <c r="A136" s="9" t="str">
        <f t="shared" si="156"/>
        <v>OEDSQU</v>
      </c>
      <c r="B136" s="9" t="str">
        <f>IF(ISBLANK(A134),"",LEFT(B135,27)&amp;VALUE(RIGHT(B135,1)+1))</f>
        <v>DKR250911OEDSQU_20C_sample_3</v>
      </c>
      <c r="C136" s="6" t="str">
        <f t="shared" ref="C136:D136" si="157">C135</f>
        <v>Oedera squarrosa</v>
      </c>
      <c r="D136" s="6" t="str">
        <f t="shared" si="157"/>
        <v>20C</v>
      </c>
      <c r="E136" s="10">
        <f>IF(ISBLANK(A134),"",E135+1)</f>
        <v>3</v>
      </c>
      <c r="F136" s="11">
        <f t="shared" si="158"/>
        <v>45912.50347</v>
      </c>
      <c r="G136" s="8">
        <v>1.757</v>
      </c>
    </row>
    <row r="137">
      <c r="A137" s="9" t="str">
        <f t="shared" si="156"/>
        <v>OEDSQU</v>
      </c>
      <c r="B137" s="9" t="str">
        <f>IF(ISBLANK(A134),"",LEFT(B136,27)&amp;VALUE(RIGHT(B136,1)+1))</f>
        <v>DKR250911OEDSQU_20C_sample_4</v>
      </c>
      <c r="C137" s="6" t="str">
        <f t="shared" ref="C137:D137" si="159">C136</f>
        <v>Oedera squarrosa</v>
      </c>
      <c r="D137" s="6" t="str">
        <f t="shared" si="159"/>
        <v>20C</v>
      </c>
      <c r="E137" s="10">
        <f>IF(ISBLANK(A134),"",E136+1)</f>
        <v>4</v>
      </c>
      <c r="F137" s="11">
        <f t="shared" si="158"/>
        <v>45912.50347</v>
      </c>
      <c r="G137" s="8">
        <v>1.842</v>
      </c>
    </row>
    <row r="138">
      <c r="A138" s="9" t="str">
        <f t="shared" si="156"/>
        <v>OEDSQU</v>
      </c>
      <c r="B138" s="9" t="str">
        <f>IF(ISBLANK(A134),"",LEFT(B137,27)&amp;VALUE(RIGHT(B137,1)+1))</f>
        <v>DKR250911OEDSQU_20C_sample_5</v>
      </c>
      <c r="C138" s="6" t="str">
        <f t="shared" ref="C138:D138" si="160">C137</f>
        <v>Oedera squarrosa</v>
      </c>
      <c r="D138" s="6" t="str">
        <f t="shared" si="160"/>
        <v>20C</v>
      </c>
      <c r="E138" s="10">
        <f>IF(ISBLANK(A134),"",E137+1)</f>
        <v>5</v>
      </c>
      <c r="F138" s="11">
        <f t="shared" si="158"/>
        <v>45912.50347</v>
      </c>
      <c r="G138" s="8">
        <v>0.924</v>
      </c>
    </row>
    <row r="139">
      <c r="A139" s="12" t="str">
        <f t="shared" si="156"/>
        <v>OEDSQU</v>
      </c>
      <c r="B139" s="12" t="str">
        <f>IF(ISBLANK(A134),"",LEFT(B138,27)&amp;VALUE(RIGHT(B138,1)+1))</f>
        <v>DKR250911OEDSQU_20C_sample_6</v>
      </c>
      <c r="C139" s="13" t="str">
        <f t="shared" ref="C139:D139" si="161">C138</f>
        <v>Oedera squarrosa</v>
      </c>
      <c r="D139" s="13" t="str">
        <f t="shared" si="161"/>
        <v>20C</v>
      </c>
      <c r="E139" s="14">
        <f>IF(ISBLANK(A134),"",E138+1)</f>
        <v>6</v>
      </c>
      <c r="F139" s="15">
        <f t="shared" si="158"/>
        <v>45912.50347</v>
      </c>
      <c r="G139" s="16">
        <v>0.385</v>
      </c>
    </row>
    <row r="140">
      <c r="A140" s="5" t="s">
        <v>16</v>
      </c>
      <c r="B140" s="6" t="str">
        <f>IF(ISBLANK(A140),"",VLOOKUP($A140,'Data Feed (20C)'!$A$1:$G$14,2,FALSE))</f>
        <v>DKR250911MICPOL_20C_sample_1</v>
      </c>
      <c r="C140" s="6" t="str">
        <f>IF(ISBLANK(A140),"",VLOOKUP($A140,'Data Feed (20C)'!$A$1:$G$14,3,FALSE))</f>
        <v>Microdon polygaloides</v>
      </c>
      <c r="D140" s="6" t="str">
        <f>IF(ISBLANK(A140),"",VLOOKUP($A140,'Data Feed (20C)'!$A$1:$G$14,4,FALSE))</f>
        <v>20C</v>
      </c>
      <c r="E140" s="6">
        <f>IF(ISBLANK(A140),"",VLOOKUP($A140,'Data Feed (20C)'!$A$1:$G$14,7,FALSE))</f>
        <v>1</v>
      </c>
      <c r="F140" s="7">
        <v>45912.50486111111</v>
      </c>
      <c r="G140" s="8">
        <v>2.013</v>
      </c>
    </row>
    <row r="141">
      <c r="A141" s="9" t="str">
        <f t="shared" ref="A141:A145" si="163">A140</f>
        <v>MICPOL</v>
      </c>
      <c r="B141" s="9" t="str">
        <f>IF(ISBLANK(A140),"",LEFT(B140,27)&amp;VALUE(RIGHT(B140,1)+1))</f>
        <v>DKR250911MICPOL_20C_sample_2</v>
      </c>
      <c r="C141" s="6" t="str">
        <f t="shared" ref="C141:D141" si="162">C140</f>
        <v>Microdon polygaloides</v>
      </c>
      <c r="D141" s="6" t="str">
        <f t="shared" si="162"/>
        <v>20C</v>
      </c>
      <c r="E141" s="10">
        <f>IF(ISBLANK(A140),"",E140+1)</f>
        <v>2</v>
      </c>
      <c r="F141" s="11">
        <f t="shared" ref="F141:F145" si="165">F140</f>
        <v>45912.50486</v>
      </c>
      <c r="G141" s="8">
        <v>1.354</v>
      </c>
    </row>
    <row r="142">
      <c r="A142" s="9" t="str">
        <f t="shared" si="163"/>
        <v>MICPOL</v>
      </c>
      <c r="B142" s="9" t="str">
        <f>IF(ISBLANK(A140),"",LEFT(B141,27)&amp;VALUE(RIGHT(B141,1)+1))</f>
        <v>DKR250911MICPOL_20C_sample_3</v>
      </c>
      <c r="C142" s="6" t="str">
        <f t="shared" ref="C142:D142" si="164">C141</f>
        <v>Microdon polygaloides</v>
      </c>
      <c r="D142" s="6" t="str">
        <f t="shared" si="164"/>
        <v>20C</v>
      </c>
      <c r="E142" s="10">
        <f>IF(ISBLANK(A140),"",E141+1)</f>
        <v>3</v>
      </c>
      <c r="F142" s="11">
        <f t="shared" si="165"/>
        <v>45912.50486</v>
      </c>
      <c r="G142" s="8">
        <v>0.565</v>
      </c>
    </row>
    <row r="143">
      <c r="A143" s="9" t="str">
        <f t="shared" si="163"/>
        <v>MICPOL</v>
      </c>
      <c r="B143" s="9" t="str">
        <f>IF(ISBLANK(A140),"",LEFT(B142,27)&amp;VALUE(RIGHT(B142,1)+1))</f>
        <v>DKR250911MICPOL_20C_sample_4</v>
      </c>
      <c r="C143" s="6" t="str">
        <f t="shared" ref="C143:D143" si="166">C142</f>
        <v>Microdon polygaloides</v>
      </c>
      <c r="D143" s="6" t="str">
        <f t="shared" si="166"/>
        <v>20C</v>
      </c>
      <c r="E143" s="10">
        <f>IF(ISBLANK(A140),"",E142+1)</f>
        <v>4</v>
      </c>
      <c r="F143" s="11">
        <f t="shared" si="165"/>
        <v>45912.50486</v>
      </c>
      <c r="G143" s="8">
        <v>0.25</v>
      </c>
    </row>
    <row r="144">
      <c r="A144" s="9" t="str">
        <f t="shared" si="163"/>
        <v>MICPOL</v>
      </c>
      <c r="B144" s="9" t="str">
        <f>IF(ISBLANK(A140),"",LEFT(B143,27)&amp;VALUE(RIGHT(B143,1)+1))</f>
        <v>DKR250911MICPOL_20C_sample_5</v>
      </c>
      <c r="C144" s="6" t="str">
        <f t="shared" ref="C144:D144" si="167">C143</f>
        <v>Microdon polygaloides</v>
      </c>
      <c r="D144" s="6" t="str">
        <f t="shared" si="167"/>
        <v>20C</v>
      </c>
      <c r="E144" s="10">
        <f>IF(ISBLANK(A140),"",E143+1)</f>
        <v>5</v>
      </c>
      <c r="F144" s="11">
        <f t="shared" si="165"/>
        <v>45912.50486</v>
      </c>
      <c r="G144" s="8">
        <v>0.362</v>
      </c>
    </row>
    <row r="145">
      <c r="A145" s="12" t="str">
        <f t="shared" si="163"/>
        <v>MICPOL</v>
      </c>
      <c r="B145" s="12" t="str">
        <f>IF(ISBLANK(A140),"",LEFT(B144,27)&amp;VALUE(RIGHT(B144,1)+1))</f>
        <v>DKR250911MICPOL_20C_sample_6</v>
      </c>
      <c r="C145" s="13" t="str">
        <f t="shared" ref="C145:D145" si="168">C144</f>
        <v>Microdon polygaloides</v>
      </c>
      <c r="D145" s="13" t="str">
        <f t="shared" si="168"/>
        <v>20C</v>
      </c>
      <c r="E145" s="14">
        <f>IF(ISBLANK(A140),"",E144+1)</f>
        <v>6</v>
      </c>
      <c r="F145" s="15">
        <f t="shared" si="165"/>
        <v>45912.50486</v>
      </c>
      <c r="G145" s="16">
        <v>0.362</v>
      </c>
    </row>
    <row r="146">
      <c r="A146" s="5" t="s">
        <v>18</v>
      </c>
      <c r="B146" s="6" t="str">
        <f>IF(ISBLANK(A146),"",VLOOKUP($A146,'Data Feed (20C)'!$A$1:$G$14,2,FALSE))</f>
        <v>DKR250911WAHNOD_20C_sample_1</v>
      </c>
      <c r="C146" s="6" t="str">
        <f>IF(ISBLANK(A146),"",VLOOKUP($A146,'Data Feed (20C)'!$A$1:$G$14,3,FALSE))</f>
        <v>Wahlenbergia nodosa</v>
      </c>
      <c r="D146" s="6" t="str">
        <f>IF(ISBLANK(A146),"",VLOOKUP($A146,'Data Feed (20C)'!$A$1:$G$14,4,FALSE))</f>
        <v>20C</v>
      </c>
      <c r="E146" s="6">
        <f>IF(ISBLANK(A146),"",VLOOKUP($A146,'Data Feed (20C)'!$A$1:$G$14,7,FALSE))</f>
        <v>1</v>
      </c>
      <c r="F146" s="7">
        <v>45912.50486111111</v>
      </c>
      <c r="G146" s="8">
        <v>0.521</v>
      </c>
    </row>
    <row r="147">
      <c r="A147" s="9" t="str">
        <f t="shared" ref="A147:A151" si="170">A146</f>
        <v>WAHNOD</v>
      </c>
      <c r="B147" s="9" t="str">
        <f>IF(ISBLANK(A146),"",LEFT(B146,27)&amp;VALUE(RIGHT(B146,1)+1))</f>
        <v>DKR250911WAHNOD_20C_sample_2</v>
      </c>
      <c r="C147" s="6" t="str">
        <f t="shared" ref="C147:D147" si="169">C146</f>
        <v>Wahlenbergia nodosa</v>
      </c>
      <c r="D147" s="6" t="str">
        <f t="shared" si="169"/>
        <v>20C</v>
      </c>
      <c r="E147" s="10">
        <f>IF(ISBLANK(A146),"",E146+1)</f>
        <v>2</v>
      </c>
      <c r="F147" s="11">
        <f t="shared" ref="F147:F151" si="172">F146</f>
        <v>45912.50486</v>
      </c>
      <c r="G147" s="8">
        <v>0.308</v>
      </c>
    </row>
    <row r="148">
      <c r="A148" s="9" t="str">
        <f t="shared" si="170"/>
        <v>WAHNOD</v>
      </c>
      <c r="B148" s="9" t="str">
        <f>IF(ISBLANK(A146),"",LEFT(B147,27)&amp;VALUE(RIGHT(B147,1)+1))</f>
        <v>DKR250911WAHNOD_20C_sample_3</v>
      </c>
      <c r="C148" s="6" t="str">
        <f t="shared" ref="C148:D148" si="171">C147</f>
        <v>Wahlenbergia nodosa</v>
      </c>
      <c r="D148" s="6" t="str">
        <f t="shared" si="171"/>
        <v>20C</v>
      </c>
      <c r="E148" s="10">
        <f>IF(ISBLANK(A146),"",E147+1)</f>
        <v>3</v>
      </c>
      <c r="F148" s="11">
        <f t="shared" si="172"/>
        <v>45912.50486</v>
      </c>
      <c r="G148" s="8">
        <v>0.244</v>
      </c>
    </row>
    <row r="149">
      <c r="A149" s="9" t="str">
        <f t="shared" si="170"/>
        <v>WAHNOD</v>
      </c>
      <c r="B149" s="9" t="str">
        <f>IF(ISBLANK(A146),"",LEFT(B148,27)&amp;VALUE(RIGHT(B148,1)+1))</f>
        <v>DKR250911WAHNOD_20C_sample_4</v>
      </c>
      <c r="C149" s="6" t="str">
        <f t="shared" ref="C149:D149" si="173">C148</f>
        <v>Wahlenbergia nodosa</v>
      </c>
      <c r="D149" s="6" t="str">
        <f t="shared" si="173"/>
        <v>20C</v>
      </c>
      <c r="E149" s="10">
        <f>IF(ISBLANK(A146),"",E148+1)</f>
        <v>4</v>
      </c>
      <c r="F149" s="11">
        <f t="shared" si="172"/>
        <v>45912.50486</v>
      </c>
      <c r="G149" s="8"/>
    </row>
    <row r="150">
      <c r="A150" s="9" t="str">
        <f t="shared" si="170"/>
        <v>WAHNOD</v>
      </c>
      <c r="B150" s="9" t="str">
        <f>IF(ISBLANK(A146),"",LEFT(B149,27)&amp;VALUE(RIGHT(B149,1)+1))</f>
        <v>DKR250911WAHNOD_20C_sample_5</v>
      </c>
      <c r="C150" s="6" t="str">
        <f t="shared" ref="C150:D150" si="174">C149</f>
        <v>Wahlenbergia nodosa</v>
      </c>
      <c r="D150" s="6" t="str">
        <f t="shared" si="174"/>
        <v>20C</v>
      </c>
      <c r="E150" s="10">
        <f>IF(ISBLANK(A146),"",E149+1)</f>
        <v>5</v>
      </c>
      <c r="F150" s="11">
        <f t="shared" si="172"/>
        <v>45912.50486</v>
      </c>
      <c r="G150" s="8">
        <v>0.559</v>
      </c>
    </row>
    <row r="151">
      <c r="A151" s="12" t="str">
        <f t="shared" si="170"/>
        <v>WAHNOD</v>
      </c>
      <c r="B151" s="12" t="str">
        <f>IF(ISBLANK(A146),"",LEFT(B150,27)&amp;VALUE(RIGHT(B150,1)+1))</f>
        <v>DKR250911WAHNOD_20C_sample_6</v>
      </c>
      <c r="C151" s="13" t="str">
        <f t="shared" ref="C151:D151" si="175">C150</f>
        <v>Wahlenbergia nodosa</v>
      </c>
      <c r="D151" s="13" t="str">
        <f t="shared" si="175"/>
        <v>20C</v>
      </c>
      <c r="E151" s="14">
        <f>IF(ISBLANK(A146),"",E150+1)</f>
        <v>6</v>
      </c>
      <c r="F151" s="15">
        <f t="shared" si="172"/>
        <v>45912.50486</v>
      </c>
      <c r="G151" s="16">
        <v>0.583</v>
      </c>
    </row>
    <row r="152">
      <c r="A152" s="5" t="s">
        <v>19</v>
      </c>
      <c r="B152" s="6" t="str">
        <f>IF(ISBLANK(A152),"",VLOOKUP($A152,'Data Feed (20C)'!$A$1:$G$14,2,FALSE))</f>
        <v>DKR250911CLURUB_20C_sample_1</v>
      </c>
      <c r="C152" s="6" t="str">
        <f>IF(ISBLANK(A152),"",VLOOKUP($A152,'Data Feed (20C)'!$A$1:$G$14,3,FALSE))</f>
        <v>Clutia rubricaulis</v>
      </c>
      <c r="D152" s="6" t="str">
        <f>IF(ISBLANK(A152),"",VLOOKUP($A152,'Data Feed (20C)'!$A$1:$G$14,4,FALSE))</f>
        <v>20C</v>
      </c>
      <c r="E152" s="6">
        <f>IF(ISBLANK(A152),"",VLOOKUP($A152,'Data Feed (20C)'!$A$1:$G$14,7,FALSE))</f>
        <v>1</v>
      </c>
      <c r="F152" s="7">
        <v>45912.506944444445</v>
      </c>
      <c r="G152" s="8">
        <v>0.65</v>
      </c>
    </row>
    <row r="153">
      <c r="A153" s="9" t="str">
        <f t="shared" ref="A153:A157" si="177">A152</f>
        <v>CLURUB</v>
      </c>
      <c r="B153" s="9" t="str">
        <f>IF(ISBLANK(A152),"",LEFT(B152,27)&amp;VALUE(RIGHT(B152,1)+1))</f>
        <v>DKR250911CLURUB_20C_sample_2</v>
      </c>
      <c r="C153" s="6" t="str">
        <f t="shared" ref="C153:D153" si="176">C152</f>
        <v>Clutia rubricaulis</v>
      </c>
      <c r="D153" s="6" t="str">
        <f t="shared" si="176"/>
        <v>20C</v>
      </c>
      <c r="E153" s="10">
        <f>IF(ISBLANK(A152),"",E152+1)</f>
        <v>2</v>
      </c>
      <c r="F153" s="11">
        <f t="shared" ref="F153:F157" si="179">F152</f>
        <v>45912.50694</v>
      </c>
      <c r="G153" s="8">
        <v>0.478</v>
      </c>
    </row>
    <row r="154">
      <c r="A154" s="9" t="str">
        <f t="shared" si="177"/>
        <v>CLURUB</v>
      </c>
      <c r="B154" s="9" t="str">
        <f>IF(ISBLANK(A152),"",LEFT(B153,27)&amp;VALUE(RIGHT(B153,1)+1))</f>
        <v>DKR250911CLURUB_20C_sample_3</v>
      </c>
      <c r="C154" s="6" t="str">
        <f t="shared" ref="C154:D154" si="178">C153</f>
        <v>Clutia rubricaulis</v>
      </c>
      <c r="D154" s="6" t="str">
        <f t="shared" si="178"/>
        <v>20C</v>
      </c>
      <c r="E154" s="10">
        <f>IF(ISBLANK(A152),"",E153+1)</f>
        <v>3</v>
      </c>
      <c r="F154" s="11">
        <f t="shared" si="179"/>
        <v>45912.50694</v>
      </c>
      <c r="G154" s="8">
        <v>0.622</v>
      </c>
    </row>
    <row r="155">
      <c r="A155" s="9" t="str">
        <f t="shared" si="177"/>
        <v>CLURUB</v>
      </c>
      <c r="B155" s="9" t="str">
        <f>IF(ISBLANK(A152),"",LEFT(B154,27)&amp;VALUE(RIGHT(B154,1)+1))</f>
        <v>DKR250911CLURUB_20C_sample_4</v>
      </c>
      <c r="C155" s="6" t="str">
        <f t="shared" ref="C155:D155" si="180">C154</f>
        <v>Clutia rubricaulis</v>
      </c>
      <c r="D155" s="6" t="str">
        <f t="shared" si="180"/>
        <v>20C</v>
      </c>
      <c r="E155" s="10">
        <f>IF(ISBLANK(A152),"",E154+1)</f>
        <v>4</v>
      </c>
      <c r="F155" s="11">
        <f t="shared" si="179"/>
        <v>45912.50694</v>
      </c>
      <c r="G155" s="8">
        <v>0.269</v>
      </c>
    </row>
    <row r="156">
      <c r="A156" s="9" t="str">
        <f t="shared" si="177"/>
        <v>CLURUB</v>
      </c>
      <c r="B156" s="9" t="str">
        <f>IF(ISBLANK(A152),"",LEFT(B155,27)&amp;VALUE(RIGHT(B155,1)+1))</f>
        <v>DKR250911CLURUB_20C_sample_5</v>
      </c>
      <c r="C156" s="6" t="str">
        <f t="shared" ref="C156:D156" si="181">C155</f>
        <v>Clutia rubricaulis</v>
      </c>
      <c r="D156" s="6" t="str">
        <f t="shared" si="181"/>
        <v>20C</v>
      </c>
      <c r="E156" s="10">
        <f>IF(ISBLANK(A152),"",E155+1)</f>
        <v>5</v>
      </c>
      <c r="F156" s="11">
        <f t="shared" si="179"/>
        <v>45912.50694</v>
      </c>
      <c r="G156" s="8">
        <v>0.624</v>
      </c>
    </row>
    <row r="157">
      <c r="A157" s="12" t="str">
        <f t="shared" si="177"/>
        <v>CLURUB</v>
      </c>
      <c r="B157" s="12" t="str">
        <f>IF(ISBLANK(A152),"",LEFT(B156,27)&amp;VALUE(RIGHT(B156,1)+1))</f>
        <v>DKR250911CLURUB_20C_sample_6</v>
      </c>
      <c r="C157" s="13" t="str">
        <f t="shared" ref="C157:D157" si="182">C156</f>
        <v>Clutia rubricaulis</v>
      </c>
      <c r="D157" s="13" t="str">
        <f t="shared" si="182"/>
        <v>20C</v>
      </c>
      <c r="E157" s="14">
        <f>IF(ISBLANK(A152),"",E156+1)</f>
        <v>6</v>
      </c>
      <c r="F157" s="15">
        <f t="shared" si="179"/>
        <v>45912.50694</v>
      </c>
      <c r="G157" s="16">
        <v>0.577</v>
      </c>
    </row>
    <row r="158">
      <c r="A158" s="5" t="s">
        <v>12</v>
      </c>
      <c r="B158" s="6" t="str">
        <f>IF(ISBLANK(A158),"",VLOOKUP($A158,'Data Feed (20C)'!$A$1:$G$14,2,FALSE))</f>
        <v>DKF250911AGACAP_20C_sample_1</v>
      </c>
      <c r="C158" s="6" t="str">
        <f>IF(ISBLANK(A158),"",VLOOKUP($A158,'Data Feed (20C)'!$A$1:$G$14,3,FALSE))</f>
        <v>Agathosma capensis</v>
      </c>
      <c r="D158" s="6" t="str">
        <f>IF(ISBLANK(A158),"",VLOOKUP($A158,'Data Feed (20C)'!$A$1:$G$14,4,FALSE))</f>
        <v>20C</v>
      </c>
      <c r="E158" s="6">
        <f>IF(ISBLANK(A158),"",VLOOKUP($A158,'Data Feed (20C)'!$A$1:$G$14,7,FALSE))</f>
        <v>1</v>
      </c>
      <c r="F158" s="7">
        <v>45912.549305555556</v>
      </c>
      <c r="G158" s="8">
        <v>5.491</v>
      </c>
    </row>
    <row r="159">
      <c r="A159" s="9" t="str">
        <f t="shared" ref="A159:A163" si="184">A158</f>
        <v>AGACAP</v>
      </c>
      <c r="B159" s="9" t="str">
        <f>IF(ISBLANK(A158),"",LEFT(B158,27)&amp;VALUE(RIGHT(B158,1)+1))</f>
        <v>DKF250911AGACAP_20C_sample_2</v>
      </c>
      <c r="C159" s="6" t="str">
        <f t="shared" ref="C159:D159" si="183">C158</f>
        <v>Agathosma capensis</v>
      </c>
      <c r="D159" s="6" t="str">
        <f t="shared" si="183"/>
        <v>20C</v>
      </c>
      <c r="E159" s="10">
        <f>IF(ISBLANK(A158),"",E158+1)</f>
        <v>2</v>
      </c>
      <c r="F159" s="11">
        <f t="shared" ref="F159:F163" si="186">F158</f>
        <v>45912.54931</v>
      </c>
      <c r="G159" s="8">
        <v>1.971</v>
      </c>
    </row>
    <row r="160">
      <c r="A160" s="9" t="str">
        <f t="shared" si="184"/>
        <v>AGACAP</v>
      </c>
      <c r="B160" s="9" t="str">
        <f>IF(ISBLANK(A158),"",LEFT(B159,27)&amp;VALUE(RIGHT(B159,1)+1))</f>
        <v>DKF250911AGACAP_20C_sample_3</v>
      </c>
      <c r="C160" s="6" t="str">
        <f t="shared" ref="C160:D160" si="185">C159</f>
        <v>Agathosma capensis</v>
      </c>
      <c r="D160" s="6" t="str">
        <f t="shared" si="185"/>
        <v>20C</v>
      </c>
      <c r="E160" s="10">
        <f>IF(ISBLANK(A158),"",E159+1)</f>
        <v>3</v>
      </c>
      <c r="F160" s="11">
        <f t="shared" si="186"/>
        <v>45912.54931</v>
      </c>
      <c r="G160" s="8">
        <v>2.713</v>
      </c>
    </row>
    <row r="161">
      <c r="A161" s="9" t="str">
        <f t="shared" si="184"/>
        <v>AGACAP</v>
      </c>
      <c r="B161" s="9" t="str">
        <f>IF(ISBLANK(A158),"",LEFT(B160,27)&amp;VALUE(RIGHT(B160,1)+1))</f>
        <v>DKF250911AGACAP_20C_sample_4</v>
      </c>
      <c r="C161" s="6" t="str">
        <f t="shared" ref="C161:D161" si="187">C160</f>
        <v>Agathosma capensis</v>
      </c>
      <c r="D161" s="6" t="str">
        <f t="shared" si="187"/>
        <v>20C</v>
      </c>
      <c r="E161" s="10">
        <f>IF(ISBLANK(A158),"",E160+1)</f>
        <v>4</v>
      </c>
      <c r="F161" s="11">
        <f t="shared" si="186"/>
        <v>45912.54931</v>
      </c>
      <c r="G161" s="8">
        <v>1.833</v>
      </c>
    </row>
    <row r="162">
      <c r="A162" s="9" t="str">
        <f t="shared" si="184"/>
        <v>AGACAP</v>
      </c>
      <c r="B162" s="9" t="str">
        <f>IF(ISBLANK(A158),"",LEFT(B161,27)&amp;VALUE(RIGHT(B161,1)+1))</f>
        <v>DKF250911AGACAP_20C_sample_5</v>
      </c>
      <c r="C162" s="6" t="str">
        <f t="shared" ref="C162:D162" si="188">C161</f>
        <v>Agathosma capensis</v>
      </c>
      <c r="D162" s="6" t="str">
        <f t="shared" si="188"/>
        <v>20C</v>
      </c>
      <c r="E162" s="10">
        <f>IF(ISBLANK(A158),"",E161+1)</f>
        <v>5</v>
      </c>
      <c r="F162" s="11">
        <f t="shared" si="186"/>
        <v>45912.54931</v>
      </c>
      <c r="G162" s="8">
        <v>0.765</v>
      </c>
    </row>
    <row r="163">
      <c r="A163" s="12" t="str">
        <f t="shared" si="184"/>
        <v>AGACAP</v>
      </c>
      <c r="B163" s="12" t="str">
        <f>IF(ISBLANK(A158),"",LEFT(B162,27)&amp;VALUE(RIGHT(B162,1)+1))</f>
        <v>DKF250911AGACAP_20C_sample_6</v>
      </c>
      <c r="C163" s="13" t="str">
        <f t="shared" ref="C163:D163" si="189">C162</f>
        <v>Agathosma capensis</v>
      </c>
      <c r="D163" s="13" t="str">
        <f t="shared" si="189"/>
        <v>20C</v>
      </c>
      <c r="E163" s="14">
        <f>IF(ISBLANK(A158),"",E162+1)</f>
        <v>6</v>
      </c>
      <c r="F163" s="15">
        <f t="shared" si="186"/>
        <v>45912.54931</v>
      </c>
      <c r="G163" s="16">
        <v>2.035</v>
      </c>
    </row>
    <row r="164">
      <c r="A164" s="5" t="s">
        <v>7</v>
      </c>
      <c r="B164" s="6" t="str">
        <f>IF(ISBLANK(A164),"",VLOOKUP($A164,'Data Feed (20C)'!$A$1:$G$14,2,FALSE))</f>
        <v>DKR250911PASOBT_20C_sample_1</v>
      </c>
      <c r="C164" s="6" t="str">
        <f>IF(ISBLANK(A164),"",VLOOKUP($A164,'Data Feed (20C)'!$A$1:$G$14,3,FALSE))</f>
        <v>Passerina obtusifolia</v>
      </c>
      <c r="D164" s="6" t="str">
        <f>IF(ISBLANK(A164),"",VLOOKUP($A164,'Data Feed (20C)'!$A$1:$G$14,4,FALSE))</f>
        <v>20C</v>
      </c>
      <c r="E164" s="6">
        <f>IF(ISBLANK(A164),"",VLOOKUP($A164,'Data Feed (20C)'!$A$1:$G$14,7,FALSE))</f>
        <v>1</v>
      </c>
      <c r="F164" s="7">
        <v>45912.55</v>
      </c>
      <c r="G164" s="8">
        <v>3.27</v>
      </c>
    </row>
    <row r="165">
      <c r="A165" s="9" t="str">
        <f t="shared" ref="A165:A169" si="191">A164</f>
        <v>PASOBT</v>
      </c>
      <c r="B165" s="9" t="str">
        <f>IF(ISBLANK(A164),"",LEFT(B164,27)&amp;VALUE(RIGHT(B164,1)+1))</f>
        <v>DKR250911PASOBT_20C_sample_2</v>
      </c>
      <c r="C165" s="6" t="str">
        <f t="shared" ref="C165:D165" si="190">C164</f>
        <v>Passerina obtusifolia</v>
      </c>
      <c r="D165" s="6" t="str">
        <f t="shared" si="190"/>
        <v>20C</v>
      </c>
      <c r="E165" s="10">
        <f>IF(ISBLANK(A164),"",E164+1)</f>
        <v>2</v>
      </c>
      <c r="F165" s="11">
        <f t="shared" ref="F165:F169" si="193">F164</f>
        <v>45912.55</v>
      </c>
      <c r="G165" s="8">
        <v>4.578</v>
      </c>
    </row>
    <row r="166">
      <c r="A166" s="9" t="str">
        <f t="shared" si="191"/>
        <v>PASOBT</v>
      </c>
      <c r="B166" s="9" t="str">
        <f>IF(ISBLANK(A164),"",LEFT(B165,27)&amp;VALUE(RIGHT(B165,1)+1))</f>
        <v>DKR250911PASOBT_20C_sample_3</v>
      </c>
      <c r="C166" s="6" t="str">
        <f t="shared" ref="C166:D166" si="192">C165</f>
        <v>Passerina obtusifolia</v>
      </c>
      <c r="D166" s="6" t="str">
        <f t="shared" si="192"/>
        <v>20C</v>
      </c>
      <c r="E166" s="10">
        <f>IF(ISBLANK(A164),"",E165+1)</f>
        <v>3</v>
      </c>
      <c r="F166" s="11">
        <f t="shared" si="193"/>
        <v>45912.55</v>
      </c>
      <c r="G166" s="8"/>
    </row>
    <row r="167">
      <c r="A167" s="9" t="str">
        <f t="shared" si="191"/>
        <v>PASOBT</v>
      </c>
      <c r="B167" s="9" t="str">
        <f>IF(ISBLANK(A164),"",LEFT(B166,27)&amp;VALUE(RIGHT(B166,1)+1))</f>
        <v>DKR250911PASOBT_20C_sample_4</v>
      </c>
      <c r="C167" s="6" t="str">
        <f t="shared" ref="C167:D167" si="194">C166</f>
        <v>Passerina obtusifolia</v>
      </c>
      <c r="D167" s="6" t="str">
        <f t="shared" si="194"/>
        <v>20C</v>
      </c>
      <c r="E167" s="10">
        <f>IF(ISBLANK(A164),"",E166+1)</f>
        <v>4</v>
      </c>
      <c r="F167" s="11">
        <f t="shared" si="193"/>
        <v>45912.55</v>
      </c>
      <c r="G167" s="8">
        <v>2.295</v>
      </c>
    </row>
    <row r="168">
      <c r="A168" s="9" t="str">
        <f t="shared" si="191"/>
        <v>PASOBT</v>
      </c>
      <c r="B168" s="9" t="str">
        <f>IF(ISBLANK(A164),"",LEFT(B167,27)&amp;VALUE(RIGHT(B167,1)+1))</f>
        <v>DKR250911PASOBT_20C_sample_5</v>
      </c>
      <c r="C168" s="6" t="str">
        <f t="shared" ref="C168:D168" si="195">C167</f>
        <v>Passerina obtusifolia</v>
      </c>
      <c r="D168" s="6" t="str">
        <f t="shared" si="195"/>
        <v>20C</v>
      </c>
      <c r="E168" s="10">
        <f>IF(ISBLANK(A164),"",E167+1)</f>
        <v>5</v>
      </c>
      <c r="F168" s="11">
        <f t="shared" si="193"/>
        <v>45912.55</v>
      </c>
      <c r="G168" s="8">
        <v>1.839</v>
      </c>
    </row>
    <row r="169">
      <c r="A169" s="12" t="str">
        <f t="shared" si="191"/>
        <v>PASOBT</v>
      </c>
      <c r="B169" s="12" t="str">
        <f>IF(ISBLANK(A164),"",LEFT(B168,27)&amp;VALUE(RIGHT(B168,1)+1))</f>
        <v>DKR250911PASOBT_20C_sample_6</v>
      </c>
      <c r="C169" s="13" t="str">
        <f t="shared" ref="C169:D169" si="196">C168</f>
        <v>Passerina obtusifolia</v>
      </c>
      <c r="D169" s="13" t="str">
        <f t="shared" si="196"/>
        <v>20C</v>
      </c>
      <c r="E169" s="14">
        <f>IF(ISBLANK(A164),"",E168+1)</f>
        <v>6</v>
      </c>
      <c r="F169" s="15">
        <f t="shared" si="193"/>
        <v>45912.55</v>
      </c>
      <c r="G169" s="16">
        <v>3.246</v>
      </c>
    </row>
    <row r="170">
      <c r="A170" s="5" t="s">
        <v>14</v>
      </c>
      <c r="B170" s="6" t="str">
        <f>IF(ISBLANK(A170),"",VLOOKUP($A170,'Data Feed (20C)'!$A$1:$G$14,2,FALSE))</f>
        <v>DKF250911ASPSHA_20C_sample_1</v>
      </c>
      <c r="C170" s="6" t="str">
        <f>IF(ISBLANK(A170),"",VLOOKUP($A170,'Data Feed (20C)'!$A$1:$G$14,3,FALSE))</f>
        <v>Aspalathus shawii</v>
      </c>
      <c r="D170" s="6" t="str">
        <f>IF(ISBLANK(A170),"",VLOOKUP($A170,'Data Feed (20C)'!$A$1:$G$14,4,FALSE))</f>
        <v>20C</v>
      </c>
      <c r="E170" s="6">
        <f>IF(ISBLANK(A170),"",VLOOKUP($A170,'Data Feed (20C)'!$A$1:$G$14,7,FALSE))</f>
        <v>1</v>
      </c>
      <c r="F170" s="7">
        <v>45912.55138888889</v>
      </c>
      <c r="G170" s="8">
        <v>15.73</v>
      </c>
    </row>
    <row r="171">
      <c r="A171" s="9" t="str">
        <f t="shared" ref="A171:A175" si="198">A170</f>
        <v>ASPSHA</v>
      </c>
      <c r="B171" s="9" t="str">
        <f>IF(ISBLANK(A170),"",LEFT(B170,27)&amp;VALUE(RIGHT(B170,1)+1))</f>
        <v>DKF250911ASPSHA_20C_sample_2</v>
      </c>
      <c r="C171" s="6" t="str">
        <f t="shared" ref="C171:D171" si="197">C170</f>
        <v>Aspalathus shawii</v>
      </c>
      <c r="D171" s="6" t="str">
        <f t="shared" si="197"/>
        <v>20C</v>
      </c>
      <c r="E171" s="10">
        <f>IF(ISBLANK(A170),"",E170+1)</f>
        <v>2</v>
      </c>
      <c r="F171" s="11">
        <f t="shared" ref="F171:F175" si="200">F170</f>
        <v>45912.55139</v>
      </c>
      <c r="G171" s="8">
        <v>10.925</v>
      </c>
    </row>
    <row r="172">
      <c r="A172" s="9" t="str">
        <f t="shared" si="198"/>
        <v>ASPSHA</v>
      </c>
      <c r="B172" s="9" t="str">
        <f>IF(ISBLANK(A170),"",LEFT(B171,27)&amp;VALUE(RIGHT(B171,1)+1))</f>
        <v>DKF250911ASPSHA_20C_sample_3</v>
      </c>
      <c r="C172" s="6" t="str">
        <f t="shared" ref="C172:D172" si="199">C171</f>
        <v>Aspalathus shawii</v>
      </c>
      <c r="D172" s="6" t="str">
        <f t="shared" si="199"/>
        <v>20C</v>
      </c>
      <c r="E172" s="10">
        <f>IF(ISBLANK(A170),"",E171+1)</f>
        <v>3</v>
      </c>
      <c r="F172" s="11">
        <f t="shared" si="200"/>
        <v>45912.55139</v>
      </c>
      <c r="G172" s="8">
        <v>6.082</v>
      </c>
    </row>
    <row r="173">
      <c r="A173" s="9" t="str">
        <f t="shared" si="198"/>
        <v>ASPSHA</v>
      </c>
      <c r="B173" s="9" t="str">
        <f>IF(ISBLANK(A170),"",LEFT(B172,27)&amp;VALUE(RIGHT(B172,1)+1))</f>
        <v>DKF250911ASPSHA_20C_sample_4</v>
      </c>
      <c r="C173" s="6" t="str">
        <f t="shared" ref="C173:D173" si="201">C172</f>
        <v>Aspalathus shawii</v>
      </c>
      <c r="D173" s="6" t="str">
        <f t="shared" si="201"/>
        <v>20C</v>
      </c>
      <c r="E173" s="10">
        <f>IF(ISBLANK(A170),"",E172+1)</f>
        <v>4</v>
      </c>
      <c r="F173" s="11">
        <f t="shared" si="200"/>
        <v>45912.55139</v>
      </c>
      <c r="G173" s="8">
        <v>14.992</v>
      </c>
    </row>
    <row r="174">
      <c r="A174" s="9" t="str">
        <f t="shared" si="198"/>
        <v>ASPSHA</v>
      </c>
      <c r="B174" s="9" t="str">
        <f>IF(ISBLANK(A170),"",LEFT(B173,27)&amp;VALUE(RIGHT(B173,1)+1))</f>
        <v>DKF250911ASPSHA_20C_sample_5</v>
      </c>
      <c r="C174" s="6" t="str">
        <f t="shared" ref="C174:D174" si="202">C173</f>
        <v>Aspalathus shawii</v>
      </c>
      <c r="D174" s="6" t="str">
        <f t="shared" si="202"/>
        <v>20C</v>
      </c>
      <c r="E174" s="10">
        <f>IF(ISBLANK(A170),"",E173+1)</f>
        <v>5</v>
      </c>
      <c r="F174" s="11">
        <f t="shared" si="200"/>
        <v>45912.55139</v>
      </c>
      <c r="G174" s="8">
        <v>4.651</v>
      </c>
    </row>
    <row r="175">
      <c r="A175" s="12" t="str">
        <f t="shared" si="198"/>
        <v>ASPSHA</v>
      </c>
      <c r="B175" s="12" t="str">
        <f>IF(ISBLANK(A170),"",LEFT(B174,27)&amp;VALUE(RIGHT(B174,1)+1))</f>
        <v>DKF250911ASPSHA_20C_sample_6</v>
      </c>
      <c r="C175" s="13" t="str">
        <f t="shared" ref="C175:D175" si="203">C174</f>
        <v>Aspalathus shawii</v>
      </c>
      <c r="D175" s="13" t="str">
        <f t="shared" si="203"/>
        <v>20C</v>
      </c>
      <c r="E175" s="14">
        <f>IF(ISBLANK(A170),"",E174+1)</f>
        <v>6</v>
      </c>
      <c r="F175" s="15">
        <f t="shared" si="200"/>
        <v>45912.55139</v>
      </c>
      <c r="G175" s="16">
        <v>12.643</v>
      </c>
    </row>
    <row r="176">
      <c r="A176" s="5" t="s">
        <v>19</v>
      </c>
      <c r="B176" s="6" t="str">
        <f>IF(ISBLANK(A176),"",VLOOKUP($A176,'Data Feed (20C)'!$A$1:$G$14,2,FALSE))</f>
        <v>DKR250911CLURUB_20C_sample_1</v>
      </c>
      <c r="C176" s="6" t="str">
        <f>IF(ISBLANK(A176),"",VLOOKUP($A176,'Data Feed (20C)'!$A$1:$G$14,3,FALSE))</f>
        <v>Clutia rubricaulis</v>
      </c>
      <c r="D176" s="6" t="str">
        <f>IF(ISBLANK(A176),"",VLOOKUP($A176,'Data Feed (20C)'!$A$1:$G$14,4,FALSE))</f>
        <v>20C</v>
      </c>
      <c r="E176" s="6">
        <f>IF(ISBLANK(A176),"",VLOOKUP($A176,'Data Feed (20C)'!$A$1:$G$14,7,FALSE))</f>
        <v>1</v>
      </c>
      <c r="F176" s="7">
        <v>45912.552777777775</v>
      </c>
      <c r="G176" s="8">
        <v>0.609</v>
      </c>
    </row>
    <row r="177">
      <c r="A177" s="9" t="str">
        <f t="shared" ref="A177:A181" si="205">A176</f>
        <v>CLURUB</v>
      </c>
      <c r="B177" s="9" t="str">
        <f>IF(ISBLANK(A176),"",LEFT(B176,27)&amp;VALUE(RIGHT(B176,1)+1))</f>
        <v>DKR250911CLURUB_20C_sample_2</v>
      </c>
      <c r="C177" s="6" t="str">
        <f t="shared" ref="C177:D177" si="204">C176</f>
        <v>Clutia rubricaulis</v>
      </c>
      <c r="D177" s="6" t="str">
        <f t="shared" si="204"/>
        <v>20C</v>
      </c>
      <c r="E177" s="10">
        <f>IF(ISBLANK(A176),"",E176+1)</f>
        <v>2</v>
      </c>
      <c r="F177" s="11">
        <f t="shared" ref="F177:F181" si="207">F176</f>
        <v>45912.55278</v>
      </c>
      <c r="G177" s="8">
        <v>0.453</v>
      </c>
    </row>
    <row r="178">
      <c r="A178" s="9" t="str">
        <f t="shared" si="205"/>
        <v>CLURUB</v>
      </c>
      <c r="B178" s="9" t="str">
        <f>IF(ISBLANK(A176),"",LEFT(B177,27)&amp;VALUE(RIGHT(B177,1)+1))</f>
        <v>DKR250911CLURUB_20C_sample_3</v>
      </c>
      <c r="C178" s="6" t="str">
        <f t="shared" ref="C178:D178" si="206">C177</f>
        <v>Clutia rubricaulis</v>
      </c>
      <c r="D178" s="6" t="str">
        <f t="shared" si="206"/>
        <v>20C</v>
      </c>
      <c r="E178" s="10">
        <f>IF(ISBLANK(A176),"",E177+1)</f>
        <v>3</v>
      </c>
      <c r="F178" s="11">
        <f t="shared" si="207"/>
        <v>45912.55278</v>
      </c>
      <c r="G178" s="8">
        <v>0.595</v>
      </c>
    </row>
    <row r="179">
      <c r="A179" s="9" t="str">
        <f t="shared" si="205"/>
        <v>CLURUB</v>
      </c>
      <c r="B179" s="9" t="str">
        <f>IF(ISBLANK(A176),"",LEFT(B178,27)&amp;VALUE(RIGHT(B178,1)+1))</f>
        <v>DKR250911CLURUB_20C_sample_4</v>
      </c>
      <c r="C179" s="6" t="str">
        <f t="shared" ref="C179:D179" si="208">C178</f>
        <v>Clutia rubricaulis</v>
      </c>
      <c r="D179" s="6" t="str">
        <f t="shared" si="208"/>
        <v>20C</v>
      </c>
      <c r="E179" s="10">
        <f>IF(ISBLANK(A176),"",E178+1)</f>
        <v>4</v>
      </c>
      <c r="F179" s="11">
        <f t="shared" si="207"/>
        <v>45912.55278</v>
      </c>
      <c r="G179" s="8">
        <v>0.26</v>
      </c>
    </row>
    <row r="180">
      <c r="A180" s="9" t="str">
        <f t="shared" si="205"/>
        <v>CLURUB</v>
      </c>
      <c r="B180" s="9" t="str">
        <f>IF(ISBLANK(A176),"",LEFT(B179,27)&amp;VALUE(RIGHT(B179,1)+1))</f>
        <v>DKR250911CLURUB_20C_sample_5</v>
      </c>
      <c r="C180" s="6" t="str">
        <f t="shared" ref="C180:D180" si="209">C179</f>
        <v>Clutia rubricaulis</v>
      </c>
      <c r="D180" s="6" t="str">
        <f t="shared" si="209"/>
        <v>20C</v>
      </c>
      <c r="E180" s="10">
        <f>IF(ISBLANK(A176),"",E179+1)</f>
        <v>5</v>
      </c>
      <c r="F180" s="11">
        <f t="shared" si="207"/>
        <v>45912.55278</v>
      </c>
      <c r="G180" s="8">
        <v>0.597</v>
      </c>
    </row>
    <row r="181">
      <c r="A181" s="12" t="str">
        <f t="shared" si="205"/>
        <v>CLURUB</v>
      </c>
      <c r="B181" s="12" t="str">
        <f>IF(ISBLANK(A176),"",LEFT(B180,27)&amp;VALUE(RIGHT(B180,1)+1))</f>
        <v>DKR250911CLURUB_20C_sample_6</v>
      </c>
      <c r="C181" s="13" t="str">
        <f t="shared" ref="C181:D181" si="210">C180</f>
        <v>Clutia rubricaulis</v>
      </c>
      <c r="D181" s="13" t="str">
        <f t="shared" si="210"/>
        <v>20C</v>
      </c>
      <c r="E181" s="14">
        <f>IF(ISBLANK(A176),"",E180+1)</f>
        <v>6</v>
      </c>
      <c r="F181" s="15">
        <f t="shared" si="207"/>
        <v>45912.55278</v>
      </c>
      <c r="G181" s="16">
        <v>0.544</v>
      </c>
    </row>
    <row r="182">
      <c r="A182" s="5" t="s">
        <v>9</v>
      </c>
      <c r="B182" s="6" t="str">
        <f>IF(ISBLANK(A182),"",VLOOKUP($A182,'Data Feed (20C)'!$A$1:$G$14,2,FALSE))</f>
        <v>DKR250911PROLAU_20C_sample_1</v>
      </c>
      <c r="C182" s="6" t="str">
        <f>IF(ISBLANK(A182),"",VLOOKUP($A182,'Data Feed (20C)'!$A$1:$G$14,3,FALSE))</f>
        <v>Protea laurifolia</v>
      </c>
      <c r="D182" s="6" t="str">
        <f>IF(ISBLANK(A182),"",VLOOKUP($A182,'Data Feed (20C)'!$A$1:$G$14,4,FALSE))</f>
        <v>20C</v>
      </c>
      <c r="E182" s="6">
        <f>IF(ISBLANK(A182),"",VLOOKUP($A182,'Data Feed (20C)'!$A$1:$G$14,7,FALSE))</f>
        <v>1</v>
      </c>
      <c r="F182" s="7">
        <v>45912.55347222222</v>
      </c>
      <c r="G182" s="8">
        <v>1.052</v>
      </c>
    </row>
    <row r="183">
      <c r="A183" s="9" t="str">
        <f t="shared" ref="A183:A187" si="212">A182</f>
        <v>PROLAU</v>
      </c>
      <c r="B183" s="9" t="str">
        <f>IF(ISBLANK(A182),"",LEFT(B182,27)&amp;VALUE(RIGHT(B182,1)+1))</f>
        <v>DKR250911PROLAU_20C_sample_2</v>
      </c>
      <c r="C183" s="6" t="str">
        <f t="shared" ref="C183:D183" si="211">C182</f>
        <v>Protea laurifolia</v>
      </c>
      <c r="D183" s="6" t="str">
        <f t="shared" si="211"/>
        <v>20C</v>
      </c>
      <c r="E183" s="10">
        <f>IF(ISBLANK(A182),"",E182+1)</f>
        <v>2</v>
      </c>
      <c r="F183" s="11">
        <f t="shared" ref="F183:F187" si="214">F182</f>
        <v>45912.55347</v>
      </c>
      <c r="G183" s="8">
        <v>1.283</v>
      </c>
    </row>
    <row r="184">
      <c r="A184" s="9" t="str">
        <f t="shared" si="212"/>
        <v>PROLAU</v>
      </c>
      <c r="B184" s="9" t="str">
        <f>IF(ISBLANK(A182),"",LEFT(B183,27)&amp;VALUE(RIGHT(B183,1)+1))</f>
        <v>DKR250911PROLAU_20C_sample_3</v>
      </c>
      <c r="C184" s="6" t="str">
        <f t="shared" ref="C184:D184" si="213">C183</f>
        <v>Protea laurifolia</v>
      </c>
      <c r="D184" s="6" t="str">
        <f t="shared" si="213"/>
        <v>20C</v>
      </c>
      <c r="E184" s="10">
        <f>IF(ISBLANK(A182),"",E183+1)</f>
        <v>3</v>
      </c>
      <c r="F184" s="11">
        <f t="shared" si="214"/>
        <v>45912.55347</v>
      </c>
      <c r="G184" s="8">
        <v>1.175</v>
      </c>
    </row>
    <row r="185">
      <c r="A185" s="9" t="str">
        <f t="shared" si="212"/>
        <v>PROLAU</v>
      </c>
      <c r="B185" s="9" t="str">
        <f>IF(ISBLANK(A182),"",LEFT(B184,27)&amp;VALUE(RIGHT(B184,1)+1))</f>
        <v>DKR250911PROLAU_20C_sample_4</v>
      </c>
      <c r="C185" s="6" t="str">
        <f t="shared" ref="C185:D185" si="215">C184</f>
        <v>Protea laurifolia</v>
      </c>
      <c r="D185" s="6" t="str">
        <f t="shared" si="215"/>
        <v>20C</v>
      </c>
      <c r="E185" s="10">
        <f>IF(ISBLANK(A182),"",E184+1)</f>
        <v>4</v>
      </c>
      <c r="F185" s="11">
        <f t="shared" si="214"/>
        <v>45912.55347</v>
      </c>
      <c r="G185" s="8">
        <v>0.58</v>
      </c>
    </row>
    <row r="186">
      <c r="A186" s="9" t="str">
        <f t="shared" si="212"/>
        <v>PROLAU</v>
      </c>
      <c r="B186" s="9" t="str">
        <f>IF(ISBLANK(A182),"",LEFT(B185,27)&amp;VALUE(RIGHT(B185,1)+1))</f>
        <v>DKR250911PROLAU_20C_sample_5</v>
      </c>
      <c r="C186" s="6" t="str">
        <f t="shared" ref="C186:D186" si="216">C185</f>
        <v>Protea laurifolia</v>
      </c>
      <c r="D186" s="6" t="str">
        <f t="shared" si="216"/>
        <v>20C</v>
      </c>
      <c r="E186" s="10">
        <f>IF(ISBLANK(A182),"",E185+1)</f>
        <v>5</v>
      </c>
      <c r="F186" s="11">
        <f t="shared" si="214"/>
        <v>45912.55347</v>
      </c>
      <c r="G186" s="8">
        <v>1.022</v>
      </c>
    </row>
    <row r="187">
      <c r="A187" s="12" t="str">
        <f t="shared" si="212"/>
        <v>PROLAU</v>
      </c>
      <c r="B187" s="12" t="str">
        <f>IF(ISBLANK(A182),"",LEFT(B186,27)&amp;VALUE(RIGHT(B186,1)+1))</f>
        <v>DKR250911PROLAU_20C_sample_6</v>
      </c>
      <c r="C187" s="13" t="str">
        <f t="shared" ref="C187:D187" si="217">C186</f>
        <v>Protea laurifolia</v>
      </c>
      <c r="D187" s="13" t="str">
        <f t="shared" si="217"/>
        <v>20C</v>
      </c>
      <c r="E187" s="14">
        <f>IF(ISBLANK(A182),"",E186+1)</f>
        <v>6</v>
      </c>
      <c r="F187" s="15">
        <f t="shared" si="214"/>
        <v>45912.55347</v>
      </c>
      <c r="G187" s="16">
        <v>1.041</v>
      </c>
    </row>
    <row r="188">
      <c r="A188" s="5" t="s">
        <v>15</v>
      </c>
      <c r="B188" s="6" t="str">
        <f>IF(ISBLANK(A188),"",VLOOKUP($A188,'Data Feed (20C)'!$A$1:$G$14,2,FALSE))</f>
        <v>DKR250911ELYRHI_20C_sample_1</v>
      </c>
      <c r="C188" s="6" t="str">
        <f>IF(ISBLANK(A188),"",VLOOKUP($A188,'Data Feed (20C)'!$A$1:$G$14,3,FALSE))</f>
        <v>Elytropappus rhinocerotis</v>
      </c>
      <c r="D188" s="6" t="str">
        <f>IF(ISBLANK(A188),"",VLOOKUP($A188,'Data Feed (20C)'!$A$1:$G$14,4,FALSE))</f>
        <v>20C</v>
      </c>
      <c r="E188" s="6">
        <f>IF(ISBLANK(A188),"",VLOOKUP($A188,'Data Feed (20C)'!$A$1:$G$14,7,FALSE))</f>
        <v>1</v>
      </c>
      <c r="F188" s="7">
        <v>45912.555555555555</v>
      </c>
      <c r="G188" s="8">
        <v>4.041</v>
      </c>
    </row>
    <row r="189">
      <c r="A189" s="9" t="str">
        <f t="shared" ref="A189:A193" si="219">A188</f>
        <v>ELYRHI</v>
      </c>
      <c r="B189" s="9" t="str">
        <f>IF(ISBLANK(A188),"",LEFT(B188,27)&amp;VALUE(RIGHT(B188,1)+1))</f>
        <v>DKR250911ELYRHI_20C_sample_2</v>
      </c>
      <c r="C189" s="6" t="str">
        <f t="shared" ref="C189:D189" si="218">C188</f>
        <v>Elytropappus rhinocerotis</v>
      </c>
      <c r="D189" s="6" t="str">
        <f t="shared" si="218"/>
        <v>20C</v>
      </c>
      <c r="E189" s="10">
        <f>IF(ISBLANK(A188),"",E188+1)</f>
        <v>2</v>
      </c>
      <c r="F189" s="11">
        <f t="shared" ref="F189:F193" si="221">F188</f>
        <v>45912.55556</v>
      </c>
      <c r="G189" s="8">
        <v>4.483</v>
      </c>
    </row>
    <row r="190">
      <c r="A190" s="9" t="str">
        <f t="shared" si="219"/>
        <v>ELYRHI</v>
      </c>
      <c r="B190" s="9" t="str">
        <f>IF(ISBLANK(A188),"",LEFT(B189,27)&amp;VALUE(RIGHT(B189,1)+1))</f>
        <v>DKR250911ELYRHI_20C_sample_3</v>
      </c>
      <c r="C190" s="6" t="str">
        <f t="shared" ref="C190:D190" si="220">C189</f>
        <v>Elytropappus rhinocerotis</v>
      </c>
      <c r="D190" s="6" t="str">
        <f t="shared" si="220"/>
        <v>20C</v>
      </c>
      <c r="E190" s="10">
        <f>IF(ISBLANK(A188),"",E189+1)</f>
        <v>3</v>
      </c>
      <c r="F190" s="11">
        <f t="shared" si="221"/>
        <v>45912.55556</v>
      </c>
      <c r="G190" s="8">
        <v>7.279</v>
      </c>
    </row>
    <row r="191">
      <c r="A191" s="9" t="str">
        <f t="shared" si="219"/>
        <v>ELYRHI</v>
      </c>
      <c r="B191" s="9" t="str">
        <f>IF(ISBLANK(A188),"",LEFT(B190,27)&amp;VALUE(RIGHT(B190,1)+1))</f>
        <v>DKR250911ELYRHI_20C_sample_4</v>
      </c>
      <c r="C191" s="6" t="str">
        <f t="shared" ref="C191:D191" si="222">C190</f>
        <v>Elytropappus rhinocerotis</v>
      </c>
      <c r="D191" s="6" t="str">
        <f t="shared" si="222"/>
        <v>20C</v>
      </c>
      <c r="E191" s="10">
        <f>IF(ISBLANK(A188),"",E190+1)</f>
        <v>4</v>
      </c>
      <c r="F191" s="11">
        <f t="shared" si="221"/>
        <v>45912.55556</v>
      </c>
      <c r="G191" s="8">
        <v>4.357</v>
      </c>
    </row>
    <row r="192">
      <c r="A192" s="9" t="str">
        <f t="shared" si="219"/>
        <v>ELYRHI</v>
      </c>
      <c r="B192" s="9" t="str">
        <f>IF(ISBLANK(A188),"",LEFT(B191,27)&amp;VALUE(RIGHT(B191,1)+1))</f>
        <v>DKR250911ELYRHI_20C_sample_5</v>
      </c>
      <c r="C192" s="6" t="str">
        <f t="shared" ref="C192:D192" si="223">C191</f>
        <v>Elytropappus rhinocerotis</v>
      </c>
      <c r="D192" s="6" t="str">
        <f t="shared" si="223"/>
        <v>20C</v>
      </c>
      <c r="E192" s="10">
        <f>IF(ISBLANK(A188),"",E191+1)</f>
        <v>5</v>
      </c>
      <c r="F192" s="11">
        <f t="shared" si="221"/>
        <v>45912.55556</v>
      </c>
      <c r="G192" s="8">
        <v>2.832</v>
      </c>
    </row>
    <row r="193">
      <c r="A193" s="12" t="str">
        <f t="shared" si="219"/>
        <v>ELYRHI</v>
      </c>
      <c r="B193" s="12" t="str">
        <f>IF(ISBLANK(A188),"",LEFT(B192,27)&amp;VALUE(RIGHT(B192,1)+1))</f>
        <v>DKR250911ELYRHI_20C_sample_6</v>
      </c>
      <c r="C193" s="13" t="str">
        <f t="shared" ref="C193:D193" si="224">C192</f>
        <v>Elytropappus rhinocerotis</v>
      </c>
      <c r="D193" s="13" t="str">
        <f t="shared" si="224"/>
        <v>20C</v>
      </c>
      <c r="E193" s="14">
        <f>IF(ISBLANK(A188),"",E192+1)</f>
        <v>6</v>
      </c>
      <c r="F193" s="15">
        <f t="shared" si="221"/>
        <v>45912.55556</v>
      </c>
      <c r="G193" s="16">
        <v>2.37</v>
      </c>
    </row>
    <row r="194">
      <c r="A194" s="5" t="s">
        <v>8</v>
      </c>
      <c r="B194" s="6" t="str">
        <f>IF(ISBLANK(A194),"",VLOOKUP($A194,'Data Feed (20C)'!$A$1:$G$14,2,FALSE))</f>
        <v>DKF250911PROLOR_20C_sample_1</v>
      </c>
      <c r="C194" s="6" t="str">
        <f>IF(ISBLANK(A194),"",VLOOKUP($A194,'Data Feed (20C)'!$A$1:$G$14,3,FALSE))</f>
        <v>Protea lorifolia</v>
      </c>
      <c r="D194" s="6" t="str">
        <f>IF(ISBLANK(A194),"",VLOOKUP($A194,'Data Feed (20C)'!$A$1:$G$14,4,FALSE))</f>
        <v>20C</v>
      </c>
      <c r="E194" s="6">
        <f>IF(ISBLANK(A194),"",VLOOKUP($A194,'Data Feed (20C)'!$A$1:$G$14,7,FALSE))</f>
        <v>1</v>
      </c>
      <c r="F194" s="7">
        <v>45912.55625</v>
      </c>
      <c r="G194" s="8">
        <v>3.304</v>
      </c>
    </row>
    <row r="195">
      <c r="A195" s="9" t="str">
        <f t="shared" ref="A195:A199" si="226">A194</f>
        <v>PROLOR</v>
      </c>
      <c r="B195" s="9" t="str">
        <f>IF(ISBLANK(A194),"",LEFT(B194,27)&amp;VALUE(RIGHT(B194,1)+1))</f>
        <v>DKF250911PROLOR_20C_sample_2</v>
      </c>
      <c r="C195" s="6" t="str">
        <f t="shared" ref="C195:D195" si="225">C194</f>
        <v>Protea lorifolia</v>
      </c>
      <c r="D195" s="6" t="str">
        <f t="shared" si="225"/>
        <v>20C</v>
      </c>
      <c r="E195" s="10">
        <f>IF(ISBLANK(A194),"",E194+1)</f>
        <v>2</v>
      </c>
      <c r="F195" s="11">
        <f t="shared" ref="F195:F199" si="228">F194</f>
        <v>45912.55625</v>
      </c>
      <c r="G195" s="8">
        <v>3.782</v>
      </c>
    </row>
    <row r="196">
      <c r="A196" s="9" t="str">
        <f t="shared" si="226"/>
        <v>PROLOR</v>
      </c>
      <c r="B196" s="9" t="str">
        <f>IF(ISBLANK(A194),"",LEFT(B195,27)&amp;VALUE(RIGHT(B195,1)+1))</f>
        <v>DKF250911PROLOR_20C_sample_3</v>
      </c>
      <c r="C196" s="6" t="str">
        <f t="shared" ref="C196:D196" si="227">C195</f>
        <v>Protea lorifolia</v>
      </c>
      <c r="D196" s="6" t="str">
        <f t="shared" si="227"/>
        <v>20C</v>
      </c>
      <c r="E196" s="10">
        <f>IF(ISBLANK(A194),"",E195+1)</f>
        <v>3</v>
      </c>
      <c r="F196" s="11">
        <f t="shared" si="228"/>
        <v>45912.55625</v>
      </c>
      <c r="G196" s="8">
        <v>3.963</v>
      </c>
    </row>
    <row r="197">
      <c r="A197" s="9" t="str">
        <f t="shared" si="226"/>
        <v>PROLOR</v>
      </c>
      <c r="B197" s="9" t="str">
        <f>IF(ISBLANK(A194),"",LEFT(B196,27)&amp;VALUE(RIGHT(B196,1)+1))</f>
        <v>DKF250911PROLOR_20C_sample_4</v>
      </c>
      <c r="C197" s="6" t="str">
        <f t="shared" ref="C197:D197" si="229">C196</f>
        <v>Protea lorifolia</v>
      </c>
      <c r="D197" s="6" t="str">
        <f t="shared" si="229"/>
        <v>20C</v>
      </c>
      <c r="E197" s="10">
        <f>IF(ISBLANK(A194),"",E196+1)</f>
        <v>4</v>
      </c>
      <c r="F197" s="11">
        <f t="shared" si="228"/>
        <v>45912.55625</v>
      </c>
      <c r="G197" s="8">
        <v>3.151</v>
      </c>
    </row>
    <row r="198">
      <c r="A198" s="9" t="str">
        <f t="shared" si="226"/>
        <v>PROLOR</v>
      </c>
      <c r="B198" s="9" t="str">
        <f>IF(ISBLANK(A194),"",LEFT(B197,27)&amp;VALUE(RIGHT(B197,1)+1))</f>
        <v>DKF250911PROLOR_20C_sample_5</v>
      </c>
      <c r="C198" s="6" t="str">
        <f t="shared" ref="C198:D198" si="230">C197</f>
        <v>Protea lorifolia</v>
      </c>
      <c r="D198" s="6" t="str">
        <f t="shared" si="230"/>
        <v>20C</v>
      </c>
      <c r="E198" s="10">
        <f>IF(ISBLANK(A194),"",E197+1)</f>
        <v>5</v>
      </c>
      <c r="F198" s="11">
        <f t="shared" si="228"/>
        <v>45912.55625</v>
      </c>
      <c r="G198" s="8">
        <v>5.838</v>
      </c>
    </row>
    <row r="199">
      <c r="A199" s="12" t="str">
        <f t="shared" si="226"/>
        <v>PROLOR</v>
      </c>
      <c r="B199" s="12" t="str">
        <f>IF(ISBLANK(A194),"",LEFT(B198,27)&amp;VALUE(RIGHT(B198,1)+1))</f>
        <v>DKF250911PROLOR_20C_sample_6</v>
      </c>
      <c r="C199" s="13" t="str">
        <f t="shared" ref="C199:D199" si="231">C198</f>
        <v>Protea lorifolia</v>
      </c>
      <c r="D199" s="13" t="str">
        <f t="shared" si="231"/>
        <v>20C</v>
      </c>
      <c r="E199" s="14">
        <f>IF(ISBLANK(A194),"",E198+1)</f>
        <v>6</v>
      </c>
      <c r="F199" s="15">
        <f t="shared" si="228"/>
        <v>45912.55625</v>
      </c>
      <c r="G199" s="16">
        <v>4.779</v>
      </c>
    </row>
    <row r="200">
      <c r="A200" s="5" t="s">
        <v>10</v>
      </c>
      <c r="B200" s="6" t="str">
        <f>IF(ISBLANK(A200),"",VLOOKUP($A200,'Data Feed (20C)'!$A$1:$G$14,2,FALSE))</f>
        <v>DKF250911LOBDEC_20C_sample_1</v>
      </c>
      <c r="C200" s="6" t="str">
        <f>IF(ISBLANK(A200),"",VLOOKUP($A200,'Data Feed (20C)'!$A$1:$G$14,3,FALSE))</f>
        <v>Lobostemon decorus</v>
      </c>
      <c r="D200" s="6" t="str">
        <f>IF(ISBLANK(A200),"",VLOOKUP($A200,'Data Feed (20C)'!$A$1:$G$14,4,FALSE))</f>
        <v>20C</v>
      </c>
      <c r="E200" s="6">
        <f>IF(ISBLANK(A200),"",VLOOKUP($A200,'Data Feed (20C)'!$A$1:$G$14,7,FALSE))</f>
        <v>1</v>
      </c>
      <c r="F200" s="7">
        <v>45912.55694444444</v>
      </c>
      <c r="G200" s="8">
        <v>11.747</v>
      </c>
    </row>
    <row r="201">
      <c r="A201" s="9" t="str">
        <f t="shared" ref="A201:A205" si="233">A200</f>
        <v>LOBDEC</v>
      </c>
      <c r="B201" s="9" t="str">
        <f>IF(ISBLANK(A200),"",LEFT(B200,27)&amp;VALUE(RIGHT(B200,1)+1))</f>
        <v>DKF250911LOBDEC_20C_sample_2</v>
      </c>
      <c r="C201" s="6" t="str">
        <f t="shared" ref="C201:D201" si="232">C200</f>
        <v>Lobostemon decorus</v>
      </c>
      <c r="D201" s="6" t="str">
        <f t="shared" si="232"/>
        <v>20C</v>
      </c>
      <c r="E201" s="10">
        <f>IF(ISBLANK(A200),"",E200+1)</f>
        <v>2</v>
      </c>
      <c r="F201" s="11">
        <f t="shared" ref="F201:F205" si="235">F200</f>
        <v>45912.55694</v>
      </c>
      <c r="G201" s="8">
        <v>9.089</v>
      </c>
    </row>
    <row r="202">
      <c r="A202" s="9" t="str">
        <f t="shared" si="233"/>
        <v>LOBDEC</v>
      </c>
      <c r="B202" s="9" t="str">
        <f>IF(ISBLANK(A200),"",LEFT(B201,27)&amp;VALUE(RIGHT(B201,1)+1))</f>
        <v>DKF250911LOBDEC_20C_sample_3</v>
      </c>
      <c r="C202" s="6" t="str">
        <f t="shared" ref="C202:D202" si="234">C201</f>
        <v>Lobostemon decorus</v>
      </c>
      <c r="D202" s="6" t="str">
        <f t="shared" si="234"/>
        <v>20C</v>
      </c>
      <c r="E202" s="10">
        <f>IF(ISBLANK(A200),"",E201+1)</f>
        <v>3</v>
      </c>
      <c r="F202" s="11">
        <f t="shared" si="235"/>
        <v>45912.55694</v>
      </c>
      <c r="G202" s="8">
        <v>12.073</v>
      </c>
    </row>
    <row r="203">
      <c r="A203" s="9" t="str">
        <f t="shared" si="233"/>
        <v>LOBDEC</v>
      </c>
      <c r="B203" s="9" t="str">
        <f>IF(ISBLANK(A200),"",LEFT(B202,27)&amp;VALUE(RIGHT(B202,1)+1))</f>
        <v>DKF250911LOBDEC_20C_sample_4</v>
      </c>
      <c r="C203" s="6" t="str">
        <f t="shared" ref="C203:D203" si="236">C202</f>
        <v>Lobostemon decorus</v>
      </c>
      <c r="D203" s="6" t="str">
        <f t="shared" si="236"/>
        <v>20C</v>
      </c>
      <c r="E203" s="10">
        <f>IF(ISBLANK(A200),"",E202+1)</f>
        <v>4</v>
      </c>
      <c r="F203" s="11">
        <f t="shared" si="235"/>
        <v>45912.55694</v>
      </c>
      <c r="G203" s="8">
        <v>8.445</v>
      </c>
    </row>
    <row r="204">
      <c r="A204" s="9" t="str">
        <f t="shared" si="233"/>
        <v>LOBDEC</v>
      </c>
      <c r="B204" s="9" t="str">
        <f>IF(ISBLANK(A200),"",LEFT(B203,27)&amp;VALUE(RIGHT(B203,1)+1))</f>
        <v>DKF250911LOBDEC_20C_sample_5</v>
      </c>
      <c r="C204" s="6" t="str">
        <f t="shared" ref="C204:D204" si="237">C203</f>
        <v>Lobostemon decorus</v>
      </c>
      <c r="D204" s="6" t="str">
        <f t="shared" si="237"/>
        <v>20C</v>
      </c>
      <c r="E204" s="10">
        <f>IF(ISBLANK(A200),"",E203+1)</f>
        <v>5</v>
      </c>
      <c r="F204" s="11">
        <f t="shared" si="235"/>
        <v>45912.55694</v>
      </c>
      <c r="G204" s="8">
        <v>5.617</v>
      </c>
    </row>
    <row r="205">
      <c r="A205" s="12" t="str">
        <f t="shared" si="233"/>
        <v>LOBDEC</v>
      </c>
      <c r="B205" s="12" t="str">
        <f>IF(ISBLANK(A200),"",LEFT(B204,27)&amp;VALUE(RIGHT(B204,1)+1))</f>
        <v>DKF250911LOBDEC_20C_sample_6</v>
      </c>
      <c r="C205" s="13" t="str">
        <f t="shared" ref="C205:D205" si="238">C204</f>
        <v>Lobostemon decorus</v>
      </c>
      <c r="D205" s="13" t="str">
        <f t="shared" si="238"/>
        <v>20C</v>
      </c>
      <c r="E205" s="14">
        <f>IF(ISBLANK(A200),"",E204+1)</f>
        <v>6</v>
      </c>
      <c r="F205" s="15">
        <f t="shared" si="235"/>
        <v>45912.55694</v>
      </c>
      <c r="G205" s="16">
        <v>5.779</v>
      </c>
    </row>
    <row r="206">
      <c r="A206" s="5" t="s">
        <v>13</v>
      </c>
      <c r="B206" s="6" t="str">
        <f>IF(ISBLANK(A206),"",VLOOKUP($A206,'Data Feed (20C)'!$A$1:$G$14,2,FALSE))</f>
        <v>DKR250911RUSMUL_20C_sample_1</v>
      </c>
      <c r="C206" s="6" t="str">
        <f>IF(ISBLANK(A206),"",VLOOKUP($A206,'Data Feed (20C)'!$A$1:$G$14,3,FALSE))</f>
        <v>Ruschia multiflora</v>
      </c>
      <c r="D206" s="6" t="str">
        <f>IF(ISBLANK(A206),"",VLOOKUP($A206,'Data Feed (20C)'!$A$1:$G$14,4,FALSE))</f>
        <v>20C</v>
      </c>
      <c r="E206" s="6">
        <f>IF(ISBLANK(A206),"",VLOOKUP($A206,'Data Feed (20C)'!$A$1:$G$14,7,FALSE))</f>
        <v>1</v>
      </c>
      <c r="F206" s="7">
        <v>45912.558333333334</v>
      </c>
      <c r="G206" s="8">
        <v>3.414</v>
      </c>
    </row>
    <row r="207">
      <c r="A207" s="9" t="str">
        <f t="shared" ref="A207:A211" si="240">A206</f>
        <v>RUSMUL</v>
      </c>
      <c r="B207" s="9" t="str">
        <f>IF(ISBLANK(A206),"",LEFT(B206,27)&amp;VALUE(RIGHT(B206,1)+1))</f>
        <v>DKR250911RUSMUL_20C_sample_2</v>
      </c>
      <c r="C207" s="6" t="str">
        <f t="shared" ref="C207:D207" si="239">C206</f>
        <v>Ruschia multiflora</v>
      </c>
      <c r="D207" s="6" t="str">
        <f t="shared" si="239"/>
        <v>20C</v>
      </c>
      <c r="E207" s="10">
        <f>IF(ISBLANK(A206),"",E206+1)</f>
        <v>2</v>
      </c>
      <c r="F207" s="11">
        <f t="shared" ref="F207:F211" si="242">F206</f>
        <v>45912.55833</v>
      </c>
      <c r="G207" s="8">
        <v>4.504</v>
      </c>
    </row>
    <row r="208">
      <c r="A208" s="9" t="str">
        <f t="shared" si="240"/>
        <v>RUSMUL</v>
      </c>
      <c r="B208" s="9" t="str">
        <f>IF(ISBLANK(A206),"",LEFT(B207,27)&amp;VALUE(RIGHT(B207,1)+1))</f>
        <v>DKR250911RUSMUL_20C_sample_3</v>
      </c>
      <c r="C208" s="6" t="str">
        <f t="shared" ref="C208:D208" si="241">C207</f>
        <v>Ruschia multiflora</v>
      </c>
      <c r="D208" s="6" t="str">
        <f t="shared" si="241"/>
        <v>20C</v>
      </c>
      <c r="E208" s="10">
        <f>IF(ISBLANK(A206),"",E207+1)</f>
        <v>3</v>
      </c>
      <c r="F208" s="11">
        <f t="shared" si="242"/>
        <v>45912.55833</v>
      </c>
      <c r="G208" s="8">
        <v>8.36</v>
      </c>
    </row>
    <row r="209">
      <c r="A209" s="9" t="str">
        <f t="shared" si="240"/>
        <v>RUSMUL</v>
      </c>
      <c r="B209" s="9" t="str">
        <f>IF(ISBLANK(A206),"",LEFT(B208,27)&amp;VALUE(RIGHT(B208,1)+1))</f>
        <v>DKR250911RUSMUL_20C_sample_4</v>
      </c>
      <c r="C209" s="6" t="str">
        <f t="shared" ref="C209:D209" si="243">C208</f>
        <v>Ruschia multiflora</v>
      </c>
      <c r="D209" s="6" t="str">
        <f t="shared" si="243"/>
        <v>20C</v>
      </c>
      <c r="E209" s="10">
        <f>IF(ISBLANK(A206),"",E208+1)</f>
        <v>4</v>
      </c>
      <c r="F209" s="11">
        <f t="shared" si="242"/>
        <v>45912.55833</v>
      </c>
      <c r="G209" s="8">
        <v>4.663</v>
      </c>
    </row>
    <row r="210">
      <c r="A210" s="9" t="str">
        <f t="shared" si="240"/>
        <v>RUSMUL</v>
      </c>
      <c r="B210" s="9" t="str">
        <f>IF(ISBLANK(A206),"",LEFT(B209,27)&amp;VALUE(RIGHT(B209,1)+1))</f>
        <v>DKR250911RUSMUL_20C_sample_5</v>
      </c>
      <c r="C210" s="6" t="str">
        <f t="shared" ref="C210:D210" si="244">C209</f>
        <v>Ruschia multiflora</v>
      </c>
      <c r="D210" s="6" t="str">
        <f t="shared" si="244"/>
        <v>20C</v>
      </c>
      <c r="E210" s="10">
        <f>IF(ISBLANK(A206),"",E209+1)</f>
        <v>5</v>
      </c>
      <c r="F210" s="11">
        <f t="shared" si="242"/>
        <v>45912.55833</v>
      </c>
      <c r="G210" s="8">
        <v>3.789</v>
      </c>
    </row>
    <row r="211">
      <c r="A211" s="12" t="str">
        <f t="shared" si="240"/>
        <v>RUSMUL</v>
      </c>
      <c r="B211" s="12" t="str">
        <f>IF(ISBLANK(A206),"",LEFT(B210,27)&amp;VALUE(RIGHT(B210,1)+1))</f>
        <v>DKR250911RUSMUL_20C_sample_6</v>
      </c>
      <c r="C211" s="13" t="str">
        <f t="shared" ref="C211:D211" si="245">C210</f>
        <v>Ruschia multiflora</v>
      </c>
      <c r="D211" s="13" t="str">
        <f t="shared" si="245"/>
        <v>20C</v>
      </c>
      <c r="E211" s="14">
        <f>IF(ISBLANK(A206),"",E210+1)</f>
        <v>6</v>
      </c>
      <c r="F211" s="15">
        <f t="shared" si="242"/>
        <v>45912.55833</v>
      </c>
      <c r="G211" s="16">
        <v>3.167</v>
      </c>
    </row>
    <row r="212">
      <c r="A212" s="5" t="s">
        <v>16</v>
      </c>
      <c r="B212" s="6" t="str">
        <f>IF(ISBLANK(A212),"",VLOOKUP($A212,'Data Feed (20C)'!$A$1:$G$14,2,FALSE))</f>
        <v>DKR250911MICPOL_20C_sample_1</v>
      </c>
      <c r="C212" s="6" t="str">
        <f>IF(ISBLANK(A212),"",VLOOKUP($A212,'Data Feed (20C)'!$A$1:$G$14,3,FALSE))</f>
        <v>Microdon polygaloides</v>
      </c>
      <c r="D212" s="6" t="str">
        <f>IF(ISBLANK(A212),"",VLOOKUP($A212,'Data Feed (20C)'!$A$1:$G$14,4,FALSE))</f>
        <v>20C</v>
      </c>
      <c r="E212" s="6">
        <f>IF(ISBLANK(A212),"",VLOOKUP($A212,'Data Feed (20C)'!$A$1:$G$14,7,FALSE))</f>
        <v>1</v>
      </c>
      <c r="F212" s="7">
        <v>45912.56041666667</v>
      </c>
      <c r="G212" s="8">
        <v>1.939</v>
      </c>
    </row>
    <row r="213">
      <c r="A213" s="9" t="str">
        <f t="shared" ref="A213:A217" si="247">A212</f>
        <v>MICPOL</v>
      </c>
      <c r="B213" s="9" t="str">
        <f>IF(ISBLANK(A212),"",LEFT(B212,27)&amp;VALUE(RIGHT(B212,1)+1))</f>
        <v>DKR250911MICPOL_20C_sample_2</v>
      </c>
      <c r="C213" s="6" t="str">
        <f t="shared" ref="C213:D213" si="246">C212</f>
        <v>Microdon polygaloides</v>
      </c>
      <c r="D213" s="6" t="str">
        <f t="shared" si="246"/>
        <v>20C</v>
      </c>
      <c r="E213" s="10">
        <f>IF(ISBLANK(A212),"",E212+1)</f>
        <v>2</v>
      </c>
      <c r="F213" s="11">
        <f t="shared" ref="F213:F217" si="249">F212</f>
        <v>45912.56042</v>
      </c>
      <c r="G213" s="8">
        <v>1.276</v>
      </c>
    </row>
    <row r="214">
      <c r="A214" s="9" t="str">
        <f t="shared" si="247"/>
        <v>MICPOL</v>
      </c>
      <c r="B214" s="9" t="str">
        <f>IF(ISBLANK(A212),"",LEFT(B213,27)&amp;VALUE(RIGHT(B213,1)+1))</f>
        <v>DKR250911MICPOL_20C_sample_3</v>
      </c>
      <c r="C214" s="6" t="str">
        <f t="shared" ref="C214:D214" si="248">C213</f>
        <v>Microdon polygaloides</v>
      </c>
      <c r="D214" s="6" t="str">
        <f t="shared" si="248"/>
        <v>20C</v>
      </c>
      <c r="E214" s="10">
        <f>IF(ISBLANK(A212),"",E213+1)</f>
        <v>3</v>
      </c>
      <c r="F214" s="11">
        <f t="shared" si="249"/>
        <v>45912.56042</v>
      </c>
      <c r="G214" s="8">
        <v>0.532</v>
      </c>
    </row>
    <row r="215">
      <c r="A215" s="9" t="str">
        <f t="shared" si="247"/>
        <v>MICPOL</v>
      </c>
      <c r="B215" s="9" t="str">
        <f>IF(ISBLANK(A212),"",LEFT(B214,27)&amp;VALUE(RIGHT(B214,1)+1))</f>
        <v>DKR250911MICPOL_20C_sample_4</v>
      </c>
      <c r="C215" s="6" t="str">
        <f t="shared" ref="C215:D215" si="250">C214</f>
        <v>Microdon polygaloides</v>
      </c>
      <c r="D215" s="6" t="str">
        <f t="shared" si="250"/>
        <v>20C</v>
      </c>
      <c r="E215" s="10">
        <f>IF(ISBLANK(A212),"",E214+1)</f>
        <v>4</v>
      </c>
      <c r="F215" s="11">
        <f t="shared" si="249"/>
        <v>45912.56042</v>
      </c>
      <c r="G215" s="8">
        <v>0.245</v>
      </c>
    </row>
    <row r="216">
      <c r="A216" s="9" t="str">
        <f t="shared" si="247"/>
        <v>MICPOL</v>
      </c>
      <c r="B216" s="9" t="str">
        <f>IF(ISBLANK(A212),"",LEFT(B215,27)&amp;VALUE(RIGHT(B215,1)+1))</f>
        <v>DKR250911MICPOL_20C_sample_5</v>
      </c>
      <c r="C216" s="6" t="str">
        <f t="shared" ref="C216:D216" si="251">C215</f>
        <v>Microdon polygaloides</v>
      </c>
      <c r="D216" s="6" t="str">
        <f t="shared" si="251"/>
        <v>20C</v>
      </c>
      <c r="E216" s="10">
        <f>IF(ISBLANK(A212),"",E215+1)</f>
        <v>5</v>
      </c>
      <c r="F216" s="11">
        <f t="shared" si="249"/>
        <v>45912.56042</v>
      </c>
      <c r="G216" s="8">
        <v>0.353</v>
      </c>
    </row>
    <row r="217">
      <c r="A217" s="12" t="str">
        <f t="shared" si="247"/>
        <v>MICPOL</v>
      </c>
      <c r="B217" s="12" t="str">
        <f>IF(ISBLANK(A212),"",LEFT(B216,27)&amp;VALUE(RIGHT(B216,1)+1))</f>
        <v>DKR250911MICPOL_20C_sample_6</v>
      </c>
      <c r="C217" s="13" t="str">
        <f t="shared" ref="C217:D217" si="252">C216</f>
        <v>Microdon polygaloides</v>
      </c>
      <c r="D217" s="13" t="str">
        <f t="shared" si="252"/>
        <v>20C</v>
      </c>
      <c r="E217" s="14">
        <f>IF(ISBLANK(A212),"",E216+1)</f>
        <v>6</v>
      </c>
      <c r="F217" s="15">
        <f t="shared" si="249"/>
        <v>45912.56042</v>
      </c>
      <c r="G217" s="16">
        <v>0.342</v>
      </c>
    </row>
    <row r="218">
      <c r="A218" s="5" t="s">
        <v>17</v>
      </c>
      <c r="B218" s="6" t="str">
        <f>IF(ISBLANK(A218),"",VLOOKUP($A218,'Data Feed (20C)'!$A$1:$G$14,2,FALSE))</f>
        <v>DKR250911OEDSQU_20C_sample_1</v>
      </c>
      <c r="C218" s="6" t="str">
        <f>IF(ISBLANK(A218),"",VLOOKUP($A218,'Data Feed (20C)'!$A$1:$G$14,3,FALSE))</f>
        <v>Oedera squarrosa</v>
      </c>
      <c r="D218" s="6" t="str">
        <f>IF(ISBLANK(A218),"",VLOOKUP($A218,'Data Feed (20C)'!$A$1:$G$14,4,FALSE))</f>
        <v>20C</v>
      </c>
      <c r="E218" s="6">
        <f>IF(ISBLANK(A218),"",VLOOKUP($A218,'Data Feed (20C)'!$A$1:$G$14,7,FALSE))</f>
        <v>1</v>
      </c>
      <c r="F218" s="7">
        <v>45912.561111111114</v>
      </c>
      <c r="G218" s="8">
        <v>1.575</v>
      </c>
    </row>
    <row r="219">
      <c r="A219" s="9" t="str">
        <f t="shared" ref="A219:A223" si="254">A218</f>
        <v>OEDSQU</v>
      </c>
      <c r="B219" s="9" t="str">
        <f>IF(ISBLANK(A218),"",LEFT(B218,27)&amp;VALUE(RIGHT(B218,1)+1))</f>
        <v>DKR250911OEDSQU_20C_sample_2</v>
      </c>
      <c r="C219" s="6" t="str">
        <f t="shared" ref="C219:D219" si="253">C218</f>
        <v>Oedera squarrosa</v>
      </c>
      <c r="D219" s="6" t="str">
        <f t="shared" si="253"/>
        <v>20C</v>
      </c>
      <c r="E219" s="10">
        <f>IF(ISBLANK(A218),"",E218+1)</f>
        <v>2</v>
      </c>
      <c r="F219" s="11">
        <f t="shared" ref="F219:F223" si="256">F218</f>
        <v>45912.56111</v>
      </c>
      <c r="G219" s="8">
        <v>1.284</v>
      </c>
    </row>
    <row r="220">
      <c r="A220" s="9" t="str">
        <f t="shared" si="254"/>
        <v>OEDSQU</v>
      </c>
      <c r="B220" s="9" t="str">
        <f>IF(ISBLANK(A218),"",LEFT(B219,27)&amp;VALUE(RIGHT(B219,1)+1))</f>
        <v>DKR250911OEDSQU_20C_sample_3</v>
      </c>
      <c r="C220" s="6" t="str">
        <f t="shared" ref="C220:D220" si="255">C219</f>
        <v>Oedera squarrosa</v>
      </c>
      <c r="D220" s="6" t="str">
        <f t="shared" si="255"/>
        <v>20C</v>
      </c>
      <c r="E220" s="10">
        <f>IF(ISBLANK(A218),"",E219+1)</f>
        <v>3</v>
      </c>
      <c r="F220" s="11">
        <f t="shared" si="256"/>
        <v>45912.56111</v>
      </c>
      <c r="G220" s="8">
        <v>1.672</v>
      </c>
    </row>
    <row r="221">
      <c r="A221" s="9" t="str">
        <f t="shared" si="254"/>
        <v>OEDSQU</v>
      </c>
      <c r="B221" s="9" t="str">
        <f>IF(ISBLANK(A218),"",LEFT(B220,27)&amp;VALUE(RIGHT(B220,1)+1))</f>
        <v>DKR250911OEDSQU_20C_sample_4</v>
      </c>
      <c r="C221" s="6" t="str">
        <f t="shared" ref="C221:D221" si="257">C220</f>
        <v>Oedera squarrosa</v>
      </c>
      <c r="D221" s="6" t="str">
        <f t="shared" si="257"/>
        <v>20C</v>
      </c>
      <c r="E221" s="10">
        <f>IF(ISBLANK(A218),"",E220+1)</f>
        <v>4</v>
      </c>
      <c r="F221" s="11">
        <f t="shared" si="256"/>
        <v>45912.56111</v>
      </c>
      <c r="G221" s="8">
        <v>1.77</v>
      </c>
    </row>
    <row r="222">
      <c r="A222" s="9" t="str">
        <f t="shared" si="254"/>
        <v>OEDSQU</v>
      </c>
      <c r="B222" s="9" t="str">
        <f>IF(ISBLANK(A218),"",LEFT(B221,27)&amp;VALUE(RIGHT(B221,1)+1))</f>
        <v>DKR250911OEDSQU_20C_sample_5</v>
      </c>
      <c r="C222" s="6" t="str">
        <f t="shared" ref="C222:D222" si="258">C221</f>
        <v>Oedera squarrosa</v>
      </c>
      <c r="D222" s="6" t="str">
        <f t="shared" si="258"/>
        <v>20C</v>
      </c>
      <c r="E222" s="10">
        <f>IF(ISBLANK(A218),"",E221+1)</f>
        <v>5</v>
      </c>
      <c r="F222" s="11">
        <f t="shared" si="256"/>
        <v>45912.56111</v>
      </c>
      <c r="G222" s="8">
        <v>0.84</v>
      </c>
    </row>
    <row r="223">
      <c r="A223" s="12" t="str">
        <f t="shared" si="254"/>
        <v>OEDSQU</v>
      </c>
      <c r="B223" s="12" t="str">
        <f>IF(ISBLANK(A218),"",LEFT(B222,27)&amp;VALUE(RIGHT(B222,1)+1))</f>
        <v>DKR250911OEDSQU_20C_sample_6</v>
      </c>
      <c r="C223" s="13" t="str">
        <f t="shared" ref="C223:D223" si="259">C222</f>
        <v>Oedera squarrosa</v>
      </c>
      <c r="D223" s="13" t="str">
        <f t="shared" si="259"/>
        <v>20C</v>
      </c>
      <c r="E223" s="14">
        <f>IF(ISBLANK(A218),"",E222+1)</f>
        <v>6</v>
      </c>
      <c r="F223" s="15">
        <f t="shared" si="256"/>
        <v>45912.56111</v>
      </c>
      <c r="G223" s="16">
        <v>0.344</v>
      </c>
    </row>
    <row r="224">
      <c r="A224" s="5" t="s">
        <v>11</v>
      </c>
      <c r="B224" s="6" t="str">
        <f>IF(ISBLANK(A224),"",VLOOKUP($A224,'Data Feed (20C)'!$A$1:$G$14,2,FALSE))</f>
        <v>DKF250911SELDOL_20C_sample_1</v>
      </c>
      <c r="C224" s="6" t="str">
        <f>IF(ISBLANK(A224),"",VLOOKUP($A224,'Data Feed (20C)'!$A$1:$G$14,3,FALSE))</f>
        <v>Selago dolosa</v>
      </c>
      <c r="D224" s="6" t="str">
        <f>IF(ISBLANK(A224),"",VLOOKUP($A224,'Data Feed (20C)'!$A$1:$G$14,4,FALSE))</f>
        <v>20C</v>
      </c>
      <c r="E224" s="6">
        <f>IF(ISBLANK(A224),"",VLOOKUP($A224,'Data Feed (20C)'!$A$1:$G$14,7,FALSE))</f>
        <v>1</v>
      </c>
      <c r="F224" s="7">
        <v>45912.5625</v>
      </c>
      <c r="G224" s="8">
        <v>1.606</v>
      </c>
    </row>
    <row r="225">
      <c r="A225" s="9" t="str">
        <f t="shared" ref="A225:A229" si="261">A224</f>
        <v>SELDOL</v>
      </c>
      <c r="B225" s="9" t="str">
        <f>IF(ISBLANK(A224),"",LEFT(B224,27)&amp;VALUE(RIGHT(B224,1)+1))</f>
        <v>DKF250911SELDOL_20C_sample_2</v>
      </c>
      <c r="C225" s="6" t="str">
        <f t="shared" ref="C225:D225" si="260">C224</f>
        <v>Selago dolosa</v>
      </c>
      <c r="D225" s="6" t="str">
        <f t="shared" si="260"/>
        <v>20C</v>
      </c>
      <c r="E225" s="10">
        <f>IF(ISBLANK(A224),"",E224+1)</f>
        <v>2</v>
      </c>
      <c r="F225" s="11">
        <f t="shared" ref="F225:F229" si="263">F224</f>
        <v>45912.5625</v>
      </c>
      <c r="G225" s="8">
        <v>2.147</v>
      </c>
    </row>
    <row r="226">
      <c r="A226" s="9" t="str">
        <f t="shared" si="261"/>
        <v>SELDOL</v>
      </c>
      <c r="B226" s="9" t="str">
        <f>IF(ISBLANK(A224),"",LEFT(B225,27)&amp;VALUE(RIGHT(B225,1)+1))</f>
        <v>DKF250911SELDOL_20C_sample_3</v>
      </c>
      <c r="C226" s="6" t="str">
        <f t="shared" ref="C226:D226" si="262">C225</f>
        <v>Selago dolosa</v>
      </c>
      <c r="D226" s="6" t="str">
        <f t="shared" si="262"/>
        <v>20C</v>
      </c>
      <c r="E226" s="10">
        <f>IF(ISBLANK(A224),"",E225+1)</f>
        <v>3</v>
      </c>
      <c r="F226" s="11">
        <f t="shared" si="263"/>
        <v>45912.5625</v>
      </c>
      <c r="G226" s="8">
        <v>2.077</v>
      </c>
    </row>
    <row r="227">
      <c r="A227" s="9" t="str">
        <f t="shared" si="261"/>
        <v>SELDOL</v>
      </c>
      <c r="B227" s="9" t="str">
        <f>IF(ISBLANK(A224),"",LEFT(B226,27)&amp;VALUE(RIGHT(B226,1)+1))</f>
        <v>DKF250911SELDOL_20C_sample_4</v>
      </c>
      <c r="C227" s="6" t="str">
        <f t="shared" ref="C227:D227" si="264">C226</f>
        <v>Selago dolosa</v>
      </c>
      <c r="D227" s="6" t="str">
        <f t="shared" si="264"/>
        <v>20C</v>
      </c>
      <c r="E227" s="10">
        <f>IF(ISBLANK(A224),"",E226+1)</f>
        <v>4</v>
      </c>
      <c r="F227" s="11">
        <f t="shared" si="263"/>
        <v>45912.5625</v>
      </c>
      <c r="G227" s="8">
        <v>2.156</v>
      </c>
    </row>
    <row r="228">
      <c r="A228" s="9" t="str">
        <f t="shared" si="261"/>
        <v>SELDOL</v>
      </c>
      <c r="B228" s="9" t="str">
        <f>IF(ISBLANK(A224),"",LEFT(B227,27)&amp;VALUE(RIGHT(B227,1)+1))</f>
        <v>DKF250911SELDOL_20C_sample_5</v>
      </c>
      <c r="C228" s="6" t="str">
        <f t="shared" ref="C228:D228" si="265">C227</f>
        <v>Selago dolosa</v>
      </c>
      <c r="D228" s="6" t="str">
        <f t="shared" si="265"/>
        <v>20C</v>
      </c>
      <c r="E228" s="10">
        <f>IF(ISBLANK(A224),"",E227+1)</f>
        <v>5</v>
      </c>
      <c r="F228" s="11">
        <f t="shared" si="263"/>
        <v>45912.5625</v>
      </c>
      <c r="G228" s="8">
        <v>2.882</v>
      </c>
    </row>
    <row r="229">
      <c r="A229" s="12" t="str">
        <f t="shared" si="261"/>
        <v>SELDOL</v>
      </c>
      <c r="B229" s="12" t="str">
        <f>IF(ISBLANK(A224),"",LEFT(B228,27)&amp;VALUE(RIGHT(B228,1)+1))</f>
        <v>DKF250911SELDOL_20C_sample_6</v>
      </c>
      <c r="C229" s="13" t="str">
        <f t="shared" ref="C229:D229" si="266">C228</f>
        <v>Selago dolosa</v>
      </c>
      <c r="D229" s="13" t="str">
        <f t="shared" si="266"/>
        <v>20C</v>
      </c>
      <c r="E229" s="14">
        <f>IF(ISBLANK(A224),"",E228+1)</f>
        <v>6</v>
      </c>
      <c r="F229" s="15">
        <f t="shared" si="263"/>
        <v>45912.5625</v>
      </c>
      <c r="G229" s="16">
        <v>1.334</v>
      </c>
    </row>
    <row r="230">
      <c r="A230" s="5" t="s">
        <v>18</v>
      </c>
      <c r="B230" s="6" t="str">
        <f>IF(ISBLANK(A230),"",VLOOKUP($A230,'Data Feed (20C)'!$A$1:$G$14,2,FALSE))</f>
        <v>DKR250911WAHNOD_20C_sample_1</v>
      </c>
      <c r="C230" s="6" t="str">
        <f>IF(ISBLANK(A230),"",VLOOKUP($A230,'Data Feed (20C)'!$A$1:$G$14,3,FALSE))</f>
        <v>Wahlenbergia nodosa</v>
      </c>
      <c r="D230" s="6" t="str">
        <f>IF(ISBLANK(A230),"",VLOOKUP($A230,'Data Feed (20C)'!$A$1:$G$14,4,FALSE))</f>
        <v>20C</v>
      </c>
      <c r="E230" s="6">
        <f>IF(ISBLANK(A230),"",VLOOKUP($A230,'Data Feed (20C)'!$A$1:$G$14,7,FALSE))</f>
        <v>1</v>
      </c>
      <c r="F230" s="7">
        <v>45912.56319444445</v>
      </c>
      <c r="G230" s="8">
        <v>0.467</v>
      </c>
    </row>
    <row r="231">
      <c r="A231" s="9" t="str">
        <f t="shared" ref="A231:A235" si="268">A230</f>
        <v>WAHNOD</v>
      </c>
      <c r="B231" s="9" t="str">
        <f>IF(ISBLANK(A230),"",LEFT(B230,27)&amp;VALUE(RIGHT(B230,1)+1))</f>
        <v>DKR250911WAHNOD_20C_sample_2</v>
      </c>
      <c r="C231" s="6" t="str">
        <f t="shared" ref="C231:D231" si="267">C230</f>
        <v>Wahlenbergia nodosa</v>
      </c>
      <c r="D231" s="6" t="str">
        <f t="shared" si="267"/>
        <v>20C</v>
      </c>
      <c r="E231" s="10">
        <f>IF(ISBLANK(A230),"",E230+1)</f>
        <v>2</v>
      </c>
      <c r="F231" s="11">
        <f t="shared" ref="F231:F235" si="270">F230</f>
        <v>45912.56319</v>
      </c>
      <c r="G231" s="8">
        <v>0.269</v>
      </c>
    </row>
    <row r="232">
      <c r="A232" s="9" t="str">
        <f t="shared" si="268"/>
        <v>WAHNOD</v>
      </c>
      <c r="B232" s="9" t="str">
        <f>IF(ISBLANK(A230),"",LEFT(B231,27)&amp;VALUE(RIGHT(B231,1)+1))</f>
        <v>DKR250911WAHNOD_20C_sample_3</v>
      </c>
      <c r="C232" s="6" t="str">
        <f t="shared" ref="C232:D232" si="269">C231</f>
        <v>Wahlenbergia nodosa</v>
      </c>
      <c r="D232" s="6" t="str">
        <f t="shared" si="269"/>
        <v>20C</v>
      </c>
      <c r="E232" s="10">
        <f>IF(ISBLANK(A230),"",E231+1)</f>
        <v>3</v>
      </c>
      <c r="F232" s="11">
        <f t="shared" si="270"/>
        <v>45912.56319</v>
      </c>
      <c r="G232" s="8">
        <v>0.222</v>
      </c>
    </row>
    <row r="233">
      <c r="A233" s="9" t="str">
        <f t="shared" si="268"/>
        <v>WAHNOD</v>
      </c>
      <c r="B233" s="9" t="str">
        <f>IF(ISBLANK(A230),"",LEFT(B232,27)&amp;VALUE(RIGHT(B232,1)+1))</f>
        <v>DKR250911WAHNOD_20C_sample_4</v>
      </c>
      <c r="C233" s="6" t="str">
        <f t="shared" ref="C233:D233" si="271">C232</f>
        <v>Wahlenbergia nodosa</v>
      </c>
      <c r="D233" s="6" t="str">
        <f t="shared" si="271"/>
        <v>20C</v>
      </c>
      <c r="E233" s="10">
        <f>IF(ISBLANK(A230),"",E232+1)</f>
        <v>4</v>
      </c>
      <c r="F233" s="11">
        <f t="shared" si="270"/>
        <v>45912.56319</v>
      </c>
      <c r="G233" s="8">
        <v>0.902</v>
      </c>
    </row>
    <row r="234">
      <c r="A234" s="9" t="str">
        <f t="shared" si="268"/>
        <v>WAHNOD</v>
      </c>
      <c r="B234" s="9" t="str">
        <f>IF(ISBLANK(A230),"",LEFT(B233,27)&amp;VALUE(RIGHT(B233,1)+1))</f>
        <v>DKR250911WAHNOD_20C_sample_5</v>
      </c>
      <c r="C234" s="6" t="str">
        <f t="shared" ref="C234:D234" si="272">C233</f>
        <v>Wahlenbergia nodosa</v>
      </c>
      <c r="D234" s="6" t="str">
        <f t="shared" si="272"/>
        <v>20C</v>
      </c>
      <c r="E234" s="10">
        <f>IF(ISBLANK(A230),"",E233+1)</f>
        <v>5</v>
      </c>
      <c r="F234" s="11">
        <f t="shared" si="270"/>
        <v>45912.56319</v>
      </c>
      <c r="G234" s="8">
        <v>0.518</v>
      </c>
    </row>
    <row r="235">
      <c r="A235" s="12" t="str">
        <f t="shared" si="268"/>
        <v>WAHNOD</v>
      </c>
      <c r="B235" s="12" t="str">
        <f>IF(ISBLANK(A230),"",LEFT(B234,27)&amp;VALUE(RIGHT(B234,1)+1))</f>
        <v>DKR250911WAHNOD_20C_sample_6</v>
      </c>
      <c r="C235" s="13" t="str">
        <f t="shared" ref="C235:D235" si="273">C234</f>
        <v>Wahlenbergia nodosa</v>
      </c>
      <c r="D235" s="13" t="str">
        <f t="shared" si="273"/>
        <v>20C</v>
      </c>
      <c r="E235" s="14">
        <f>IF(ISBLANK(A230),"",E234+1)</f>
        <v>6</v>
      </c>
      <c r="F235" s="15">
        <f t="shared" si="270"/>
        <v>45912.56319</v>
      </c>
      <c r="G235" s="16">
        <v>0.542</v>
      </c>
    </row>
    <row r="236">
      <c r="A236" s="5" t="s">
        <v>12</v>
      </c>
      <c r="B236" s="6" t="str">
        <f>IF(ISBLANK(A236),"",VLOOKUP($A236,'Data Feed (20C)'!$A$1:$G$14,2,FALSE))</f>
        <v>DKF250911AGACAP_20C_sample_1</v>
      </c>
      <c r="C236" s="6" t="str">
        <f>IF(ISBLANK(A236),"",VLOOKUP($A236,'Data Feed (20C)'!$A$1:$G$14,3,FALSE))</f>
        <v>Agathosma capensis</v>
      </c>
      <c r="D236" s="6" t="str">
        <f>IF(ISBLANK(A236),"",VLOOKUP($A236,'Data Feed (20C)'!$A$1:$G$14,4,FALSE))</f>
        <v>20C</v>
      </c>
      <c r="E236" s="6">
        <f>IF(ISBLANK(A236),"",VLOOKUP($A236,'Data Feed (20C)'!$A$1:$G$14,7,FALSE))</f>
        <v>1</v>
      </c>
      <c r="F236" s="7">
        <v>45912.59583333333</v>
      </c>
      <c r="G236" s="8">
        <v>5.385</v>
      </c>
    </row>
    <row r="237">
      <c r="A237" s="9" t="str">
        <f t="shared" ref="A237:A241" si="275">A236</f>
        <v>AGACAP</v>
      </c>
      <c r="B237" s="9" t="str">
        <f>IF(ISBLANK(A236),"",LEFT(B236,27)&amp;VALUE(RIGHT(B236,1)+1))</f>
        <v>DKF250911AGACAP_20C_sample_2</v>
      </c>
      <c r="C237" s="6" t="str">
        <f t="shared" ref="C237:D237" si="274">C236</f>
        <v>Agathosma capensis</v>
      </c>
      <c r="D237" s="6" t="str">
        <f t="shared" si="274"/>
        <v>20C</v>
      </c>
      <c r="E237" s="10">
        <f>IF(ISBLANK(A236),"",E236+1)</f>
        <v>2</v>
      </c>
      <c r="F237" s="11">
        <f t="shared" ref="F237:F241" si="277">F236</f>
        <v>45912.59583</v>
      </c>
      <c r="G237" s="8">
        <v>1.94</v>
      </c>
    </row>
    <row r="238">
      <c r="A238" s="9" t="str">
        <f t="shared" si="275"/>
        <v>AGACAP</v>
      </c>
      <c r="B238" s="9" t="str">
        <f>IF(ISBLANK(A236),"",LEFT(B237,27)&amp;VALUE(RIGHT(B237,1)+1))</f>
        <v>DKF250911AGACAP_20C_sample_3</v>
      </c>
      <c r="C238" s="6" t="str">
        <f t="shared" ref="C238:D238" si="276">C237</f>
        <v>Agathosma capensis</v>
      </c>
      <c r="D238" s="6" t="str">
        <f t="shared" si="276"/>
        <v>20C</v>
      </c>
      <c r="E238" s="10">
        <f>IF(ISBLANK(A236),"",E237+1)</f>
        <v>3</v>
      </c>
      <c r="F238" s="11">
        <f t="shared" si="277"/>
        <v>45912.59583</v>
      </c>
      <c r="G238" s="8">
        <v>2.634</v>
      </c>
    </row>
    <row r="239">
      <c r="A239" s="9" t="str">
        <f t="shared" si="275"/>
        <v>AGACAP</v>
      </c>
      <c r="B239" s="9" t="str">
        <f>IF(ISBLANK(A236),"",LEFT(B238,27)&amp;VALUE(RIGHT(B238,1)+1))</f>
        <v>DKF250911AGACAP_20C_sample_4</v>
      </c>
      <c r="C239" s="6" t="str">
        <f t="shared" ref="C239:D239" si="278">C238</f>
        <v>Agathosma capensis</v>
      </c>
      <c r="D239" s="6" t="str">
        <f t="shared" si="278"/>
        <v>20C</v>
      </c>
      <c r="E239" s="10">
        <f>IF(ISBLANK(A236),"",E238+1)</f>
        <v>4</v>
      </c>
      <c r="F239" s="11">
        <f t="shared" si="277"/>
        <v>45912.59583</v>
      </c>
      <c r="G239" s="8">
        <v>1.786</v>
      </c>
    </row>
    <row r="240">
      <c r="A240" s="9" t="str">
        <f t="shared" si="275"/>
        <v>AGACAP</v>
      </c>
      <c r="B240" s="9" t="str">
        <f>IF(ISBLANK(A236),"",LEFT(B239,27)&amp;VALUE(RIGHT(B239,1)+1))</f>
        <v>DKF250911AGACAP_20C_sample_5</v>
      </c>
      <c r="C240" s="6" t="str">
        <f t="shared" ref="C240:D240" si="279">C239</f>
        <v>Agathosma capensis</v>
      </c>
      <c r="D240" s="6" t="str">
        <f t="shared" si="279"/>
        <v>20C</v>
      </c>
      <c r="E240" s="10">
        <f>IF(ISBLANK(A236),"",E239+1)</f>
        <v>5</v>
      </c>
      <c r="F240" s="11">
        <f t="shared" si="277"/>
        <v>45912.59583</v>
      </c>
      <c r="G240" s="8">
        <v>0.743</v>
      </c>
    </row>
    <row r="241">
      <c r="A241" s="12" t="str">
        <f t="shared" si="275"/>
        <v>AGACAP</v>
      </c>
      <c r="B241" s="12" t="str">
        <f>IF(ISBLANK(A236),"",LEFT(B240,27)&amp;VALUE(RIGHT(B240,1)+1))</f>
        <v>DKF250911AGACAP_20C_sample_6</v>
      </c>
      <c r="C241" s="13" t="str">
        <f t="shared" ref="C241:D241" si="280">C240</f>
        <v>Agathosma capensis</v>
      </c>
      <c r="D241" s="13" t="str">
        <f t="shared" si="280"/>
        <v>20C</v>
      </c>
      <c r="E241" s="14">
        <f>IF(ISBLANK(A236),"",E240+1)</f>
        <v>6</v>
      </c>
      <c r="F241" s="15">
        <f t="shared" si="277"/>
        <v>45912.59583</v>
      </c>
      <c r="G241" s="16">
        <v>1.984</v>
      </c>
    </row>
    <row r="242">
      <c r="A242" s="5" t="s">
        <v>7</v>
      </c>
      <c r="B242" s="6" t="str">
        <f>IF(ISBLANK(A242),"",VLOOKUP($A242,'Data Feed (20C)'!$A$1:$G$14,2,FALSE))</f>
        <v>DKR250911PASOBT_20C_sample_1</v>
      </c>
      <c r="C242" s="6" t="str">
        <f>IF(ISBLANK(A242),"",VLOOKUP($A242,'Data Feed (20C)'!$A$1:$G$14,3,FALSE))</f>
        <v>Passerina obtusifolia</v>
      </c>
      <c r="D242" s="6" t="str">
        <f>IF(ISBLANK(A242),"",VLOOKUP($A242,'Data Feed (20C)'!$A$1:$G$14,4,FALSE))</f>
        <v>20C</v>
      </c>
      <c r="E242" s="6">
        <f>IF(ISBLANK(A242),"",VLOOKUP($A242,'Data Feed (20C)'!$A$1:$G$14,7,FALSE))</f>
        <v>1</v>
      </c>
      <c r="F242" s="7">
        <v>45912.597916666666</v>
      </c>
      <c r="G242" s="8">
        <v>3.248</v>
      </c>
    </row>
    <row r="243">
      <c r="A243" s="9" t="str">
        <f t="shared" ref="A243:A247" si="282">A242</f>
        <v>PASOBT</v>
      </c>
      <c r="B243" s="9" t="str">
        <f>IF(ISBLANK(A242),"",LEFT(B242,27)&amp;VALUE(RIGHT(B242,1)+1))</f>
        <v>DKR250911PASOBT_20C_sample_2</v>
      </c>
      <c r="C243" s="6" t="str">
        <f t="shared" ref="C243:D243" si="281">C242</f>
        <v>Passerina obtusifolia</v>
      </c>
      <c r="D243" s="6" t="str">
        <f t="shared" si="281"/>
        <v>20C</v>
      </c>
      <c r="E243" s="10">
        <f>IF(ISBLANK(A242),"",E242+1)</f>
        <v>2</v>
      </c>
      <c r="F243" s="11">
        <f t="shared" ref="F243:F247" si="284">F242</f>
        <v>45912.59792</v>
      </c>
      <c r="G243" s="8">
        <v>4.495</v>
      </c>
    </row>
    <row r="244">
      <c r="A244" s="9" t="str">
        <f t="shared" si="282"/>
        <v>PASOBT</v>
      </c>
      <c r="B244" s="9" t="str">
        <f>IF(ISBLANK(A242),"",LEFT(B243,27)&amp;VALUE(RIGHT(B243,1)+1))</f>
        <v>DKR250911PASOBT_20C_sample_3</v>
      </c>
      <c r="C244" s="6" t="str">
        <f t="shared" ref="C244:D244" si="283">C243</f>
        <v>Passerina obtusifolia</v>
      </c>
      <c r="D244" s="6" t="str">
        <f t="shared" si="283"/>
        <v>20C</v>
      </c>
      <c r="E244" s="10">
        <f>IF(ISBLANK(A242),"",E243+1)</f>
        <v>3</v>
      </c>
      <c r="F244" s="11">
        <f t="shared" si="284"/>
        <v>45912.59792</v>
      </c>
      <c r="G244" s="8">
        <v>1.558</v>
      </c>
    </row>
    <row r="245">
      <c r="A245" s="9" t="str">
        <f t="shared" si="282"/>
        <v>PASOBT</v>
      </c>
      <c r="B245" s="9" t="str">
        <f>IF(ISBLANK(A242),"",LEFT(B244,27)&amp;VALUE(RIGHT(B244,1)+1))</f>
        <v>DKR250911PASOBT_20C_sample_4</v>
      </c>
      <c r="C245" s="6" t="str">
        <f t="shared" ref="C245:D245" si="285">C244</f>
        <v>Passerina obtusifolia</v>
      </c>
      <c r="D245" s="6" t="str">
        <f t="shared" si="285"/>
        <v>20C</v>
      </c>
      <c r="E245" s="10">
        <f>IF(ISBLANK(A242),"",E244+1)</f>
        <v>4</v>
      </c>
      <c r="F245" s="11">
        <f t="shared" si="284"/>
        <v>45912.59792</v>
      </c>
      <c r="G245" s="8">
        <v>2.251</v>
      </c>
    </row>
    <row r="246">
      <c r="A246" s="9" t="str">
        <f t="shared" si="282"/>
        <v>PASOBT</v>
      </c>
      <c r="B246" s="9" t="str">
        <f>IF(ISBLANK(A242),"",LEFT(B245,27)&amp;VALUE(RIGHT(B245,1)+1))</f>
        <v>DKR250911PASOBT_20C_sample_5</v>
      </c>
      <c r="C246" s="6" t="str">
        <f t="shared" ref="C246:D246" si="286">C245</f>
        <v>Passerina obtusifolia</v>
      </c>
      <c r="D246" s="6" t="str">
        <f t="shared" si="286"/>
        <v>20C</v>
      </c>
      <c r="E246" s="10">
        <f>IF(ISBLANK(A242),"",E245+1)</f>
        <v>5</v>
      </c>
      <c r="F246" s="11">
        <f t="shared" si="284"/>
        <v>45912.59792</v>
      </c>
      <c r="G246" s="8">
        <v>1.808</v>
      </c>
    </row>
    <row r="247">
      <c r="A247" s="12" t="str">
        <f t="shared" si="282"/>
        <v>PASOBT</v>
      </c>
      <c r="B247" s="12" t="str">
        <f>IF(ISBLANK(A242),"",LEFT(B246,27)&amp;VALUE(RIGHT(B246,1)+1))</f>
        <v>DKR250911PASOBT_20C_sample_6</v>
      </c>
      <c r="C247" s="13" t="str">
        <f t="shared" ref="C247:D247" si="287">C246</f>
        <v>Passerina obtusifolia</v>
      </c>
      <c r="D247" s="13" t="str">
        <f t="shared" si="287"/>
        <v>20C</v>
      </c>
      <c r="E247" s="14">
        <f>IF(ISBLANK(A242),"",E246+1)</f>
        <v>6</v>
      </c>
      <c r="F247" s="15">
        <f t="shared" si="284"/>
        <v>45912.59792</v>
      </c>
      <c r="G247" s="16">
        <v>3.096</v>
      </c>
    </row>
    <row r="248">
      <c r="A248" s="5" t="s">
        <v>14</v>
      </c>
      <c r="B248" s="6" t="str">
        <f>IF(ISBLANK(A248),"",VLOOKUP($A248,'Data Feed (20C)'!$A$1:$G$14,2,FALSE))</f>
        <v>DKF250911ASPSHA_20C_sample_1</v>
      </c>
      <c r="C248" s="6" t="str">
        <f>IF(ISBLANK(A248),"",VLOOKUP($A248,'Data Feed (20C)'!$A$1:$G$14,3,FALSE))</f>
        <v>Aspalathus shawii</v>
      </c>
      <c r="D248" s="6" t="str">
        <f>IF(ISBLANK(A248),"",VLOOKUP($A248,'Data Feed (20C)'!$A$1:$G$14,4,FALSE))</f>
        <v>20C</v>
      </c>
      <c r="E248" s="6">
        <f>IF(ISBLANK(A248),"",VLOOKUP($A248,'Data Feed (20C)'!$A$1:$G$14,7,FALSE))</f>
        <v>1</v>
      </c>
      <c r="F248" s="7">
        <v>45912.59861111111</v>
      </c>
      <c r="G248" s="8">
        <v>15.392</v>
      </c>
    </row>
    <row r="249">
      <c r="A249" s="9" t="str">
        <f t="shared" ref="A249:A253" si="289">A248</f>
        <v>ASPSHA</v>
      </c>
      <c r="B249" s="9" t="str">
        <f>IF(ISBLANK(A248),"",LEFT(B248,27)&amp;VALUE(RIGHT(B248,1)+1))</f>
        <v>DKF250911ASPSHA_20C_sample_2</v>
      </c>
      <c r="C249" s="6" t="str">
        <f t="shared" ref="C249:D249" si="288">C248</f>
        <v>Aspalathus shawii</v>
      </c>
      <c r="D249" s="6" t="str">
        <f t="shared" si="288"/>
        <v>20C</v>
      </c>
      <c r="E249" s="10">
        <f>IF(ISBLANK(A248),"",E248+1)</f>
        <v>2</v>
      </c>
      <c r="F249" s="11">
        <f t="shared" ref="F249:F253" si="291">F248</f>
        <v>45912.59861</v>
      </c>
      <c r="G249" s="8">
        <v>10.732</v>
      </c>
    </row>
    <row r="250">
      <c r="A250" s="9" t="str">
        <f t="shared" si="289"/>
        <v>ASPSHA</v>
      </c>
      <c r="B250" s="9" t="str">
        <f>IF(ISBLANK(A248),"",LEFT(B249,27)&amp;VALUE(RIGHT(B249,1)+1))</f>
        <v>DKF250911ASPSHA_20C_sample_3</v>
      </c>
      <c r="C250" s="6" t="str">
        <f t="shared" ref="C250:D250" si="290">C249</f>
        <v>Aspalathus shawii</v>
      </c>
      <c r="D250" s="6" t="str">
        <f t="shared" si="290"/>
        <v>20C</v>
      </c>
      <c r="E250" s="10">
        <f>IF(ISBLANK(A248),"",E249+1)</f>
        <v>3</v>
      </c>
      <c r="F250" s="11">
        <f t="shared" si="291"/>
        <v>45912.59861</v>
      </c>
      <c r="G250" s="8">
        <v>5.993</v>
      </c>
    </row>
    <row r="251">
      <c r="A251" s="9" t="str">
        <f t="shared" si="289"/>
        <v>ASPSHA</v>
      </c>
      <c r="B251" s="9" t="str">
        <f>IF(ISBLANK(A248),"",LEFT(B250,27)&amp;VALUE(RIGHT(B250,1)+1))</f>
        <v>DKF250911ASPSHA_20C_sample_4</v>
      </c>
      <c r="C251" s="6" t="str">
        <f t="shared" ref="C251:D251" si="292">C250</f>
        <v>Aspalathus shawii</v>
      </c>
      <c r="D251" s="6" t="str">
        <f t="shared" si="292"/>
        <v>20C</v>
      </c>
      <c r="E251" s="10">
        <f>IF(ISBLANK(A248),"",E250+1)</f>
        <v>4</v>
      </c>
      <c r="F251" s="11">
        <f t="shared" si="291"/>
        <v>45912.59861</v>
      </c>
      <c r="G251" s="8">
        <v>14.82</v>
      </c>
    </row>
    <row r="252">
      <c r="A252" s="9" t="str">
        <f t="shared" si="289"/>
        <v>ASPSHA</v>
      </c>
      <c r="B252" s="9" t="str">
        <f>IF(ISBLANK(A248),"",LEFT(B251,27)&amp;VALUE(RIGHT(B251,1)+1))</f>
        <v>DKF250911ASPSHA_20C_sample_5</v>
      </c>
      <c r="C252" s="6" t="str">
        <f t="shared" ref="C252:D252" si="293">C251</f>
        <v>Aspalathus shawii</v>
      </c>
      <c r="D252" s="6" t="str">
        <f t="shared" si="293"/>
        <v>20C</v>
      </c>
      <c r="E252" s="10">
        <f>IF(ISBLANK(A248),"",E251+1)</f>
        <v>5</v>
      </c>
      <c r="F252" s="11">
        <f t="shared" si="291"/>
        <v>45912.59861</v>
      </c>
      <c r="G252" s="8">
        <v>4.569</v>
      </c>
    </row>
    <row r="253">
      <c r="A253" s="12" t="str">
        <f t="shared" si="289"/>
        <v>ASPSHA</v>
      </c>
      <c r="B253" s="12" t="str">
        <f>IF(ISBLANK(A248),"",LEFT(B252,27)&amp;VALUE(RIGHT(B252,1)+1))</f>
        <v>DKF250911ASPSHA_20C_sample_6</v>
      </c>
      <c r="C253" s="13" t="str">
        <f t="shared" ref="C253:D253" si="294">C252</f>
        <v>Aspalathus shawii</v>
      </c>
      <c r="D253" s="13" t="str">
        <f t="shared" si="294"/>
        <v>20C</v>
      </c>
      <c r="E253" s="14">
        <f>IF(ISBLANK(A248),"",E252+1)</f>
        <v>6</v>
      </c>
      <c r="F253" s="15">
        <f t="shared" si="291"/>
        <v>45912.59861</v>
      </c>
      <c r="G253" s="16">
        <v>12.385</v>
      </c>
    </row>
    <row r="254">
      <c r="A254" s="5" t="s">
        <v>9</v>
      </c>
      <c r="B254" s="6" t="str">
        <f>IF(ISBLANK(A254),"",VLOOKUP($A254,'Data Feed (20C)'!$A$1:$G$14,2,FALSE))</f>
        <v>DKR250911PROLAU_20C_sample_1</v>
      </c>
      <c r="C254" s="6" t="str">
        <f>IF(ISBLANK(A254),"",VLOOKUP($A254,'Data Feed (20C)'!$A$1:$G$14,3,FALSE))</f>
        <v>Protea laurifolia</v>
      </c>
      <c r="D254" s="6" t="str">
        <f>IF(ISBLANK(A254),"",VLOOKUP($A254,'Data Feed (20C)'!$A$1:$G$14,4,FALSE))</f>
        <v>20C</v>
      </c>
      <c r="E254" s="6">
        <f>IF(ISBLANK(A254),"",VLOOKUP($A254,'Data Feed (20C)'!$A$1:$G$14,7,FALSE))</f>
        <v>1</v>
      </c>
      <c r="F254" s="7">
        <v>45912.59930555556</v>
      </c>
      <c r="G254" s="8">
        <v>1.058</v>
      </c>
    </row>
    <row r="255">
      <c r="A255" s="9" t="str">
        <f t="shared" ref="A255:A259" si="296">A254</f>
        <v>PROLAU</v>
      </c>
      <c r="B255" s="9" t="str">
        <f>IF(ISBLANK(A254),"",LEFT(B254,27)&amp;VALUE(RIGHT(B254,1)+1))</f>
        <v>DKR250911PROLAU_20C_sample_2</v>
      </c>
      <c r="C255" s="6" t="str">
        <f t="shared" ref="C255:D255" si="295">C254</f>
        <v>Protea laurifolia</v>
      </c>
      <c r="D255" s="6" t="str">
        <f t="shared" si="295"/>
        <v>20C</v>
      </c>
      <c r="E255" s="10">
        <f>IF(ISBLANK(A254),"",E254+1)</f>
        <v>2</v>
      </c>
      <c r="F255" s="11">
        <f t="shared" ref="F255:F259" si="298">F254</f>
        <v>45912.59931</v>
      </c>
      <c r="G255" s="8">
        <v>1.283</v>
      </c>
    </row>
    <row r="256">
      <c r="A256" s="9" t="str">
        <f t="shared" si="296"/>
        <v>PROLAU</v>
      </c>
      <c r="B256" s="9" t="str">
        <f>IF(ISBLANK(A254),"",LEFT(B255,27)&amp;VALUE(RIGHT(B255,1)+1))</f>
        <v>DKR250911PROLAU_20C_sample_3</v>
      </c>
      <c r="C256" s="6" t="str">
        <f t="shared" ref="C256:D256" si="297">C255</f>
        <v>Protea laurifolia</v>
      </c>
      <c r="D256" s="6" t="str">
        <f t="shared" si="297"/>
        <v>20C</v>
      </c>
      <c r="E256" s="10">
        <f>IF(ISBLANK(A254),"",E255+1)</f>
        <v>3</v>
      </c>
      <c r="F256" s="11">
        <f t="shared" si="298"/>
        <v>45912.59931</v>
      </c>
      <c r="G256" s="8">
        <v>1.172</v>
      </c>
    </row>
    <row r="257">
      <c r="A257" s="9" t="str">
        <f t="shared" si="296"/>
        <v>PROLAU</v>
      </c>
      <c r="B257" s="9" t="str">
        <f>IF(ISBLANK(A254),"",LEFT(B256,27)&amp;VALUE(RIGHT(B256,1)+1))</f>
        <v>DKR250911PROLAU_20C_sample_4</v>
      </c>
      <c r="C257" s="6" t="str">
        <f t="shared" ref="C257:D257" si="299">C256</f>
        <v>Protea laurifolia</v>
      </c>
      <c r="D257" s="6" t="str">
        <f t="shared" si="299"/>
        <v>20C</v>
      </c>
      <c r="E257" s="10">
        <f>IF(ISBLANK(A254),"",E256+1)</f>
        <v>4</v>
      </c>
      <c r="F257" s="11">
        <f t="shared" si="298"/>
        <v>45912.59931</v>
      </c>
      <c r="G257" s="8">
        <v>0.567</v>
      </c>
    </row>
    <row r="258">
      <c r="A258" s="9" t="str">
        <f t="shared" si="296"/>
        <v>PROLAU</v>
      </c>
      <c r="B258" s="9" t="str">
        <f>IF(ISBLANK(A254),"",LEFT(B257,27)&amp;VALUE(RIGHT(B257,1)+1))</f>
        <v>DKR250911PROLAU_20C_sample_5</v>
      </c>
      <c r="C258" s="6" t="str">
        <f t="shared" ref="C258:D258" si="300">C257</f>
        <v>Protea laurifolia</v>
      </c>
      <c r="D258" s="6" t="str">
        <f t="shared" si="300"/>
        <v>20C</v>
      </c>
      <c r="E258" s="10">
        <f>IF(ISBLANK(A254),"",E257+1)</f>
        <v>5</v>
      </c>
      <c r="F258" s="11">
        <f t="shared" si="298"/>
        <v>45912.59931</v>
      </c>
      <c r="G258" s="8">
        <v>1.005</v>
      </c>
    </row>
    <row r="259">
      <c r="A259" s="12" t="str">
        <f t="shared" si="296"/>
        <v>PROLAU</v>
      </c>
      <c r="B259" s="12" t="str">
        <f>IF(ISBLANK(A254),"",LEFT(B258,27)&amp;VALUE(RIGHT(B258,1)+1))</f>
        <v>DKR250911PROLAU_20C_sample_6</v>
      </c>
      <c r="C259" s="13" t="str">
        <f t="shared" ref="C259:D259" si="301">C258</f>
        <v>Protea laurifolia</v>
      </c>
      <c r="D259" s="13" t="str">
        <f t="shared" si="301"/>
        <v>20C</v>
      </c>
      <c r="E259" s="14">
        <f>IF(ISBLANK(A254),"",E258+1)</f>
        <v>6</v>
      </c>
      <c r="F259" s="15">
        <f t="shared" si="298"/>
        <v>45912.59931</v>
      </c>
      <c r="G259" s="16">
        <v>1.033</v>
      </c>
    </row>
    <row r="260">
      <c r="A260" s="5" t="s">
        <v>19</v>
      </c>
      <c r="B260" s="6" t="str">
        <f>IF(ISBLANK(A260),"",VLOOKUP($A260,'Data Feed (20C)'!$A$1:$G$14,2,FALSE))</f>
        <v>DKR250911CLURUB_20C_sample_1</v>
      </c>
      <c r="C260" s="6" t="str">
        <f>IF(ISBLANK(A260),"",VLOOKUP($A260,'Data Feed (20C)'!$A$1:$G$14,3,FALSE))</f>
        <v>Clutia rubricaulis</v>
      </c>
      <c r="D260" s="6" t="str">
        <f>IF(ISBLANK(A260),"",VLOOKUP($A260,'Data Feed (20C)'!$A$1:$G$14,4,FALSE))</f>
        <v>20C</v>
      </c>
      <c r="E260" s="6">
        <f>IF(ISBLANK(A260),"",VLOOKUP($A260,'Data Feed (20C)'!$A$1:$G$14,7,FALSE))</f>
        <v>1</v>
      </c>
      <c r="F260" s="7">
        <v>45912.6</v>
      </c>
      <c r="G260" s="8">
        <v>0.577</v>
      </c>
    </row>
    <row r="261">
      <c r="A261" s="9" t="str">
        <f t="shared" ref="A261:A265" si="303">A260</f>
        <v>CLURUB</v>
      </c>
      <c r="B261" s="9" t="str">
        <f>IF(ISBLANK(A260),"",LEFT(B260,27)&amp;VALUE(RIGHT(B260,1)+1))</f>
        <v>DKR250911CLURUB_20C_sample_2</v>
      </c>
      <c r="C261" s="6" t="str">
        <f t="shared" ref="C261:D261" si="302">C260</f>
        <v>Clutia rubricaulis</v>
      </c>
      <c r="D261" s="6" t="str">
        <f t="shared" si="302"/>
        <v>20C</v>
      </c>
      <c r="E261" s="10">
        <f>IF(ISBLANK(A260),"",E260+1)</f>
        <v>2</v>
      </c>
      <c r="F261" s="11">
        <f t="shared" ref="F261:F265" si="305">F260</f>
        <v>45912.6</v>
      </c>
      <c r="G261" s="8">
        <v>0.436</v>
      </c>
    </row>
    <row r="262">
      <c r="A262" s="9" t="str">
        <f t="shared" si="303"/>
        <v>CLURUB</v>
      </c>
      <c r="B262" s="9" t="str">
        <f>IF(ISBLANK(A260),"",LEFT(B261,27)&amp;VALUE(RIGHT(B261,1)+1))</f>
        <v>DKR250911CLURUB_20C_sample_3</v>
      </c>
      <c r="C262" s="6" t="str">
        <f t="shared" ref="C262:D262" si="304">C261</f>
        <v>Clutia rubricaulis</v>
      </c>
      <c r="D262" s="6" t="str">
        <f t="shared" si="304"/>
        <v>20C</v>
      </c>
      <c r="E262" s="10">
        <f>IF(ISBLANK(A260),"",E261+1)</f>
        <v>3</v>
      </c>
      <c r="F262" s="11">
        <f t="shared" si="305"/>
        <v>45912.6</v>
      </c>
      <c r="G262" s="8">
        <v>0.567</v>
      </c>
    </row>
    <row r="263">
      <c r="A263" s="9" t="str">
        <f t="shared" si="303"/>
        <v>CLURUB</v>
      </c>
      <c r="B263" s="9" t="str">
        <f>IF(ISBLANK(A260),"",LEFT(B262,27)&amp;VALUE(RIGHT(B262,1)+1))</f>
        <v>DKR250911CLURUB_20C_sample_4</v>
      </c>
      <c r="C263" s="6" t="str">
        <f t="shared" ref="C263:D263" si="306">C262</f>
        <v>Clutia rubricaulis</v>
      </c>
      <c r="D263" s="6" t="str">
        <f t="shared" si="306"/>
        <v>20C</v>
      </c>
      <c r="E263" s="10">
        <f>IF(ISBLANK(A260),"",E262+1)</f>
        <v>4</v>
      </c>
      <c r="F263" s="11">
        <f t="shared" si="305"/>
        <v>45912.6</v>
      </c>
      <c r="G263" s="8">
        <v>0.255</v>
      </c>
    </row>
    <row r="264">
      <c r="A264" s="9" t="str">
        <f t="shared" si="303"/>
        <v>CLURUB</v>
      </c>
      <c r="B264" s="9" t="str">
        <f>IF(ISBLANK(A260),"",LEFT(B263,27)&amp;VALUE(RIGHT(B263,1)+1))</f>
        <v>DKR250911CLURUB_20C_sample_5</v>
      </c>
      <c r="C264" s="6" t="str">
        <f t="shared" ref="C264:D264" si="307">C263</f>
        <v>Clutia rubricaulis</v>
      </c>
      <c r="D264" s="6" t="str">
        <f t="shared" si="307"/>
        <v>20C</v>
      </c>
      <c r="E264" s="10">
        <f>IF(ISBLANK(A260),"",E263+1)</f>
        <v>5</v>
      </c>
      <c r="F264" s="11">
        <f t="shared" si="305"/>
        <v>45912.6</v>
      </c>
      <c r="G264" s="8">
        <v>0.569</v>
      </c>
    </row>
    <row r="265">
      <c r="A265" s="12" t="str">
        <f t="shared" si="303"/>
        <v>CLURUB</v>
      </c>
      <c r="B265" s="12" t="str">
        <f>IF(ISBLANK(A260),"",LEFT(B264,27)&amp;VALUE(RIGHT(B264,1)+1))</f>
        <v>DKR250911CLURUB_20C_sample_6</v>
      </c>
      <c r="C265" s="13" t="str">
        <f t="shared" ref="C265:D265" si="308">C264</f>
        <v>Clutia rubricaulis</v>
      </c>
      <c r="D265" s="13" t="str">
        <f t="shared" si="308"/>
        <v>20C</v>
      </c>
      <c r="E265" s="14">
        <f>IF(ISBLANK(A260),"",E264+1)</f>
        <v>6</v>
      </c>
      <c r="F265" s="15">
        <f t="shared" si="305"/>
        <v>45912.6</v>
      </c>
      <c r="G265" s="16">
        <v>0.506</v>
      </c>
    </row>
    <row r="266">
      <c r="A266" s="5" t="s">
        <v>8</v>
      </c>
      <c r="B266" s="6" t="str">
        <f>IF(ISBLANK(A266),"",VLOOKUP($A266,'Data Feed (20C)'!$A$1:$G$14,2,FALSE))</f>
        <v>DKF250911PROLOR_20C_sample_1</v>
      </c>
      <c r="C266" s="6" t="str">
        <f>IF(ISBLANK(A266),"",VLOOKUP($A266,'Data Feed (20C)'!$A$1:$G$14,3,FALSE))</f>
        <v>Protea lorifolia</v>
      </c>
      <c r="D266" s="6" t="str">
        <f>IF(ISBLANK(A266),"",VLOOKUP($A266,'Data Feed (20C)'!$A$1:$G$14,4,FALSE))</f>
        <v>20C</v>
      </c>
      <c r="E266" s="6">
        <f>IF(ISBLANK(A266),"",VLOOKUP($A266,'Data Feed (20C)'!$A$1:$G$14,7,FALSE))</f>
        <v>1</v>
      </c>
      <c r="F266" s="7">
        <v>45912.60208333333</v>
      </c>
      <c r="G266" s="8">
        <v>3.312</v>
      </c>
    </row>
    <row r="267">
      <c r="A267" s="9" t="str">
        <f t="shared" ref="A267:A271" si="310">A266</f>
        <v>PROLOR</v>
      </c>
      <c r="B267" s="9" t="str">
        <f>IF(ISBLANK(A266),"",LEFT(B266,27)&amp;VALUE(RIGHT(B266,1)+1))</f>
        <v>DKF250911PROLOR_20C_sample_2</v>
      </c>
      <c r="C267" s="6" t="str">
        <f t="shared" ref="C267:D267" si="309">C266</f>
        <v>Protea lorifolia</v>
      </c>
      <c r="D267" s="6" t="str">
        <f t="shared" si="309"/>
        <v>20C</v>
      </c>
      <c r="E267" s="10">
        <f>IF(ISBLANK(A266),"",E266+1)</f>
        <v>2</v>
      </c>
      <c r="F267" s="11">
        <f t="shared" ref="F267:F271" si="312">F266</f>
        <v>45912.60208</v>
      </c>
      <c r="G267" s="8">
        <v>3.775</v>
      </c>
    </row>
    <row r="268">
      <c r="A268" s="9" t="str">
        <f t="shared" si="310"/>
        <v>PROLOR</v>
      </c>
      <c r="B268" s="9" t="str">
        <f>IF(ISBLANK(A266),"",LEFT(B267,27)&amp;VALUE(RIGHT(B267,1)+1))</f>
        <v>DKF250911PROLOR_20C_sample_3</v>
      </c>
      <c r="C268" s="6" t="str">
        <f t="shared" ref="C268:D268" si="311">C267</f>
        <v>Protea lorifolia</v>
      </c>
      <c r="D268" s="6" t="str">
        <f t="shared" si="311"/>
        <v>20C</v>
      </c>
      <c r="E268" s="10">
        <f>IF(ISBLANK(A266),"",E267+1)</f>
        <v>3</v>
      </c>
      <c r="F268" s="11">
        <f t="shared" si="312"/>
        <v>45912.60208</v>
      </c>
      <c r="G268" s="8">
        <v>3.959</v>
      </c>
    </row>
    <row r="269">
      <c r="A269" s="9" t="str">
        <f t="shared" si="310"/>
        <v>PROLOR</v>
      </c>
      <c r="B269" s="9" t="str">
        <f>IF(ISBLANK(A266),"",LEFT(B268,27)&amp;VALUE(RIGHT(B268,1)+1))</f>
        <v>DKF250911PROLOR_20C_sample_4</v>
      </c>
      <c r="C269" s="6" t="str">
        <f t="shared" ref="C269:D269" si="313">C268</f>
        <v>Protea lorifolia</v>
      </c>
      <c r="D269" s="6" t="str">
        <f t="shared" si="313"/>
        <v>20C</v>
      </c>
      <c r="E269" s="10">
        <f>IF(ISBLANK(A266),"",E268+1)</f>
        <v>4</v>
      </c>
      <c r="F269" s="11">
        <f t="shared" si="312"/>
        <v>45912.60208</v>
      </c>
      <c r="G269" s="8">
        <v>3.139</v>
      </c>
    </row>
    <row r="270">
      <c r="A270" s="9" t="str">
        <f t="shared" si="310"/>
        <v>PROLOR</v>
      </c>
      <c r="B270" s="9" t="str">
        <f>IF(ISBLANK(A266),"",LEFT(B269,27)&amp;VALUE(RIGHT(B269,1)+1))</f>
        <v>DKF250911PROLOR_20C_sample_5</v>
      </c>
      <c r="C270" s="6" t="str">
        <f t="shared" ref="C270:D270" si="314">C269</f>
        <v>Protea lorifolia</v>
      </c>
      <c r="D270" s="6" t="str">
        <f t="shared" si="314"/>
        <v>20C</v>
      </c>
      <c r="E270" s="10">
        <f>IF(ISBLANK(A266),"",E269+1)</f>
        <v>5</v>
      </c>
      <c r="F270" s="11">
        <f t="shared" si="312"/>
        <v>45912.60208</v>
      </c>
      <c r="G270" s="8">
        <v>5.831</v>
      </c>
    </row>
    <row r="271">
      <c r="A271" s="12" t="str">
        <f t="shared" si="310"/>
        <v>PROLOR</v>
      </c>
      <c r="B271" s="12" t="str">
        <f>IF(ISBLANK(A266),"",LEFT(B270,27)&amp;VALUE(RIGHT(B270,1)+1))</f>
        <v>DKF250911PROLOR_20C_sample_6</v>
      </c>
      <c r="C271" s="13" t="str">
        <f t="shared" ref="C271:D271" si="315">C270</f>
        <v>Protea lorifolia</v>
      </c>
      <c r="D271" s="13" t="str">
        <f t="shared" si="315"/>
        <v>20C</v>
      </c>
      <c r="E271" s="14">
        <f>IF(ISBLANK(A266),"",E270+1)</f>
        <v>6</v>
      </c>
      <c r="F271" s="15">
        <f t="shared" si="312"/>
        <v>45912.60208</v>
      </c>
      <c r="G271" s="16">
        <v>4.767</v>
      </c>
    </row>
    <row r="272">
      <c r="A272" s="5" t="s">
        <v>15</v>
      </c>
      <c r="B272" s="6" t="str">
        <f>IF(ISBLANK(A272),"",VLOOKUP($A272,'Data Feed (20C)'!$A$1:$G$14,2,FALSE))</f>
        <v>DKR250911ELYRHI_20C_sample_1</v>
      </c>
      <c r="C272" s="6" t="str">
        <f>IF(ISBLANK(A272),"",VLOOKUP($A272,'Data Feed (20C)'!$A$1:$G$14,3,FALSE))</f>
        <v>Elytropappus rhinocerotis</v>
      </c>
      <c r="D272" s="6" t="str">
        <f>IF(ISBLANK(A272),"",VLOOKUP($A272,'Data Feed (20C)'!$A$1:$G$14,4,FALSE))</f>
        <v>20C</v>
      </c>
      <c r="E272" s="6">
        <f>IF(ISBLANK(A272),"",VLOOKUP($A272,'Data Feed (20C)'!$A$1:$G$14,7,FALSE))</f>
        <v>1</v>
      </c>
      <c r="F272" s="7">
        <v>45912.60277777778</v>
      </c>
      <c r="G272" s="8">
        <v>3.944</v>
      </c>
    </row>
    <row r="273">
      <c r="A273" s="9" t="str">
        <f t="shared" ref="A273:A277" si="317">A272</f>
        <v>ELYRHI</v>
      </c>
      <c r="B273" s="9" t="str">
        <f>IF(ISBLANK(A272),"",LEFT(B272,27)&amp;VALUE(RIGHT(B272,1)+1))</f>
        <v>DKR250911ELYRHI_20C_sample_2</v>
      </c>
      <c r="C273" s="6" t="str">
        <f t="shared" ref="C273:D273" si="316">C272</f>
        <v>Elytropappus rhinocerotis</v>
      </c>
      <c r="D273" s="6" t="str">
        <f t="shared" si="316"/>
        <v>20C</v>
      </c>
      <c r="E273" s="10">
        <f>IF(ISBLANK(A272),"",E272+1)</f>
        <v>2</v>
      </c>
      <c r="F273" s="11">
        <f t="shared" ref="F273:F277" si="319">F272</f>
        <v>45912.60278</v>
      </c>
      <c r="G273" s="8">
        <v>4.402</v>
      </c>
    </row>
    <row r="274">
      <c r="A274" s="9" t="str">
        <f t="shared" si="317"/>
        <v>ELYRHI</v>
      </c>
      <c r="B274" s="9" t="str">
        <f>IF(ISBLANK(A272),"",LEFT(B273,27)&amp;VALUE(RIGHT(B273,1)+1))</f>
        <v>DKR250911ELYRHI_20C_sample_3</v>
      </c>
      <c r="C274" s="6" t="str">
        <f t="shared" ref="C274:D274" si="318">C273</f>
        <v>Elytropappus rhinocerotis</v>
      </c>
      <c r="D274" s="6" t="str">
        <f t="shared" si="318"/>
        <v>20C</v>
      </c>
      <c r="E274" s="10">
        <f>IF(ISBLANK(A272),"",E273+1)</f>
        <v>3</v>
      </c>
      <c r="F274" s="11">
        <f t="shared" si="319"/>
        <v>45912.60278</v>
      </c>
      <c r="G274" s="8">
        <v>7.155</v>
      </c>
    </row>
    <row r="275">
      <c r="A275" s="9" t="str">
        <f t="shared" si="317"/>
        <v>ELYRHI</v>
      </c>
      <c r="B275" s="9" t="str">
        <f>IF(ISBLANK(A272),"",LEFT(B274,27)&amp;VALUE(RIGHT(B274,1)+1))</f>
        <v>DKR250911ELYRHI_20C_sample_4</v>
      </c>
      <c r="C275" s="6" t="str">
        <f t="shared" ref="C275:D275" si="320">C274</f>
        <v>Elytropappus rhinocerotis</v>
      </c>
      <c r="D275" s="6" t="str">
        <f t="shared" si="320"/>
        <v>20C</v>
      </c>
      <c r="E275" s="10">
        <f>IF(ISBLANK(A272),"",E274+1)</f>
        <v>4</v>
      </c>
      <c r="F275" s="11">
        <f t="shared" si="319"/>
        <v>45912.60278</v>
      </c>
      <c r="G275" s="8">
        <v>4.296</v>
      </c>
    </row>
    <row r="276">
      <c r="A276" s="9" t="str">
        <f t="shared" si="317"/>
        <v>ELYRHI</v>
      </c>
      <c r="B276" s="9" t="str">
        <f>IF(ISBLANK(A272),"",LEFT(B275,27)&amp;VALUE(RIGHT(B275,1)+1))</f>
        <v>DKR250911ELYRHI_20C_sample_5</v>
      </c>
      <c r="C276" s="6" t="str">
        <f t="shared" ref="C276:D276" si="321">C275</f>
        <v>Elytropappus rhinocerotis</v>
      </c>
      <c r="D276" s="6" t="str">
        <f t="shared" si="321"/>
        <v>20C</v>
      </c>
      <c r="E276" s="10">
        <f>IF(ISBLANK(A272),"",E275+1)</f>
        <v>5</v>
      </c>
      <c r="F276" s="11">
        <f t="shared" si="319"/>
        <v>45912.60278</v>
      </c>
      <c r="G276" s="8">
        <v>2.751</v>
      </c>
    </row>
    <row r="277">
      <c r="A277" s="12" t="str">
        <f t="shared" si="317"/>
        <v>ELYRHI</v>
      </c>
      <c r="B277" s="12" t="str">
        <f>IF(ISBLANK(A272),"",LEFT(B276,27)&amp;VALUE(RIGHT(B276,1)+1))</f>
        <v>DKR250911ELYRHI_20C_sample_6</v>
      </c>
      <c r="C277" s="13" t="str">
        <f t="shared" ref="C277:D277" si="322">C276</f>
        <v>Elytropappus rhinocerotis</v>
      </c>
      <c r="D277" s="13" t="str">
        <f t="shared" si="322"/>
        <v>20C</v>
      </c>
      <c r="E277" s="14">
        <f>IF(ISBLANK(A272),"",E276+1)</f>
        <v>6</v>
      </c>
      <c r="F277" s="15">
        <f t="shared" si="319"/>
        <v>45912.60278</v>
      </c>
      <c r="G277" s="16">
        <v>2.327</v>
      </c>
    </row>
    <row r="278">
      <c r="A278" s="5" t="s">
        <v>10</v>
      </c>
      <c r="B278" s="6" t="str">
        <f>IF(ISBLANK(A278),"",VLOOKUP($A278,'Data Feed (20C)'!$A$1:$G$14,2,FALSE))</f>
        <v>DKF250911LOBDEC_20C_sample_1</v>
      </c>
      <c r="C278" s="6" t="str">
        <f>IF(ISBLANK(A278),"",VLOOKUP($A278,'Data Feed (20C)'!$A$1:$G$14,3,FALSE))</f>
        <v>Lobostemon decorus</v>
      </c>
      <c r="D278" s="6" t="str">
        <f>IF(ISBLANK(A278),"",VLOOKUP($A278,'Data Feed (20C)'!$A$1:$G$14,4,FALSE))</f>
        <v>20C</v>
      </c>
      <c r="E278" s="6">
        <f>IF(ISBLANK(A278),"",VLOOKUP($A278,'Data Feed (20C)'!$A$1:$G$14,7,FALSE))</f>
        <v>1</v>
      </c>
      <c r="F278" s="7">
        <v>45912.604166666664</v>
      </c>
      <c r="G278" s="8">
        <v>11.39</v>
      </c>
    </row>
    <row r="279">
      <c r="A279" s="9" t="str">
        <f t="shared" ref="A279:A283" si="324">A278</f>
        <v>LOBDEC</v>
      </c>
      <c r="B279" s="9" t="str">
        <f>IF(ISBLANK(A278),"",LEFT(B278,27)&amp;VALUE(RIGHT(B278,1)+1))</f>
        <v>DKF250911LOBDEC_20C_sample_2</v>
      </c>
      <c r="C279" s="6" t="str">
        <f t="shared" ref="C279:D279" si="323">C278</f>
        <v>Lobostemon decorus</v>
      </c>
      <c r="D279" s="6" t="str">
        <f t="shared" si="323"/>
        <v>20C</v>
      </c>
      <c r="E279" s="10">
        <f>IF(ISBLANK(A278),"",E278+1)</f>
        <v>2</v>
      </c>
      <c r="F279" s="11">
        <f t="shared" ref="F279:F283" si="326">F278</f>
        <v>45912.60417</v>
      </c>
      <c r="G279" s="8">
        <v>8.811</v>
      </c>
    </row>
    <row r="280">
      <c r="A280" s="9" t="str">
        <f t="shared" si="324"/>
        <v>LOBDEC</v>
      </c>
      <c r="B280" s="9" t="str">
        <f>IF(ISBLANK(A278),"",LEFT(B279,27)&amp;VALUE(RIGHT(B279,1)+1))</f>
        <v>DKF250911LOBDEC_20C_sample_3</v>
      </c>
      <c r="C280" s="6" t="str">
        <f t="shared" ref="C280:D280" si="325">C279</f>
        <v>Lobostemon decorus</v>
      </c>
      <c r="D280" s="6" t="str">
        <f t="shared" si="325"/>
        <v>20C</v>
      </c>
      <c r="E280" s="10">
        <f>IF(ISBLANK(A278),"",E279+1)</f>
        <v>3</v>
      </c>
      <c r="F280" s="11">
        <f t="shared" si="326"/>
        <v>45912.60417</v>
      </c>
      <c r="G280" s="8">
        <v>11.825</v>
      </c>
    </row>
    <row r="281">
      <c r="A281" s="9" t="str">
        <f t="shared" si="324"/>
        <v>LOBDEC</v>
      </c>
      <c r="B281" s="9" t="str">
        <f>IF(ISBLANK(A278),"",LEFT(B280,27)&amp;VALUE(RIGHT(B280,1)+1))</f>
        <v>DKF250911LOBDEC_20C_sample_4</v>
      </c>
      <c r="C281" s="6" t="str">
        <f t="shared" ref="C281:D281" si="327">C280</f>
        <v>Lobostemon decorus</v>
      </c>
      <c r="D281" s="6" t="str">
        <f t="shared" si="327"/>
        <v>20C</v>
      </c>
      <c r="E281" s="10">
        <f>IF(ISBLANK(A278),"",E280+1)</f>
        <v>4</v>
      </c>
      <c r="F281" s="11">
        <f t="shared" si="326"/>
        <v>45912.60417</v>
      </c>
      <c r="G281" s="8">
        <v>8.257</v>
      </c>
    </row>
    <row r="282">
      <c r="A282" s="9" t="str">
        <f t="shared" si="324"/>
        <v>LOBDEC</v>
      </c>
      <c r="B282" s="9" t="str">
        <f>IF(ISBLANK(A278),"",LEFT(B281,27)&amp;VALUE(RIGHT(B281,1)+1))</f>
        <v>DKF250911LOBDEC_20C_sample_5</v>
      </c>
      <c r="C282" s="6" t="str">
        <f t="shared" ref="C282:D282" si="328">C281</f>
        <v>Lobostemon decorus</v>
      </c>
      <c r="D282" s="6" t="str">
        <f t="shared" si="328"/>
        <v>20C</v>
      </c>
      <c r="E282" s="10">
        <f>IF(ISBLANK(A278),"",E281+1)</f>
        <v>5</v>
      </c>
      <c r="F282" s="11">
        <f t="shared" si="326"/>
        <v>45912.60417</v>
      </c>
      <c r="G282" s="8">
        <v>5.51</v>
      </c>
    </row>
    <row r="283">
      <c r="A283" s="12" t="str">
        <f t="shared" si="324"/>
        <v>LOBDEC</v>
      </c>
      <c r="B283" s="12" t="str">
        <f>IF(ISBLANK(A278),"",LEFT(B282,27)&amp;VALUE(RIGHT(B282,1)+1))</f>
        <v>DKF250911LOBDEC_20C_sample_6</v>
      </c>
      <c r="C283" s="13" t="str">
        <f t="shared" ref="C283:D283" si="329">C282</f>
        <v>Lobostemon decorus</v>
      </c>
      <c r="D283" s="13" t="str">
        <f t="shared" si="329"/>
        <v>20C</v>
      </c>
      <c r="E283" s="14">
        <f>IF(ISBLANK(A278),"",E282+1)</f>
        <v>6</v>
      </c>
      <c r="F283" s="15">
        <f t="shared" si="326"/>
        <v>45912.60417</v>
      </c>
      <c r="G283" s="16">
        <v>5.632</v>
      </c>
    </row>
    <row r="284">
      <c r="A284" s="5" t="s">
        <v>13</v>
      </c>
      <c r="B284" s="6" t="str">
        <f>IF(ISBLANK(A284),"",VLOOKUP($A284,'Data Feed (20C)'!$A$1:$G$14,2,FALSE))</f>
        <v>DKR250911RUSMUL_20C_sample_1</v>
      </c>
      <c r="C284" s="6" t="str">
        <f>IF(ISBLANK(A284),"",VLOOKUP($A284,'Data Feed (20C)'!$A$1:$G$14,3,FALSE))</f>
        <v>Ruschia multiflora</v>
      </c>
      <c r="D284" s="6" t="str">
        <f>IF(ISBLANK(A284),"",VLOOKUP($A284,'Data Feed (20C)'!$A$1:$G$14,4,FALSE))</f>
        <v>20C</v>
      </c>
      <c r="E284" s="6">
        <f>IF(ISBLANK(A284),"",VLOOKUP($A284,'Data Feed (20C)'!$A$1:$G$14,7,FALSE))</f>
        <v>1</v>
      </c>
      <c r="F284" s="7">
        <v>45912.60486111111</v>
      </c>
      <c r="G284" s="8">
        <v>3.398</v>
      </c>
    </row>
    <row r="285">
      <c r="A285" s="9" t="str">
        <f t="shared" ref="A285:A289" si="331">A284</f>
        <v>RUSMUL</v>
      </c>
      <c r="B285" s="9" t="str">
        <f>IF(ISBLANK(A284),"",LEFT(B284,27)&amp;VALUE(RIGHT(B284,1)+1))</f>
        <v>DKR250911RUSMUL_20C_sample_2</v>
      </c>
      <c r="C285" s="6" t="str">
        <f t="shared" ref="C285:D285" si="330">C284</f>
        <v>Ruschia multiflora</v>
      </c>
      <c r="D285" s="6" t="str">
        <f t="shared" si="330"/>
        <v>20C</v>
      </c>
      <c r="E285" s="10">
        <f>IF(ISBLANK(A284),"",E284+1)</f>
        <v>2</v>
      </c>
      <c r="F285" s="11">
        <f t="shared" ref="F285:F289" si="333">F284</f>
        <v>45912.60486</v>
      </c>
      <c r="G285" s="8">
        <v>4.478</v>
      </c>
    </row>
    <row r="286">
      <c r="A286" s="9" t="str">
        <f t="shared" si="331"/>
        <v>RUSMUL</v>
      </c>
      <c r="B286" s="9" t="str">
        <f>IF(ISBLANK(A284),"",LEFT(B285,27)&amp;VALUE(RIGHT(B285,1)+1))</f>
        <v>DKR250911RUSMUL_20C_sample_3</v>
      </c>
      <c r="C286" s="6" t="str">
        <f t="shared" ref="C286:D286" si="332">C285</f>
        <v>Ruschia multiflora</v>
      </c>
      <c r="D286" s="6" t="str">
        <f t="shared" si="332"/>
        <v>20C</v>
      </c>
      <c r="E286" s="10">
        <f>IF(ISBLANK(A284),"",E285+1)</f>
        <v>3</v>
      </c>
      <c r="F286" s="11">
        <f t="shared" si="333"/>
        <v>45912.60486</v>
      </c>
      <c r="G286" s="8">
        <v>8.334</v>
      </c>
    </row>
    <row r="287">
      <c r="A287" s="9" t="str">
        <f t="shared" si="331"/>
        <v>RUSMUL</v>
      </c>
      <c r="B287" s="9" t="str">
        <f>IF(ISBLANK(A284),"",LEFT(B286,27)&amp;VALUE(RIGHT(B286,1)+1))</f>
        <v>DKR250911RUSMUL_20C_sample_4</v>
      </c>
      <c r="C287" s="6" t="str">
        <f t="shared" ref="C287:D287" si="334">C286</f>
        <v>Ruschia multiflora</v>
      </c>
      <c r="D287" s="6" t="str">
        <f t="shared" si="334"/>
        <v>20C</v>
      </c>
      <c r="E287" s="10">
        <f>IF(ISBLANK(A284),"",E286+1)</f>
        <v>4</v>
      </c>
      <c r="F287" s="11">
        <f t="shared" si="333"/>
        <v>45912.60486</v>
      </c>
      <c r="G287" s="8">
        <v>4.63</v>
      </c>
    </row>
    <row r="288">
      <c r="A288" s="9" t="str">
        <f t="shared" si="331"/>
        <v>RUSMUL</v>
      </c>
      <c r="B288" s="9" t="str">
        <f>IF(ISBLANK(A284),"",LEFT(B287,27)&amp;VALUE(RIGHT(B287,1)+1))</f>
        <v>DKR250911RUSMUL_20C_sample_5</v>
      </c>
      <c r="C288" s="6" t="str">
        <f t="shared" ref="C288:D288" si="335">C287</f>
        <v>Ruschia multiflora</v>
      </c>
      <c r="D288" s="6" t="str">
        <f t="shared" si="335"/>
        <v>20C</v>
      </c>
      <c r="E288" s="10">
        <f>IF(ISBLANK(A284),"",E287+1)</f>
        <v>5</v>
      </c>
      <c r="F288" s="11">
        <f t="shared" si="333"/>
        <v>45912.60486</v>
      </c>
      <c r="G288" s="8">
        <v>3.781</v>
      </c>
    </row>
    <row r="289">
      <c r="A289" s="12" t="str">
        <f t="shared" si="331"/>
        <v>RUSMUL</v>
      </c>
      <c r="B289" s="12" t="str">
        <f>IF(ISBLANK(A284),"",LEFT(B288,27)&amp;VALUE(RIGHT(B288,1)+1))</f>
        <v>DKR250911RUSMUL_20C_sample_6</v>
      </c>
      <c r="C289" s="13" t="str">
        <f t="shared" ref="C289:D289" si="336">C288</f>
        <v>Ruschia multiflora</v>
      </c>
      <c r="D289" s="13" t="str">
        <f t="shared" si="336"/>
        <v>20C</v>
      </c>
      <c r="E289" s="14">
        <f>IF(ISBLANK(A284),"",E288+1)</f>
        <v>6</v>
      </c>
      <c r="F289" s="15">
        <f t="shared" si="333"/>
        <v>45912.60486</v>
      </c>
      <c r="G289" s="16">
        <v>3.156</v>
      </c>
    </row>
    <row r="290">
      <c r="A290" s="5" t="s">
        <v>16</v>
      </c>
      <c r="B290" s="6" t="str">
        <f>IF(ISBLANK(A290),"",VLOOKUP($A290,'Data Feed (20C)'!$A$1:$G$14,2,FALSE))</f>
        <v>DKR250911MICPOL_20C_sample_1</v>
      </c>
      <c r="C290" s="6" t="str">
        <f>IF(ISBLANK(A290),"",VLOOKUP($A290,'Data Feed (20C)'!$A$1:$G$14,3,FALSE))</f>
        <v>Microdon polygaloides</v>
      </c>
      <c r="D290" s="6" t="str">
        <f>IF(ISBLANK(A290),"",VLOOKUP($A290,'Data Feed (20C)'!$A$1:$G$14,4,FALSE))</f>
        <v>20C</v>
      </c>
      <c r="E290" s="6">
        <f>IF(ISBLANK(A290),"",VLOOKUP($A290,'Data Feed (20C)'!$A$1:$G$14,7,FALSE))</f>
        <v>1</v>
      </c>
      <c r="F290" s="7">
        <v>45912.60625</v>
      </c>
      <c r="G290" s="8">
        <v>1.891</v>
      </c>
    </row>
    <row r="291">
      <c r="A291" s="9" t="str">
        <f t="shared" ref="A291:A295" si="338">A290</f>
        <v>MICPOL</v>
      </c>
      <c r="B291" s="9" t="str">
        <f>IF(ISBLANK(A290),"",LEFT(B290,27)&amp;VALUE(RIGHT(B290,1)+1))</f>
        <v>DKR250911MICPOL_20C_sample_2</v>
      </c>
      <c r="C291" s="6" t="str">
        <f t="shared" ref="C291:D291" si="337">C290</f>
        <v>Microdon polygaloides</v>
      </c>
      <c r="D291" s="6" t="str">
        <f t="shared" si="337"/>
        <v>20C</v>
      </c>
      <c r="E291" s="10">
        <f>IF(ISBLANK(A290),"",E290+1)</f>
        <v>2</v>
      </c>
      <c r="F291" s="11">
        <f t="shared" ref="F291:F295" si="340">F290</f>
        <v>45912.60625</v>
      </c>
      <c r="G291" s="8">
        <v>1.225</v>
      </c>
    </row>
    <row r="292">
      <c r="A292" s="9" t="str">
        <f t="shared" si="338"/>
        <v>MICPOL</v>
      </c>
      <c r="B292" s="9" t="str">
        <f>IF(ISBLANK(A290),"",LEFT(B291,27)&amp;VALUE(RIGHT(B291,1)+1))</f>
        <v>DKR250911MICPOL_20C_sample_3</v>
      </c>
      <c r="C292" s="6" t="str">
        <f t="shared" ref="C292:D292" si="339">C291</f>
        <v>Microdon polygaloides</v>
      </c>
      <c r="D292" s="6" t="str">
        <f t="shared" si="339"/>
        <v>20C</v>
      </c>
      <c r="E292" s="10">
        <f>IF(ISBLANK(A290),"",E291+1)</f>
        <v>3</v>
      </c>
      <c r="F292" s="11">
        <f t="shared" si="340"/>
        <v>45912.60625</v>
      </c>
      <c r="G292" s="8">
        <v>0.503</v>
      </c>
    </row>
    <row r="293">
      <c r="A293" s="9" t="str">
        <f t="shared" si="338"/>
        <v>MICPOL</v>
      </c>
      <c r="B293" s="9" t="str">
        <f>IF(ISBLANK(A290),"",LEFT(B292,27)&amp;VALUE(RIGHT(B292,1)+1))</f>
        <v>DKR250911MICPOL_20C_sample_4</v>
      </c>
      <c r="C293" s="6" t="str">
        <f t="shared" ref="C293:D293" si="341">C292</f>
        <v>Microdon polygaloides</v>
      </c>
      <c r="D293" s="6" t="str">
        <f t="shared" si="341"/>
        <v>20C</v>
      </c>
      <c r="E293" s="10">
        <f>IF(ISBLANK(A290),"",E292+1)</f>
        <v>4</v>
      </c>
      <c r="F293" s="11">
        <f t="shared" si="340"/>
        <v>45912.60625</v>
      </c>
      <c r="G293" s="8">
        <v>0.235</v>
      </c>
    </row>
    <row r="294">
      <c r="A294" s="9" t="str">
        <f t="shared" si="338"/>
        <v>MICPOL</v>
      </c>
      <c r="B294" s="9" t="str">
        <f>IF(ISBLANK(A290),"",LEFT(B293,27)&amp;VALUE(RIGHT(B293,1)+1))</f>
        <v>DKR250911MICPOL_20C_sample_5</v>
      </c>
      <c r="C294" s="6" t="str">
        <f t="shared" ref="C294:D294" si="342">C293</f>
        <v>Microdon polygaloides</v>
      </c>
      <c r="D294" s="6" t="str">
        <f t="shared" si="342"/>
        <v>20C</v>
      </c>
      <c r="E294" s="10">
        <f>IF(ISBLANK(A290),"",E293+1)</f>
        <v>5</v>
      </c>
      <c r="F294" s="11">
        <f t="shared" si="340"/>
        <v>45912.60625</v>
      </c>
      <c r="G294" s="8">
        <v>0.335</v>
      </c>
    </row>
    <row r="295">
      <c r="A295" s="12" t="str">
        <f t="shared" si="338"/>
        <v>MICPOL</v>
      </c>
      <c r="B295" s="12" t="str">
        <f>IF(ISBLANK(A290),"",LEFT(B294,27)&amp;VALUE(RIGHT(B294,1)+1))</f>
        <v>DKR250911MICPOL_20C_sample_6</v>
      </c>
      <c r="C295" s="13" t="str">
        <f t="shared" ref="C295:D295" si="343">C294</f>
        <v>Microdon polygaloides</v>
      </c>
      <c r="D295" s="13" t="str">
        <f t="shared" si="343"/>
        <v>20C</v>
      </c>
      <c r="E295" s="14">
        <f>IF(ISBLANK(A290),"",E294+1)</f>
        <v>6</v>
      </c>
      <c r="F295" s="15">
        <f t="shared" si="340"/>
        <v>45912.60625</v>
      </c>
      <c r="G295" s="16">
        <v>0.321</v>
      </c>
    </row>
    <row r="296">
      <c r="A296" s="5" t="s">
        <v>17</v>
      </c>
      <c r="B296" s="6" t="str">
        <f>IF(ISBLANK(A296),"",VLOOKUP($A296,'Data Feed (20C)'!$A$1:$G$14,2,FALSE))</f>
        <v>DKR250911OEDSQU_20C_sample_1</v>
      </c>
      <c r="C296" s="6" t="str">
        <f>IF(ISBLANK(A296),"",VLOOKUP($A296,'Data Feed (20C)'!$A$1:$G$14,3,FALSE))</f>
        <v>Oedera squarrosa</v>
      </c>
      <c r="D296" s="6" t="str">
        <f>IF(ISBLANK(A296),"",VLOOKUP($A296,'Data Feed (20C)'!$A$1:$G$14,4,FALSE))</f>
        <v>20C</v>
      </c>
      <c r="E296" s="6">
        <f>IF(ISBLANK(A296),"",VLOOKUP($A296,'Data Feed (20C)'!$A$1:$G$14,7,FALSE))</f>
        <v>1</v>
      </c>
      <c r="F296" s="7">
        <v>45912.60625</v>
      </c>
      <c r="G296" s="8">
        <v>1.521</v>
      </c>
    </row>
    <row r="297">
      <c r="A297" s="9" t="str">
        <f t="shared" ref="A297:A301" si="345">A296</f>
        <v>OEDSQU</v>
      </c>
      <c r="B297" s="9" t="str">
        <f>IF(ISBLANK(A296),"",LEFT(B296,27)&amp;VALUE(RIGHT(B296,1)+1))</f>
        <v>DKR250911OEDSQU_20C_sample_2</v>
      </c>
      <c r="C297" s="6" t="str">
        <f t="shared" ref="C297:D297" si="344">C296</f>
        <v>Oedera squarrosa</v>
      </c>
      <c r="D297" s="6" t="str">
        <f t="shared" si="344"/>
        <v>20C</v>
      </c>
      <c r="E297" s="10">
        <f>IF(ISBLANK(A296),"",E296+1)</f>
        <v>2</v>
      </c>
      <c r="F297" s="11">
        <f t="shared" ref="F297:F301" si="347">F296</f>
        <v>45912.60625</v>
      </c>
      <c r="G297" s="8">
        <v>1.257</v>
      </c>
    </row>
    <row r="298">
      <c r="A298" s="9" t="str">
        <f t="shared" si="345"/>
        <v>OEDSQU</v>
      </c>
      <c r="B298" s="9" t="str">
        <f>IF(ISBLANK(A296),"",LEFT(B297,27)&amp;VALUE(RIGHT(B297,1)+1))</f>
        <v>DKR250911OEDSQU_20C_sample_3</v>
      </c>
      <c r="C298" s="6" t="str">
        <f t="shared" ref="C298:D298" si="346">C297</f>
        <v>Oedera squarrosa</v>
      </c>
      <c r="D298" s="6" t="str">
        <f t="shared" si="346"/>
        <v>20C</v>
      </c>
      <c r="E298" s="10">
        <f>IF(ISBLANK(A296),"",E297+1)</f>
        <v>3</v>
      </c>
      <c r="F298" s="11">
        <f t="shared" si="347"/>
        <v>45912.60625</v>
      </c>
      <c r="G298" s="8">
        <v>1.67</v>
      </c>
    </row>
    <row r="299">
      <c r="A299" s="9" t="str">
        <f t="shared" si="345"/>
        <v>OEDSQU</v>
      </c>
      <c r="B299" s="9" t="str">
        <f>IF(ISBLANK(A296),"",LEFT(B298,27)&amp;VALUE(RIGHT(B298,1)+1))</f>
        <v>DKR250911OEDSQU_20C_sample_4</v>
      </c>
      <c r="C299" s="6" t="str">
        <f t="shared" ref="C299:D299" si="348">C298</f>
        <v>Oedera squarrosa</v>
      </c>
      <c r="D299" s="6" t="str">
        <f t="shared" si="348"/>
        <v>20C</v>
      </c>
      <c r="E299" s="10">
        <f>IF(ISBLANK(A296),"",E298+1)</f>
        <v>4</v>
      </c>
      <c r="F299" s="11">
        <f t="shared" si="347"/>
        <v>45912.60625</v>
      </c>
      <c r="G299" s="8">
        <v>1.727</v>
      </c>
    </row>
    <row r="300">
      <c r="A300" s="9" t="str">
        <f t="shared" si="345"/>
        <v>OEDSQU</v>
      </c>
      <c r="B300" s="9" t="str">
        <f>IF(ISBLANK(A296),"",LEFT(B299,27)&amp;VALUE(RIGHT(B299,1)+1))</f>
        <v>DKR250911OEDSQU_20C_sample_5</v>
      </c>
      <c r="C300" s="6" t="str">
        <f t="shared" ref="C300:D300" si="349">C299</f>
        <v>Oedera squarrosa</v>
      </c>
      <c r="D300" s="6" t="str">
        <f t="shared" si="349"/>
        <v>20C</v>
      </c>
      <c r="E300" s="10">
        <f>IF(ISBLANK(A296),"",E299+1)</f>
        <v>5</v>
      </c>
      <c r="F300" s="11">
        <f t="shared" si="347"/>
        <v>45912.60625</v>
      </c>
      <c r="G300" s="8">
        <v>0.794</v>
      </c>
    </row>
    <row r="301">
      <c r="A301" s="12" t="str">
        <f t="shared" si="345"/>
        <v>OEDSQU</v>
      </c>
      <c r="B301" s="12" t="str">
        <f>IF(ISBLANK(A296),"",LEFT(B300,27)&amp;VALUE(RIGHT(B300,1)+1))</f>
        <v>DKR250911OEDSQU_20C_sample_6</v>
      </c>
      <c r="C301" s="13" t="str">
        <f t="shared" ref="C301:D301" si="350">C300</f>
        <v>Oedera squarrosa</v>
      </c>
      <c r="D301" s="13" t="str">
        <f t="shared" si="350"/>
        <v>20C</v>
      </c>
      <c r="E301" s="14">
        <f>IF(ISBLANK(A296),"",E300+1)</f>
        <v>6</v>
      </c>
      <c r="F301" s="15">
        <f t="shared" si="347"/>
        <v>45912.60625</v>
      </c>
      <c r="G301" s="16">
        <v>0.339</v>
      </c>
    </row>
    <row r="302">
      <c r="A302" s="5" t="s">
        <v>11</v>
      </c>
      <c r="B302" s="6" t="str">
        <f>IF(ISBLANK(A302),"",VLOOKUP($A302,'Data Feed (20C)'!$A$1:$G$14,2,FALSE))</f>
        <v>DKF250911SELDOL_20C_sample_1</v>
      </c>
      <c r="C302" s="6" t="str">
        <f>IF(ISBLANK(A302),"",VLOOKUP($A302,'Data Feed (20C)'!$A$1:$G$14,3,FALSE))</f>
        <v>Selago dolosa</v>
      </c>
      <c r="D302" s="6" t="str">
        <f>IF(ISBLANK(A302),"",VLOOKUP($A302,'Data Feed (20C)'!$A$1:$G$14,4,FALSE))</f>
        <v>20C</v>
      </c>
      <c r="E302" s="6">
        <f>IF(ISBLANK(A302),"",VLOOKUP($A302,'Data Feed (20C)'!$A$1:$G$14,7,FALSE))</f>
        <v>1</v>
      </c>
      <c r="F302" s="7">
        <v>45912.60763888889</v>
      </c>
      <c r="G302" s="8">
        <v>1.568</v>
      </c>
    </row>
    <row r="303">
      <c r="A303" s="9" t="str">
        <f t="shared" ref="A303:A307" si="352">A302</f>
        <v>SELDOL</v>
      </c>
      <c r="B303" s="9" t="str">
        <f>IF(ISBLANK(A302),"",LEFT(B302,27)&amp;VALUE(RIGHT(B302,1)+1))</f>
        <v>DKF250911SELDOL_20C_sample_2</v>
      </c>
      <c r="C303" s="6" t="str">
        <f t="shared" ref="C303:D303" si="351">C302</f>
        <v>Selago dolosa</v>
      </c>
      <c r="D303" s="6" t="str">
        <f t="shared" si="351"/>
        <v>20C</v>
      </c>
      <c r="E303" s="10">
        <f>IF(ISBLANK(A302),"",E302+1)</f>
        <v>2</v>
      </c>
      <c r="F303" s="11">
        <f t="shared" ref="F303:F307" si="354">F302</f>
        <v>45912.60764</v>
      </c>
      <c r="G303" s="8">
        <v>2.111</v>
      </c>
    </row>
    <row r="304">
      <c r="A304" s="9" t="str">
        <f t="shared" si="352"/>
        <v>SELDOL</v>
      </c>
      <c r="B304" s="9" t="str">
        <f>IF(ISBLANK(A302),"",LEFT(B303,27)&amp;VALUE(RIGHT(B303,1)+1))</f>
        <v>DKF250911SELDOL_20C_sample_3</v>
      </c>
      <c r="C304" s="6" t="str">
        <f t="shared" ref="C304:D304" si="353">C303</f>
        <v>Selago dolosa</v>
      </c>
      <c r="D304" s="6" t="str">
        <f t="shared" si="353"/>
        <v>20C</v>
      </c>
      <c r="E304" s="10">
        <f>IF(ISBLANK(A302),"",E303+1)</f>
        <v>3</v>
      </c>
      <c r="F304" s="11">
        <f t="shared" si="354"/>
        <v>45912.60764</v>
      </c>
      <c r="G304" s="8">
        <v>2.035</v>
      </c>
    </row>
    <row r="305">
      <c r="A305" s="9" t="str">
        <f t="shared" si="352"/>
        <v>SELDOL</v>
      </c>
      <c r="B305" s="9" t="str">
        <f>IF(ISBLANK(A302),"",LEFT(B304,27)&amp;VALUE(RIGHT(B304,1)+1))</f>
        <v>DKF250911SELDOL_20C_sample_4</v>
      </c>
      <c r="C305" s="6" t="str">
        <f t="shared" ref="C305:D305" si="355">C304</f>
        <v>Selago dolosa</v>
      </c>
      <c r="D305" s="6" t="str">
        <f t="shared" si="355"/>
        <v>20C</v>
      </c>
      <c r="E305" s="10">
        <f>IF(ISBLANK(A302),"",E304+1)</f>
        <v>4</v>
      </c>
      <c r="F305" s="11">
        <f t="shared" si="354"/>
        <v>45912.60764</v>
      </c>
      <c r="G305" s="8">
        <v>2.107</v>
      </c>
    </row>
    <row r="306">
      <c r="A306" s="9" t="str">
        <f t="shared" si="352"/>
        <v>SELDOL</v>
      </c>
      <c r="B306" s="9" t="str">
        <f>IF(ISBLANK(A302),"",LEFT(B305,27)&amp;VALUE(RIGHT(B305,1)+1))</f>
        <v>DKF250911SELDOL_20C_sample_5</v>
      </c>
      <c r="C306" s="6" t="str">
        <f t="shared" ref="C306:D306" si="356">C305</f>
        <v>Selago dolosa</v>
      </c>
      <c r="D306" s="6" t="str">
        <f t="shared" si="356"/>
        <v>20C</v>
      </c>
      <c r="E306" s="10">
        <f>IF(ISBLANK(A302),"",E305+1)</f>
        <v>5</v>
      </c>
      <c r="F306" s="11">
        <f t="shared" si="354"/>
        <v>45912.60764</v>
      </c>
      <c r="G306" s="8"/>
    </row>
    <row r="307">
      <c r="A307" s="12" t="str">
        <f t="shared" si="352"/>
        <v>SELDOL</v>
      </c>
      <c r="B307" s="12" t="str">
        <f>IF(ISBLANK(A302),"",LEFT(B306,27)&amp;VALUE(RIGHT(B306,1)+1))</f>
        <v>DKF250911SELDOL_20C_sample_6</v>
      </c>
      <c r="C307" s="13" t="str">
        <f t="shared" ref="C307:D307" si="357">C306</f>
        <v>Selago dolosa</v>
      </c>
      <c r="D307" s="13" t="str">
        <f t="shared" si="357"/>
        <v>20C</v>
      </c>
      <c r="E307" s="14">
        <f>IF(ISBLANK(A302),"",E306+1)</f>
        <v>6</v>
      </c>
      <c r="F307" s="15">
        <f t="shared" si="354"/>
        <v>45912.60764</v>
      </c>
      <c r="G307" s="16">
        <v>1.314</v>
      </c>
    </row>
    <row r="308">
      <c r="A308" s="5" t="s">
        <v>18</v>
      </c>
      <c r="B308" s="6" t="str">
        <f>IF(ISBLANK(A308),"",VLOOKUP($A308,'Data Feed (20C)'!$A$1:$G$14,2,FALSE))</f>
        <v>DKR250911WAHNOD_20C_sample_1</v>
      </c>
      <c r="C308" s="6" t="str">
        <f>IF(ISBLANK(A308),"",VLOOKUP($A308,'Data Feed (20C)'!$A$1:$G$14,3,FALSE))</f>
        <v>Wahlenbergia nodosa</v>
      </c>
      <c r="D308" s="6" t="str">
        <f>IF(ISBLANK(A308),"",VLOOKUP($A308,'Data Feed (20C)'!$A$1:$G$14,4,FALSE))</f>
        <v>20C</v>
      </c>
      <c r="E308" s="6">
        <f>IF(ISBLANK(A308),"",VLOOKUP($A308,'Data Feed (20C)'!$A$1:$G$14,7,FALSE))</f>
        <v>1</v>
      </c>
      <c r="F308" s="7">
        <v>45912.60763888889</v>
      </c>
      <c r="G308" s="8">
        <v>0.434</v>
      </c>
    </row>
    <row r="309">
      <c r="A309" s="9" t="str">
        <f t="shared" ref="A309:A313" si="359">A308</f>
        <v>WAHNOD</v>
      </c>
      <c r="B309" s="9" t="str">
        <f>IF(ISBLANK(A308),"",LEFT(B308,27)&amp;VALUE(RIGHT(B308,1)+1))</f>
        <v>DKR250911WAHNOD_20C_sample_2</v>
      </c>
      <c r="C309" s="6" t="str">
        <f t="shared" ref="C309:D309" si="358">C308</f>
        <v>Wahlenbergia nodosa</v>
      </c>
      <c r="D309" s="6" t="str">
        <f t="shared" si="358"/>
        <v>20C</v>
      </c>
      <c r="E309" s="10">
        <f>IF(ISBLANK(A308),"",E308+1)</f>
        <v>2</v>
      </c>
      <c r="F309" s="11">
        <f t="shared" ref="F309:F313" si="361">F308</f>
        <v>45912.60764</v>
      </c>
      <c r="G309" s="8">
        <v>0.241</v>
      </c>
    </row>
    <row r="310">
      <c r="A310" s="9" t="str">
        <f t="shared" si="359"/>
        <v>WAHNOD</v>
      </c>
      <c r="B310" s="9" t="str">
        <f>IF(ISBLANK(A308),"",LEFT(B309,27)&amp;VALUE(RIGHT(B309,1)+1))</f>
        <v>DKR250911WAHNOD_20C_sample_3</v>
      </c>
      <c r="C310" s="6" t="str">
        <f t="shared" ref="C310:D310" si="360">C309</f>
        <v>Wahlenbergia nodosa</v>
      </c>
      <c r="D310" s="6" t="str">
        <f t="shared" si="360"/>
        <v>20C</v>
      </c>
      <c r="E310" s="10">
        <f>IF(ISBLANK(A308),"",E309+1)</f>
        <v>3</v>
      </c>
      <c r="F310" s="11">
        <f t="shared" si="361"/>
        <v>45912.60764</v>
      </c>
      <c r="G310" s="8">
        <v>0.197</v>
      </c>
    </row>
    <row r="311">
      <c r="A311" s="9" t="str">
        <f t="shared" si="359"/>
        <v>WAHNOD</v>
      </c>
      <c r="B311" s="9" t="str">
        <f>IF(ISBLANK(A308),"",LEFT(B310,27)&amp;VALUE(RIGHT(B310,1)+1))</f>
        <v>DKR250911WAHNOD_20C_sample_4</v>
      </c>
      <c r="C311" s="6" t="str">
        <f t="shared" ref="C311:D311" si="362">C310</f>
        <v>Wahlenbergia nodosa</v>
      </c>
      <c r="D311" s="6" t="str">
        <f t="shared" si="362"/>
        <v>20C</v>
      </c>
      <c r="E311" s="10">
        <f>IF(ISBLANK(A308),"",E310+1)</f>
        <v>4</v>
      </c>
      <c r="F311" s="11">
        <f t="shared" si="361"/>
        <v>45912.60764</v>
      </c>
      <c r="G311" s="8">
        <v>0.859</v>
      </c>
    </row>
    <row r="312">
      <c r="A312" s="9" t="str">
        <f t="shared" si="359"/>
        <v>WAHNOD</v>
      </c>
      <c r="B312" s="9" t="str">
        <f>IF(ISBLANK(A308),"",LEFT(B311,27)&amp;VALUE(RIGHT(B311,1)+1))</f>
        <v>DKR250911WAHNOD_20C_sample_5</v>
      </c>
      <c r="C312" s="6" t="str">
        <f t="shared" ref="C312:D312" si="363">C311</f>
        <v>Wahlenbergia nodosa</v>
      </c>
      <c r="D312" s="6" t="str">
        <f t="shared" si="363"/>
        <v>20C</v>
      </c>
      <c r="E312" s="10">
        <f>IF(ISBLANK(A308),"",E311+1)</f>
        <v>5</v>
      </c>
      <c r="F312" s="11">
        <f t="shared" si="361"/>
        <v>45912.60764</v>
      </c>
      <c r="G312" s="8">
        <v>0.508</v>
      </c>
    </row>
    <row r="313">
      <c r="A313" s="12" t="str">
        <f t="shared" si="359"/>
        <v>WAHNOD</v>
      </c>
      <c r="B313" s="12" t="str">
        <f>IF(ISBLANK(A308),"",LEFT(B312,27)&amp;VALUE(RIGHT(B312,1)+1))</f>
        <v>DKR250911WAHNOD_20C_sample_6</v>
      </c>
      <c r="C313" s="13" t="str">
        <f t="shared" ref="C313:D313" si="364">C312</f>
        <v>Wahlenbergia nodosa</v>
      </c>
      <c r="D313" s="13" t="str">
        <f t="shared" si="364"/>
        <v>20C</v>
      </c>
      <c r="E313" s="14">
        <f>IF(ISBLANK(A308),"",E312+1)</f>
        <v>6</v>
      </c>
      <c r="F313" s="15">
        <f t="shared" si="361"/>
        <v>45912.60764</v>
      </c>
      <c r="G313" s="16">
        <v>0.516</v>
      </c>
    </row>
    <row r="314">
      <c r="A314" s="5" t="s">
        <v>7</v>
      </c>
      <c r="B314" s="6" t="str">
        <f>IF(ISBLANK(A314),"",VLOOKUP($A314,'Data Feed (20C)'!$A$1:$G$14,2,FALSE))</f>
        <v>DKR250911PASOBT_20C_sample_1</v>
      </c>
      <c r="C314" s="6" t="str">
        <f>IF(ISBLANK(A314),"",VLOOKUP($A314,'Data Feed (20C)'!$A$1:$G$14,3,FALSE))</f>
        <v>Passerina obtusifolia</v>
      </c>
      <c r="D314" s="6" t="str">
        <f>IF(ISBLANK(A314),"",VLOOKUP($A314,'Data Feed (20C)'!$A$1:$G$14,4,FALSE))</f>
        <v>20C</v>
      </c>
      <c r="E314" s="6">
        <f>IF(ISBLANK(A314),"",VLOOKUP($A314,'Data Feed (20C)'!$A$1:$G$14,7,FALSE))</f>
        <v>1</v>
      </c>
      <c r="F314" s="7">
        <v>45912.67013888889</v>
      </c>
      <c r="G314" s="8">
        <v>3.204</v>
      </c>
    </row>
    <row r="315">
      <c r="A315" s="9" t="str">
        <f t="shared" ref="A315:A319" si="366">A314</f>
        <v>PASOBT</v>
      </c>
      <c r="B315" s="9" t="str">
        <f>IF(ISBLANK(A314),"",LEFT(B314,27)&amp;VALUE(RIGHT(B314,1)+1))</f>
        <v>DKR250911PASOBT_20C_sample_2</v>
      </c>
      <c r="C315" s="6" t="str">
        <f t="shared" ref="C315:D315" si="365">C314</f>
        <v>Passerina obtusifolia</v>
      </c>
      <c r="D315" s="6" t="str">
        <f t="shared" si="365"/>
        <v>20C</v>
      </c>
      <c r="E315" s="10">
        <f>IF(ISBLANK(A314),"",E314+1)</f>
        <v>2</v>
      </c>
      <c r="F315" s="11">
        <f t="shared" ref="F315:F319" si="368">F314</f>
        <v>45912.67014</v>
      </c>
      <c r="G315" s="8">
        <v>4.409</v>
      </c>
    </row>
    <row r="316">
      <c r="A316" s="9" t="str">
        <f t="shared" si="366"/>
        <v>PASOBT</v>
      </c>
      <c r="B316" s="9" t="str">
        <f>IF(ISBLANK(A314),"",LEFT(B315,27)&amp;VALUE(RIGHT(B315,1)+1))</f>
        <v>DKR250911PASOBT_20C_sample_3</v>
      </c>
      <c r="C316" s="6" t="str">
        <f t="shared" ref="C316:D316" si="367">C315</f>
        <v>Passerina obtusifolia</v>
      </c>
      <c r="D316" s="6" t="str">
        <f t="shared" si="367"/>
        <v>20C</v>
      </c>
      <c r="E316" s="10">
        <f>IF(ISBLANK(A314),"",E315+1)</f>
        <v>3</v>
      </c>
      <c r="F316" s="11">
        <f t="shared" si="368"/>
        <v>45912.67014</v>
      </c>
      <c r="G316" s="8">
        <v>1.534</v>
      </c>
    </row>
    <row r="317">
      <c r="A317" s="9" t="str">
        <f t="shared" si="366"/>
        <v>PASOBT</v>
      </c>
      <c r="B317" s="9" t="str">
        <f>IF(ISBLANK(A314),"",LEFT(B316,27)&amp;VALUE(RIGHT(B316,1)+1))</f>
        <v>DKR250911PASOBT_20C_sample_4</v>
      </c>
      <c r="C317" s="6" t="str">
        <f t="shared" ref="C317:D317" si="369">C316</f>
        <v>Passerina obtusifolia</v>
      </c>
      <c r="D317" s="6" t="str">
        <f t="shared" si="369"/>
        <v>20C</v>
      </c>
      <c r="E317" s="10">
        <f>IF(ISBLANK(A314),"",E316+1)</f>
        <v>4</v>
      </c>
      <c r="F317" s="11">
        <f t="shared" si="368"/>
        <v>45912.67014</v>
      </c>
      <c r="G317" s="8">
        <v>2.212</v>
      </c>
    </row>
    <row r="318">
      <c r="A318" s="9" t="str">
        <f t="shared" si="366"/>
        <v>PASOBT</v>
      </c>
      <c r="B318" s="9" t="str">
        <f>IF(ISBLANK(A314),"",LEFT(B317,27)&amp;VALUE(RIGHT(B317,1)+1))</f>
        <v>DKR250911PASOBT_20C_sample_5</v>
      </c>
      <c r="C318" s="6" t="str">
        <f t="shared" ref="C318:D318" si="370">C317</f>
        <v>Passerina obtusifolia</v>
      </c>
      <c r="D318" s="6" t="str">
        <f t="shared" si="370"/>
        <v>20C</v>
      </c>
      <c r="E318" s="10">
        <f>IF(ISBLANK(A314),"",E317+1)</f>
        <v>5</v>
      </c>
      <c r="F318" s="11">
        <f t="shared" si="368"/>
        <v>45912.67014</v>
      </c>
      <c r="G318" s="8">
        <v>1.784</v>
      </c>
    </row>
    <row r="319">
      <c r="A319" s="12" t="str">
        <f t="shared" si="366"/>
        <v>PASOBT</v>
      </c>
      <c r="B319" s="12" t="str">
        <f>IF(ISBLANK(A314),"",LEFT(B318,27)&amp;VALUE(RIGHT(B318,1)+1))</f>
        <v>DKR250911PASOBT_20C_sample_6</v>
      </c>
      <c r="C319" s="13" t="str">
        <f t="shared" ref="C319:D319" si="371">C318</f>
        <v>Passerina obtusifolia</v>
      </c>
      <c r="D319" s="13" t="str">
        <f t="shared" si="371"/>
        <v>20C</v>
      </c>
      <c r="E319" s="14">
        <f>IF(ISBLANK(A314),"",E318+1)</f>
        <v>6</v>
      </c>
      <c r="F319" s="15">
        <f t="shared" si="368"/>
        <v>45912.67014</v>
      </c>
      <c r="G319" s="16">
        <v>3.049</v>
      </c>
    </row>
    <row r="320">
      <c r="A320" s="5" t="s">
        <v>12</v>
      </c>
      <c r="B320" s="6" t="str">
        <f>IF(ISBLANK(A320),"",VLOOKUP($A320,'Data Feed (20C)'!$A$1:$G$14,2,FALSE))</f>
        <v>DKF250911AGACAP_20C_sample_1</v>
      </c>
      <c r="C320" s="6" t="str">
        <f>IF(ISBLANK(A320),"",VLOOKUP($A320,'Data Feed (20C)'!$A$1:$G$14,3,FALSE))</f>
        <v>Agathosma capensis</v>
      </c>
      <c r="D320" s="6" t="str">
        <f>IF(ISBLANK(A320),"",VLOOKUP($A320,'Data Feed (20C)'!$A$1:$G$14,4,FALSE))</f>
        <v>20C</v>
      </c>
      <c r="E320" s="6">
        <f>IF(ISBLANK(A320),"",VLOOKUP($A320,'Data Feed (20C)'!$A$1:$G$14,7,FALSE))</f>
        <v>1</v>
      </c>
      <c r="F320" s="7">
        <v>45912.674305555556</v>
      </c>
      <c r="G320" s="8">
        <v>5.228</v>
      </c>
    </row>
    <row r="321">
      <c r="A321" s="9" t="str">
        <f t="shared" ref="A321:A325" si="373">A320</f>
        <v>AGACAP</v>
      </c>
      <c r="B321" s="9" t="str">
        <f>IF(ISBLANK(A320),"",LEFT(B320,27)&amp;VALUE(RIGHT(B320,1)+1))</f>
        <v>DKF250911AGACAP_20C_sample_2</v>
      </c>
      <c r="C321" s="6" t="str">
        <f t="shared" ref="C321:D321" si="372">C320</f>
        <v>Agathosma capensis</v>
      </c>
      <c r="D321" s="6" t="str">
        <f t="shared" si="372"/>
        <v>20C</v>
      </c>
      <c r="E321" s="10">
        <f>IF(ISBLANK(A320),"",E320+1)</f>
        <v>2</v>
      </c>
      <c r="F321" s="11">
        <f t="shared" ref="F321:F325" si="375">F320</f>
        <v>45912.67431</v>
      </c>
      <c r="G321" s="8">
        <v>1.893</v>
      </c>
    </row>
    <row r="322">
      <c r="A322" s="9" t="str">
        <f t="shared" si="373"/>
        <v>AGACAP</v>
      </c>
      <c r="B322" s="9" t="str">
        <f>IF(ISBLANK(A320),"",LEFT(B321,27)&amp;VALUE(RIGHT(B321,1)+1))</f>
        <v>DKF250911AGACAP_20C_sample_3</v>
      </c>
      <c r="C322" s="6" t="str">
        <f t="shared" ref="C322:D322" si="374">C321</f>
        <v>Agathosma capensis</v>
      </c>
      <c r="D322" s="6" t="str">
        <f t="shared" si="374"/>
        <v>20C</v>
      </c>
      <c r="E322" s="10">
        <f>IF(ISBLANK(A320),"",E321+1)</f>
        <v>3</v>
      </c>
      <c r="F322" s="11">
        <f t="shared" si="375"/>
        <v>45912.67431</v>
      </c>
      <c r="G322" s="8">
        <v>2.525</v>
      </c>
    </row>
    <row r="323">
      <c r="A323" s="9" t="str">
        <f t="shared" si="373"/>
        <v>AGACAP</v>
      </c>
      <c r="B323" s="9" t="str">
        <f>IF(ISBLANK(A320),"",LEFT(B322,27)&amp;VALUE(RIGHT(B322,1)+1))</f>
        <v>DKF250911AGACAP_20C_sample_4</v>
      </c>
      <c r="C323" s="6" t="str">
        <f t="shared" ref="C323:D323" si="376">C322</f>
        <v>Agathosma capensis</v>
      </c>
      <c r="D323" s="6" t="str">
        <f t="shared" si="376"/>
        <v>20C</v>
      </c>
      <c r="E323" s="10">
        <f>IF(ISBLANK(A320),"",E322+1)</f>
        <v>4</v>
      </c>
      <c r="F323" s="11">
        <f t="shared" si="375"/>
        <v>45912.67431</v>
      </c>
      <c r="G323" s="8">
        <v>1.715</v>
      </c>
    </row>
    <row r="324">
      <c r="A324" s="9" t="str">
        <f t="shared" si="373"/>
        <v>AGACAP</v>
      </c>
      <c r="B324" s="9" t="str">
        <f>IF(ISBLANK(A320),"",LEFT(B323,27)&amp;VALUE(RIGHT(B323,1)+1))</f>
        <v>DKF250911AGACAP_20C_sample_5</v>
      </c>
      <c r="C324" s="6" t="str">
        <f t="shared" ref="C324:D324" si="377">C323</f>
        <v>Agathosma capensis</v>
      </c>
      <c r="D324" s="6" t="str">
        <f t="shared" si="377"/>
        <v>20C</v>
      </c>
      <c r="E324" s="10">
        <f>IF(ISBLANK(A320),"",E323+1)</f>
        <v>5</v>
      </c>
      <c r="F324" s="11">
        <f t="shared" si="375"/>
        <v>45912.67431</v>
      </c>
      <c r="G324" s="8">
        <v>0.716</v>
      </c>
    </row>
    <row r="325">
      <c r="A325" s="12" t="str">
        <f t="shared" si="373"/>
        <v>AGACAP</v>
      </c>
      <c r="B325" s="12" t="str">
        <f>IF(ISBLANK(A320),"",LEFT(B324,27)&amp;VALUE(RIGHT(B324,1)+1))</f>
        <v>DKF250911AGACAP_20C_sample_6</v>
      </c>
      <c r="C325" s="13" t="str">
        <f t="shared" ref="C325:D325" si="378">C324</f>
        <v>Agathosma capensis</v>
      </c>
      <c r="D325" s="13" t="str">
        <f t="shared" si="378"/>
        <v>20C</v>
      </c>
      <c r="E325" s="14">
        <f>IF(ISBLANK(A320),"",E324+1)</f>
        <v>6</v>
      </c>
      <c r="F325" s="15">
        <f t="shared" si="375"/>
        <v>45912.67431</v>
      </c>
      <c r="G325" s="16">
        <v>1.922</v>
      </c>
    </row>
    <row r="326">
      <c r="A326" s="5" t="s">
        <v>19</v>
      </c>
      <c r="B326" s="6" t="str">
        <f>IF(ISBLANK(A326),"",VLOOKUP($A326,'Data Feed (20C)'!$A$1:$G$14,2,FALSE))</f>
        <v>DKR250911CLURUB_20C_sample_1</v>
      </c>
      <c r="C326" s="6" t="str">
        <f>IF(ISBLANK(A326),"",VLOOKUP($A326,'Data Feed (20C)'!$A$1:$G$14,3,FALSE))</f>
        <v>Clutia rubricaulis</v>
      </c>
      <c r="D326" s="6" t="str">
        <f>IF(ISBLANK(A326),"",VLOOKUP($A326,'Data Feed (20C)'!$A$1:$G$14,4,FALSE))</f>
        <v>20C</v>
      </c>
      <c r="E326" s="6">
        <f>IF(ISBLANK(A326),"",VLOOKUP($A326,'Data Feed (20C)'!$A$1:$G$14,7,FALSE))</f>
        <v>1</v>
      </c>
      <c r="F326" s="7">
        <v>45912.67638888889</v>
      </c>
      <c r="G326" s="8">
        <v>0.528</v>
      </c>
    </row>
    <row r="327">
      <c r="A327" s="9" t="str">
        <f t="shared" ref="A327:A331" si="380">A326</f>
        <v>CLURUB</v>
      </c>
      <c r="B327" s="9" t="str">
        <f>IF(ISBLANK(A326),"",LEFT(B326,27)&amp;VALUE(RIGHT(B326,1)+1))</f>
        <v>DKR250911CLURUB_20C_sample_2</v>
      </c>
      <c r="C327" s="6" t="str">
        <f t="shared" ref="C327:D327" si="379">C326</f>
        <v>Clutia rubricaulis</v>
      </c>
      <c r="D327" s="6" t="str">
        <f t="shared" si="379"/>
        <v>20C</v>
      </c>
      <c r="E327" s="10">
        <f>IF(ISBLANK(A326),"",E326+1)</f>
        <v>2</v>
      </c>
      <c r="F327" s="11">
        <f t="shared" ref="F327:F331" si="382">F326</f>
        <v>45912.67639</v>
      </c>
      <c r="G327" s="8">
        <v>0.408</v>
      </c>
    </row>
    <row r="328">
      <c r="A328" s="9" t="str">
        <f t="shared" si="380"/>
        <v>CLURUB</v>
      </c>
      <c r="B328" s="9" t="str">
        <f>IF(ISBLANK(A326),"",LEFT(B327,27)&amp;VALUE(RIGHT(B327,1)+1))</f>
        <v>DKR250911CLURUB_20C_sample_3</v>
      </c>
      <c r="C328" s="6" t="str">
        <f t="shared" ref="C328:D328" si="381">C327</f>
        <v>Clutia rubricaulis</v>
      </c>
      <c r="D328" s="6" t="str">
        <f t="shared" si="381"/>
        <v>20C</v>
      </c>
      <c r="E328" s="10">
        <f>IF(ISBLANK(A326),"",E327+1)</f>
        <v>3</v>
      </c>
      <c r="F328" s="11">
        <f t="shared" si="382"/>
        <v>45912.67639</v>
      </c>
      <c r="G328" s="8">
        <v>0.532</v>
      </c>
    </row>
    <row r="329">
      <c r="A329" s="9" t="str">
        <f t="shared" si="380"/>
        <v>CLURUB</v>
      </c>
      <c r="B329" s="9" t="str">
        <f>IF(ISBLANK(A326),"",LEFT(B328,27)&amp;VALUE(RIGHT(B328,1)+1))</f>
        <v>DKR250911CLURUB_20C_sample_4</v>
      </c>
      <c r="C329" s="6" t="str">
        <f t="shared" ref="C329:D329" si="383">C328</f>
        <v>Clutia rubricaulis</v>
      </c>
      <c r="D329" s="6" t="str">
        <f t="shared" si="383"/>
        <v>20C</v>
      </c>
      <c r="E329" s="10">
        <f>IF(ISBLANK(A326),"",E328+1)</f>
        <v>4</v>
      </c>
      <c r="F329" s="11">
        <f t="shared" si="382"/>
        <v>45912.67639</v>
      </c>
      <c r="G329" s="8">
        <v>0.244</v>
      </c>
    </row>
    <row r="330">
      <c r="A330" s="9" t="str">
        <f t="shared" si="380"/>
        <v>CLURUB</v>
      </c>
      <c r="B330" s="9" t="str">
        <f>IF(ISBLANK(A326),"",LEFT(B329,27)&amp;VALUE(RIGHT(B329,1)+1))</f>
        <v>DKR250911CLURUB_20C_sample_5</v>
      </c>
      <c r="C330" s="6" t="str">
        <f t="shared" ref="C330:D330" si="384">C329</f>
        <v>Clutia rubricaulis</v>
      </c>
      <c r="D330" s="6" t="str">
        <f t="shared" si="384"/>
        <v>20C</v>
      </c>
      <c r="E330" s="10">
        <f>IF(ISBLANK(A326),"",E329+1)</f>
        <v>5</v>
      </c>
      <c r="F330" s="11">
        <f t="shared" si="382"/>
        <v>45912.67639</v>
      </c>
      <c r="G330" s="8">
        <v>0.535</v>
      </c>
    </row>
    <row r="331">
      <c r="A331" s="12" t="str">
        <f t="shared" si="380"/>
        <v>CLURUB</v>
      </c>
      <c r="B331" s="12" t="str">
        <f>IF(ISBLANK(A326),"",LEFT(B330,27)&amp;VALUE(RIGHT(B330,1)+1))</f>
        <v>DKR250911CLURUB_20C_sample_6</v>
      </c>
      <c r="C331" s="13" t="str">
        <f t="shared" ref="C331:D331" si="385">C330</f>
        <v>Clutia rubricaulis</v>
      </c>
      <c r="D331" s="13" t="str">
        <f t="shared" si="385"/>
        <v>20C</v>
      </c>
      <c r="E331" s="14">
        <f>IF(ISBLANK(A326),"",E330+1)</f>
        <v>6</v>
      </c>
      <c r="F331" s="15">
        <f t="shared" si="382"/>
        <v>45912.67639</v>
      </c>
      <c r="G331" s="16">
        <v>0.464</v>
      </c>
    </row>
    <row r="332">
      <c r="A332" s="5" t="s">
        <v>14</v>
      </c>
      <c r="B332" s="6" t="str">
        <f>IF(ISBLANK(A332),"",VLOOKUP($A332,'Data Feed (20C)'!$A$1:$G$14,2,FALSE))</f>
        <v>DKF250911ASPSHA_20C_sample_1</v>
      </c>
      <c r="C332" s="6" t="str">
        <f>IF(ISBLANK(A332),"",VLOOKUP($A332,'Data Feed (20C)'!$A$1:$G$14,3,FALSE))</f>
        <v>Aspalathus shawii</v>
      </c>
      <c r="D332" s="6" t="str">
        <f>IF(ISBLANK(A332),"",VLOOKUP($A332,'Data Feed (20C)'!$A$1:$G$14,4,FALSE))</f>
        <v>20C</v>
      </c>
      <c r="E332" s="6">
        <f>IF(ISBLANK(A332),"",VLOOKUP($A332,'Data Feed (20C)'!$A$1:$G$14,7,FALSE))</f>
        <v>1</v>
      </c>
      <c r="F332" s="7">
        <v>45912.677777777775</v>
      </c>
      <c r="G332" s="8">
        <v>15.096</v>
      </c>
    </row>
    <row r="333">
      <c r="A333" s="9" t="str">
        <f t="shared" ref="A333:A337" si="387">A332</f>
        <v>ASPSHA</v>
      </c>
      <c r="B333" s="9" t="str">
        <f>IF(ISBLANK(A332),"",LEFT(B332,27)&amp;VALUE(RIGHT(B332,1)+1))</f>
        <v>DKF250911ASPSHA_20C_sample_2</v>
      </c>
      <c r="C333" s="6" t="str">
        <f t="shared" ref="C333:D333" si="386">C332</f>
        <v>Aspalathus shawii</v>
      </c>
      <c r="D333" s="6" t="str">
        <f t="shared" si="386"/>
        <v>20C</v>
      </c>
      <c r="E333" s="10">
        <f>IF(ISBLANK(A332),"",E332+1)</f>
        <v>2</v>
      </c>
      <c r="F333" s="11">
        <f t="shared" ref="F333:F337" si="389">F332</f>
        <v>45912.67778</v>
      </c>
      <c r="G333" s="8">
        <v>10.519</v>
      </c>
    </row>
    <row r="334">
      <c r="A334" s="9" t="str">
        <f t="shared" si="387"/>
        <v>ASPSHA</v>
      </c>
      <c r="B334" s="9" t="str">
        <f>IF(ISBLANK(A332),"",LEFT(B333,27)&amp;VALUE(RIGHT(B333,1)+1))</f>
        <v>DKF250911ASPSHA_20C_sample_3</v>
      </c>
      <c r="C334" s="6" t="str">
        <f t="shared" ref="C334:D334" si="388">C333</f>
        <v>Aspalathus shawii</v>
      </c>
      <c r="D334" s="6" t="str">
        <f t="shared" si="388"/>
        <v>20C</v>
      </c>
      <c r="E334" s="10">
        <f>IF(ISBLANK(A332),"",E333+1)</f>
        <v>3</v>
      </c>
      <c r="F334" s="11">
        <f t="shared" si="389"/>
        <v>45912.67778</v>
      </c>
      <c r="G334" s="8">
        <v>5.905</v>
      </c>
    </row>
    <row r="335">
      <c r="A335" s="9" t="str">
        <f t="shared" si="387"/>
        <v>ASPSHA</v>
      </c>
      <c r="B335" s="9" t="str">
        <f>IF(ISBLANK(A332),"",LEFT(B334,27)&amp;VALUE(RIGHT(B334,1)+1))</f>
        <v>DKF250911ASPSHA_20C_sample_4</v>
      </c>
      <c r="C335" s="6" t="str">
        <f t="shared" ref="C335:D335" si="390">C334</f>
        <v>Aspalathus shawii</v>
      </c>
      <c r="D335" s="6" t="str">
        <f t="shared" si="390"/>
        <v>20C</v>
      </c>
      <c r="E335" s="10">
        <f>IF(ISBLANK(A332),"",E334+1)</f>
        <v>4</v>
      </c>
      <c r="F335" s="11">
        <f t="shared" si="389"/>
        <v>45912.67778</v>
      </c>
      <c r="G335" s="8">
        <v>14.565</v>
      </c>
    </row>
    <row r="336">
      <c r="A336" s="9" t="str">
        <f t="shared" si="387"/>
        <v>ASPSHA</v>
      </c>
      <c r="B336" s="9" t="str">
        <f>IF(ISBLANK(A332),"",LEFT(B335,27)&amp;VALUE(RIGHT(B335,1)+1))</f>
        <v>DKF250911ASPSHA_20C_sample_5</v>
      </c>
      <c r="C336" s="6" t="str">
        <f t="shared" ref="C336:D336" si="391">C335</f>
        <v>Aspalathus shawii</v>
      </c>
      <c r="D336" s="6" t="str">
        <f t="shared" si="391"/>
        <v>20C</v>
      </c>
      <c r="E336" s="10">
        <f>IF(ISBLANK(A332),"",E335+1)</f>
        <v>5</v>
      </c>
      <c r="F336" s="11">
        <f t="shared" si="389"/>
        <v>45912.67778</v>
      </c>
      <c r="G336" s="8">
        <v>4.477</v>
      </c>
    </row>
    <row r="337">
      <c r="A337" s="12" t="str">
        <f t="shared" si="387"/>
        <v>ASPSHA</v>
      </c>
      <c r="B337" s="12" t="str">
        <f>IF(ISBLANK(A332),"",LEFT(B336,27)&amp;VALUE(RIGHT(B336,1)+1))</f>
        <v>DKF250911ASPSHA_20C_sample_6</v>
      </c>
      <c r="C337" s="13" t="str">
        <f t="shared" ref="C337:D337" si="392">C336</f>
        <v>Aspalathus shawii</v>
      </c>
      <c r="D337" s="13" t="str">
        <f t="shared" si="392"/>
        <v>20C</v>
      </c>
      <c r="E337" s="14">
        <f>IF(ISBLANK(A332),"",E336+1)</f>
        <v>6</v>
      </c>
      <c r="F337" s="15">
        <f t="shared" si="389"/>
        <v>45912.67778</v>
      </c>
      <c r="G337" s="16">
        <v>12.157</v>
      </c>
    </row>
    <row r="338">
      <c r="A338" s="5" t="s">
        <v>9</v>
      </c>
      <c r="B338" s="6" t="str">
        <f>IF(ISBLANK(A338),"",VLOOKUP($A338,'Data Feed (20C)'!$A$1:$G$14,2,FALSE))</f>
        <v>DKR250911PROLAU_20C_sample_1</v>
      </c>
      <c r="C338" s="6" t="str">
        <f>IF(ISBLANK(A338),"",VLOOKUP($A338,'Data Feed (20C)'!$A$1:$G$14,3,FALSE))</f>
        <v>Protea laurifolia</v>
      </c>
      <c r="D338" s="6" t="str">
        <f>IF(ISBLANK(A338),"",VLOOKUP($A338,'Data Feed (20C)'!$A$1:$G$14,4,FALSE))</f>
        <v>20C</v>
      </c>
      <c r="E338" s="6">
        <f>IF(ISBLANK(A338),"",VLOOKUP($A338,'Data Feed (20C)'!$A$1:$G$14,7,FALSE))</f>
        <v>1</v>
      </c>
      <c r="F338" s="7">
        <v>45912.67847222222</v>
      </c>
      <c r="G338" s="8">
        <v>1.066</v>
      </c>
    </row>
    <row r="339">
      <c r="A339" s="9" t="str">
        <f t="shared" ref="A339:A343" si="394">A338</f>
        <v>PROLAU</v>
      </c>
      <c r="B339" s="9" t="str">
        <f>IF(ISBLANK(A338),"",LEFT(B338,27)&amp;VALUE(RIGHT(B338,1)+1))</f>
        <v>DKR250911PROLAU_20C_sample_2</v>
      </c>
      <c r="C339" s="6" t="str">
        <f t="shared" ref="C339:D339" si="393">C338</f>
        <v>Protea laurifolia</v>
      </c>
      <c r="D339" s="6" t="str">
        <f t="shared" si="393"/>
        <v>20C</v>
      </c>
      <c r="E339" s="10">
        <f>IF(ISBLANK(A338),"",E338+1)</f>
        <v>2</v>
      </c>
      <c r="F339" s="11">
        <f t="shared" ref="F339:F343" si="396">F338</f>
        <v>45912.67847</v>
      </c>
      <c r="G339" s="8">
        <v>1.272</v>
      </c>
    </row>
    <row r="340">
      <c r="A340" s="9" t="str">
        <f t="shared" si="394"/>
        <v>PROLAU</v>
      </c>
      <c r="B340" s="9" t="str">
        <f>IF(ISBLANK(A338),"",LEFT(B339,27)&amp;VALUE(RIGHT(B339,1)+1))</f>
        <v>DKR250911PROLAU_20C_sample_3</v>
      </c>
      <c r="C340" s="6" t="str">
        <f t="shared" ref="C340:D340" si="395">C339</f>
        <v>Protea laurifolia</v>
      </c>
      <c r="D340" s="6" t="str">
        <f t="shared" si="395"/>
        <v>20C</v>
      </c>
      <c r="E340" s="10">
        <f>IF(ISBLANK(A338),"",E339+1)</f>
        <v>3</v>
      </c>
      <c r="F340" s="11">
        <f t="shared" si="396"/>
        <v>45912.67847</v>
      </c>
      <c r="G340" s="8">
        <v>1.162</v>
      </c>
    </row>
    <row r="341">
      <c r="A341" s="9" t="str">
        <f t="shared" si="394"/>
        <v>PROLAU</v>
      </c>
      <c r="B341" s="9" t="str">
        <f>IF(ISBLANK(A338),"",LEFT(B340,27)&amp;VALUE(RIGHT(B340,1)+1))</f>
        <v>DKR250911PROLAU_20C_sample_4</v>
      </c>
      <c r="C341" s="6" t="str">
        <f t="shared" ref="C341:D341" si="397">C340</f>
        <v>Protea laurifolia</v>
      </c>
      <c r="D341" s="6" t="str">
        <f t="shared" si="397"/>
        <v>20C</v>
      </c>
      <c r="E341" s="10">
        <f>IF(ISBLANK(A338),"",E340+1)</f>
        <v>4</v>
      </c>
      <c r="F341" s="11">
        <f t="shared" si="396"/>
        <v>45912.67847</v>
      </c>
      <c r="G341" s="8">
        <v>0.555</v>
      </c>
    </row>
    <row r="342">
      <c r="A342" s="9" t="str">
        <f t="shared" si="394"/>
        <v>PROLAU</v>
      </c>
      <c r="B342" s="9" t="str">
        <f>IF(ISBLANK(A338),"",LEFT(B341,27)&amp;VALUE(RIGHT(B341,1)+1))</f>
        <v>DKR250911PROLAU_20C_sample_5</v>
      </c>
      <c r="C342" s="6" t="str">
        <f t="shared" ref="C342:D342" si="398">C341</f>
        <v>Protea laurifolia</v>
      </c>
      <c r="D342" s="6" t="str">
        <f t="shared" si="398"/>
        <v>20C</v>
      </c>
      <c r="E342" s="10">
        <f>IF(ISBLANK(A338),"",E341+1)</f>
        <v>5</v>
      </c>
      <c r="F342" s="11">
        <f t="shared" si="396"/>
        <v>45912.67847</v>
      </c>
      <c r="G342" s="8">
        <v>0.985</v>
      </c>
    </row>
    <row r="343">
      <c r="A343" s="12" t="str">
        <f t="shared" si="394"/>
        <v>PROLAU</v>
      </c>
      <c r="B343" s="12" t="str">
        <f>IF(ISBLANK(A338),"",LEFT(B342,27)&amp;VALUE(RIGHT(B342,1)+1))</f>
        <v>DKR250911PROLAU_20C_sample_6</v>
      </c>
      <c r="C343" s="13" t="str">
        <f t="shared" ref="C343:D343" si="399">C342</f>
        <v>Protea laurifolia</v>
      </c>
      <c r="D343" s="13" t="str">
        <f t="shared" si="399"/>
        <v>20C</v>
      </c>
      <c r="E343" s="14">
        <f>IF(ISBLANK(A338),"",E342+1)</f>
        <v>6</v>
      </c>
      <c r="F343" s="15">
        <f t="shared" si="396"/>
        <v>45912.67847</v>
      </c>
      <c r="G343" s="16">
        <v>1.026</v>
      </c>
    </row>
    <row r="344">
      <c r="A344" s="5" t="s">
        <v>15</v>
      </c>
      <c r="B344" s="6" t="str">
        <f>IF(ISBLANK(A344),"",VLOOKUP($A344,'Data Feed (20C)'!$A$1:$G$14,2,FALSE))</f>
        <v>DKR250911ELYRHI_20C_sample_1</v>
      </c>
      <c r="C344" s="6" t="str">
        <f>IF(ISBLANK(A344),"",VLOOKUP($A344,'Data Feed (20C)'!$A$1:$G$14,3,FALSE))</f>
        <v>Elytropappus rhinocerotis</v>
      </c>
      <c r="D344" s="6" t="str">
        <f>IF(ISBLANK(A344),"",VLOOKUP($A344,'Data Feed (20C)'!$A$1:$G$14,4,FALSE))</f>
        <v>20C</v>
      </c>
      <c r="E344" s="6">
        <f>IF(ISBLANK(A344),"",VLOOKUP($A344,'Data Feed (20C)'!$A$1:$G$14,7,FALSE))</f>
        <v>1</v>
      </c>
      <c r="F344" s="7">
        <v>45912.680555555555</v>
      </c>
      <c r="G344" s="8">
        <v>3.851</v>
      </c>
    </row>
    <row r="345">
      <c r="A345" s="9" t="str">
        <f t="shared" ref="A345:A349" si="401">A344</f>
        <v>ELYRHI</v>
      </c>
      <c r="B345" s="9" t="str">
        <f>IF(ISBLANK(A344),"",LEFT(B344,27)&amp;VALUE(RIGHT(B344,1)+1))</f>
        <v>DKR250911ELYRHI_20C_sample_2</v>
      </c>
      <c r="C345" s="6" t="str">
        <f t="shared" ref="C345:D345" si="400">C344</f>
        <v>Elytropappus rhinocerotis</v>
      </c>
      <c r="D345" s="6" t="str">
        <f t="shared" si="400"/>
        <v>20C</v>
      </c>
      <c r="E345" s="10">
        <f>IF(ISBLANK(A344),"",E344+1)</f>
        <v>2</v>
      </c>
      <c r="F345" s="11">
        <f t="shared" ref="F345:F349" si="403">F344</f>
        <v>45912.68056</v>
      </c>
      <c r="G345" s="8">
        <v>4.279</v>
      </c>
    </row>
    <row r="346">
      <c r="A346" s="9" t="str">
        <f t="shared" si="401"/>
        <v>ELYRHI</v>
      </c>
      <c r="B346" s="9" t="str">
        <f>IF(ISBLANK(A344),"",LEFT(B345,27)&amp;VALUE(RIGHT(B345,1)+1))</f>
        <v>DKR250911ELYRHI_20C_sample_3</v>
      </c>
      <c r="C346" s="6" t="str">
        <f t="shared" ref="C346:D346" si="402">C345</f>
        <v>Elytropappus rhinocerotis</v>
      </c>
      <c r="D346" s="6" t="str">
        <f t="shared" si="402"/>
        <v>20C</v>
      </c>
      <c r="E346" s="10">
        <f>IF(ISBLANK(A344),"",E345+1)</f>
        <v>3</v>
      </c>
      <c r="F346" s="11">
        <f t="shared" si="403"/>
        <v>45912.68056</v>
      </c>
      <c r="G346" s="8">
        <v>6.987</v>
      </c>
    </row>
    <row r="347">
      <c r="A347" s="9" t="str">
        <f t="shared" si="401"/>
        <v>ELYRHI</v>
      </c>
      <c r="B347" s="9" t="str">
        <f>IF(ISBLANK(A344),"",LEFT(B346,27)&amp;VALUE(RIGHT(B346,1)+1))</f>
        <v>DKR250911ELYRHI_20C_sample_4</v>
      </c>
      <c r="C347" s="6" t="str">
        <f t="shared" ref="C347:D347" si="404">C346</f>
        <v>Elytropappus rhinocerotis</v>
      </c>
      <c r="D347" s="6" t="str">
        <f t="shared" si="404"/>
        <v>20C</v>
      </c>
      <c r="E347" s="10">
        <f>IF(ISBLANK(A344),"",E346+1)</f>
        <v>4</v>
      </c>
      <c r="F347" s="11">
        <f t="shared" si="403"/>
        <v>45912.68056</v>
      </c>
      <c r="G347" s="8">
        <v>4.191</v>
      </c>
    </row>
    <row r="348">
      <c r="A348" s="9" t="str">
        <f t="shared" si="401"/>
        <v>ELYRHI</v>
      </c>
      <c r="B348" s="9" t="str">
        <f>IF(ISBLANK(A344),"",LEFT(B347,27)&amp;VALUE(RIGHT(B347,1)+1))</f>
        <v>DKR250911ELYRHI_20C_sample_5</v>
      </c>
      <c r="C348" s="6" t="str">
        <f t="shared" ref="C348:D348" si="405">C347</f>
        <v>Elytropappus rhinocerotis</v>
      </c>
      <c r="D348" s="6" t="str">
        <f t="shared" si="405"/>
        <v>20C</v>
      </c>
      <c r="E348" s="10">
        <f>IF(ISBLANK(A344),"",E347+1)</f>
        <v>5</v>
      </c>
      <c r="F348" s="11">
        <f t="shared" si="403"/>
        <v>45912.68056</v>
      </c>
      <c r="G348" s="8">
        <v>2.674</v>
      </c>
    </row>
    <row r="349">
      <c r="A349" s="12" t="str">
        <f t="shared" si="401"/>
        <v>ELYRHI</v>
      </c>
      <c r="B349" s="12" t="str">
        <f>IF(ISBLANK(A344),"",LEFT(B348,27)&amp;VALUE(RIGHT(B348,1)+1))</f>
        <v>DKR250911ELYRHI_20C_sample_6</v>
      </c>
      <c r="C349" s="13" t="str">
        <f t="shared" ref="C349:D349" si="406">C348</f>
        <v>Elytropappus rhinocerotis</v>
      </c>
      <c r="D349" s="13" t="str">
        <f t="shared" si="406"/>
        <v>20C</v>
      </c>
      <c r="E349" s="14">
        <f>IF(ISBLANK(A344),"",E348+1)</f>
        <v>6</v>
      </c>
      <c r="F349" s="15">
        <f t="shared" si="403"/>
        <v>45912.68056</v>
      </c>
      <c r="G349" s="16">
        <v>2.266</v>
      </c>
    </row>
    <row r="350">
      <c r="A350" s="5" t="s">
        <v>8</v>
      </c>
      <c r="B350" s="6" t="str">
        <f>IF(ISBLANK(A350),"",VLOOKUP($A350,'Data Feed (20C)'!$A$1:$G$14,2,FALSE))</f>
        <v>DKF250911PROLOR_20C_sample_1</v>
      </c>
      <c r="C350" s="6" t="str">
        <f>IF(ISBLANK(A350),"",VLOOKUP($A350,'Data Feed (20C)'!$A$1:$G$14,3,FALSE))</f>
        <v>Protea lorifolia</v>
      </c>
      <c r="D350" s="6" t="str">
        <f>IF(ISBLANK(A350),"",VLOOKUP($A350,'Data Feed (20C)'!$A$1:$G$14,4,FALSE))</f>
        <v>20C</v>
      </c>
      <c r="E350" s="6">
        <f>IF(ISBLANK(A350),"",VLOOKUP($A350,'Data Feed (20C)'!$A$1:$G$14,7,FALSE))</f>
        <v>1</v>
      </c>
      <c r="F350" s="7">
        <v>45912.67986111111</v>
      </c>
      <c r="G350" s="8">
        <v>3.303</v>
      </c>
    </row>
    <row r="351">
      <c r="A351" s="9" t="str">
        <f t="shared" ref="A351:A355" si="408">A350</f>
        <v>PROLOR</v>
      </c>
      <c r="B351" s="9" t="str">
        <f>IF(ISBLANK(A350),"",LEFT(B350,27)&amp;VALUE(RIGHT(B350,1)+1))</f>
        <v>DKF250911PROLOR_20C_sample_2</v>
      </c>
      <c r="C351" s="6" t="str">
        <f t="shared" ref="C351:D351" si="407">C350</f>
        <v>Protea lorifolia</v>
      </c>
      <c r="D351" s="6" t="str">
        <f t="shared" si="407"/>
        <v>20C</v>
      </c>
      <c r="E351" s="10">
        <f>IF(ISBLANK(A350),"",E350+1)</f>
        <v>2</v>
      </c>
      <c r="F351" s="11">
        <f t="shared" ref="F351:F355" si="410">F350</f>
        <v>45912.67986</v>
      </c>
      <c r="G351" s="8"/>
    </row>
    <row r="352">
      <c r="A352" s="9" t="str">
        <f t="shared" si="408"/>
        <v>PROLOR</v>
      </c>
      <c r="B352" s="9" t="str">
        <f>IF(ISBLANK(A350),"",LEFT(B351,27)&amp;VALUE(RIGHT(B351,1)+1))</f>
        <v>DKF250911PROLOR_20C_sample_3</v>
      </c>
      <c r="C352" s="6" t="str">
        <f t="shared" ref="C352:D352" si="409">C351</f>
        <v>Protea lorifolia</v>
      </c>
      <c r="D352" s="6" t="str">
        <f t="shared" si="409"/>
        <v>20C</v>
      </c>
      <c r="E352" s="10">
        <f>IF(ISBLANK(A350),"",E351+1)</f>
        <v>3</v>
      </c>
      <c r="F352" s="11">
        <f t="shared" si="410"/>
        <v>45912.67986</v>
      </c>
      <c r="G352" s="8">
        <v>3.944</v>
      </c>
    </row>
    <row r="353">
      <c r="A353" s="9" t="str">
        <f t="shared" si="408"/>
        <v>PROLOR</v>
      </c>
      <c r="B353" s="9" t="str">
        <f>IF(ISBLANK(A350),"",LEFT(B352,27)&amp;VALUE(RIGHT(B352,1)+1))</f>
        <v>DKF250911PROLOR_20C_sample_4</v>
      </c>
      <c r="C353" s="6" t="str">
        <f t="shared" ref="C353:D353" si="411">C352</f>
        <v>Protea lorifolia</v>
      </c>
      <c r="D353" s="6" t="str">
        <f t="shared" si="411"/>
        <v>20C</v>
      </c>
      <c r="E353" s="10">
        <f>IF(ISBLANK(A350),"",E352+1)</f>
        <v>4</v>
      </c>
      <c r="F353" s="11">
        <f t="shared" si="410"/>
        <v>45912.67986</v>
      </c>
      <c r="G353" s="8">
        <v>3.133</v>
      </c>
    </row>
    <row r="354">
      <c r="A354" s="9" t="str">
        <f t="shared" si="408"/>
        <v>PROLOR</v>
      </c>
      <c r="B354" s="9" t="str">
        <f>IF(ISBLANK(A350),"",LEFT(B353,27)&amp;VALUE(RIGHT(B353,1)+1))</f>
        <v>DKF250911PROLOR_20C_sample_5</v>
      </c>
      <c r="C354" s="6" t="str">
        <f t="shared" ref="C354:D354" si="412">C353</f>
        <v>Protea lorifolia</v>
      </c>
      <c r="D354" s="6" t="str">
        <f t="shared" si="412"/>
        <v>20C</v>
      </c>
      <c r="E354" s="10">
        <f>IF(ISBLANK(A350),"",E353+1)</f>
        <v>5</v>
      </c>
      <c r="F354" s="11">
        <f t="shared" si="410"/>
        <v>45912.67986</v>
      </c>
      <c r="G354" s="8">
        <v>5.811</v>
      </c>
    </row>
    <row r="355">
      <c r="A355" s="12" t="str">
        <f t="shared" si="408"/>
        <v>PROLOR</v>
      </c>
      <c r="B355" s="12" t="str">
        <f>IF(ISBLANK(A350),"",LEFT(B354,27)&amp;VALUE(RIGHT(B354,1)+1))</f>
        <v>DKF250911PROLOR_20C_sample_6</v>
      </c>
      <c r="C355" s="13" t="str">
        <f t="shared" ref="C355:D355" si="413">C354</f>
        <v>Protea lorifolia</v>
      </c>
      <c r="D355" s="13" t="str">
        <f t="shared" si="413"/>
        <v>20C</v>
      </c>
      <c r="E355" s="14">
        <f>IF(ISBLANK(A350),"",E354+1)</f>
        <v>6</v>
      </c>
      <c r="F355" s="15">
        <f t="shared" si="410"/>
        <v>45912.67986</v>
      </c>
      <c r="G355" s="16">
        <v>4.758</v>
      </c>
    </row>
    <row r="356">
      <c r="A356" s="5" t="s">
        <v>10</v>
      </c>
      <c r="B356" s="6" t="str">
        <f>IF(ISBLANK(A356),"",VLOOKUP($A356,'Data Feed (20C)'!$A$1:$G$14,2,FALSE))</f>
        <v>DKF250911LOBDEC_20C_sample_1</v>
      </c>
      <c r="C356" s="6" t="str">
        <f>IF(ISBLANK(A356),"",VLOOKUP($A356,'Data Feed (20C)'!$A$1:$G$14,3,FALSE))</f>
        <v>Lobostemon decorus</v>
      </c>
      <c r="D356" s="6" t="str">
        <f>IF(ISBLANK(A356),"",VLOOKUP($A356,'Data Feed (20C)'!$A$1:$G$14,4,FALSE))</f>
        <v>20C</v>
      </c>
      <c r="E356" s="6">
        <f>IF(ISBLANK(A356),"",VLOOKUP($A356,'Data Feed (20C)'!$A$1:$G$14,7,FALSE))</f>
        <v>1</v>
      </c>
      <c r="F356" s="7">
        <v>45912.68194444444</v>
      </c>
      <c r="G356" s="8">
        <v>10.852</v>
      </c>
    </row>
    <row r="357">
      <c r="A357" s="9" t="str">
        <f t="shared" ref="A357:A361" si="415">A356</f>
        <v>LOBDEC</v>
      </c>
      <c r="B357" s="9" t="str">
        <f>IF(ISBLANK(A356),"",LEFT(B356,27)&amp;VALUE(RIGHT(B356,1)+1))</f>
        <v>DKF250911LOBDEC_20C_sample_2</v>
      </c>
      <c r="C357" s="6" t="str">
        <f t="shared" ref="C357:D357" si="414">C356</f>
        <v>Lobostemon decorus</v>
      </c>
      <c r="D357" s="6" t="str">
        <f t="shared" si="414"/>
        <v>20C</v>
      </c>
      <c r="E357" s="10">
        <f>IF(ISBLANK(A356),"",E356+1)</f>
        <v>2</v>
      </c>
      <c r="F357" s="11">
        <f t="shared" ref="F357:F361" si="417">F356</f>
        <v>45912.68194</v>
      </c>
      <c r="G357" s="8">
        <v>8.392</v>
      </c>
    </row>
    <row r="358">
      <c r="A358" s="9" t="str">
        <f t="shared" si="415"/>
        <v>LOBDEC</v>
      </c>
      <c r="B358" s="9" t="str">
        <f>IF(ISBLANK(A356),"",LEFT(B357,27)&amp;VALUE(RIGHT(B357,1)+1))</f>
        <v>DKF250911LOBDEC_20C_sample_3</v>
      </c>
      <c r="C358" s="6" t="str">
        <f t="shared" ref="C358:D358" si="416">C357</f>
        <v>Lobostemon decorus</v>
      </c>
      <c r="D358" s="6" t="str">
        <f t="shared" si="416"/>
        <v>20C</v>
      </c>
      <c r="E358" s="10">
        <f>IF(ISBLANK(A356),"",E357+1)</f>
        <v>3</v>
      </c>
      <c r="F358" s="11">
        <f t="shared" si="417"/>
        <v>45912.68194</v>
      </c>
      <c r="G358" s="8">
        <v>11.481</v>
      </c>
    </row>
    <row r="359">
      <c r="A359" s="9" t="str">
        <f t="shared" si="415"/>
        <v>LOBDEC</v>
      </c>
      <c r="B359" s="9" t="str">
        <f>IF(ISBLANK(A356),"",LEFT(B358,27)&amp;VALUE(RIGHT(B358,1)+1))</f>
        <v>DKF250911LOBDEC_20C_sample_4</v>
      </c>
      <c r="C359" s="6" t="str">
        <f t="shared" ref="C359:D359" si="418">C358</f>
        <v>Lobostemon decorus</v>
      </c>
      <c r="D359" s="6" t="str">
        <f t="shared" si="418"/>
        <v>20C</v>
      </c>
      <c r="E359" s="10">
        <f>IF(ISBLANK(A356),"",E358+1)</f>
        <v>4</v>
      </c>
      <c r="F359" s="11">
        <f t="shared" si="417"/>
        <v>45912.68194</v>
      </c>
      <c r="G359" s="8">
        <v>7.974</v>
      </c>
    </row>
    <row r="360">
      <c r="A360" s="9" t="str">
        <f t="shared" si="415"/>
        <v>LOBDEC</v>
      </c>
      <c r="B360" s="9" t="str">
        <f>IF(ISBLANK(A356),"",LEFT(B359,27)&amp;VALUE(RIGHT(B359,1)+1))</f>
        <v>DKF250911LOBDEC_20C_sample_5</v>
      </c>
      <c r="C360" s="6" t="str">
        <f t="shared" ref="C360:D360" si="419">C359</f>
        <v>Lobostemon decorus</v>
      </c>
      <c r="D360" s="6" t="str">
        <f t="shared" si="419"/>
        <v>20C</v>
      </c>
      <c r="E360" s="10">
        <f>IF(ISBLANK(A356),"",E359+1)</f>
        <v>5</v>
      </c>
      <c r="F360" s="11">
        <f t="shared" si="417"/>
        <v>45912.68194</v>
      </c>
      <c r="G360" s="8">
        <v>5.354</v>
      </c>
    </row>
    <row r="361">
      <c r="A361" s="12" t="str">
        <f t="shared" si="415"/>
        <v>LOBDEC</v>
      </c>
      <c r="B361" s="12" t="str">
        <f>IF(ISBLANK(A356),"",LEFT(B360,27)&amp;VALUE(RIGHT(B360,1)+1))</f>
        <v>DKF250911LOBDEC_20C_sample_6</v>
      </c>
      <c r="C361" s="13" t="str">
        <f t="shared" ref="C361:D361" si="420">C360</f>
        <v>Lobostemon decorus</v>
      </c>
      <c r="D361" s="13" t="str">
        <f t="shared" si="420"/>
        <v>20C</v>
      </c>
      <c r="E361" s="14">
        <f>IF(ISBLANK(A356),"",E360+1)</f>
        <v>6</v>
      </c>
      <c r="F361" s="15">
        <f t="shared" si="417"/>
        <v>45912.68194</v>
      </c>
      <c r="G361" s="16">
        <v>5.432</v>
      </c>
    </row>
    <row r="362">
      <c r="A362" s="5" t="s">
        <v>13</v>
      </c>
      <c r="B362" s="6" t="str">
        <f>IF(ISBLANK(A362),"",VLOOKUP($A362,'Data Feed (20C)'!$A$1:$G$14,2,FALSE))</f>
        <v>DKR250911RUSMUL_20C_sample_1</v>
      </c>
      <c r="C362" s="6" t="str">
        <f>IF(ISBLANK(A362),"",VLOOKUP($A362,'Data Feed (20C)'!$A$1:$G$14,3,FALSE))</f>
        <v>Ruschia multiflora</v>
      </c>
      <c r="D362" s="6" t="str">
        <f>IF(ISBLANK(A362),"",VLOOKUP($A362,'Data Feed (20C)'!$A$1:$G$14,4,FALSE))</f>
        <v>20C</v>
      </c>
      <c r="E362" s="6">
        <f>IF(ISBLANK(A362),"",VLOOKUP($A362,'Data Feed (20C)'!$A$1:$G$14,7,FALSE))</f>
        <v>1</v>
      </c>
      <c r="F362" s="7">
        <v>45912.68194444444</v>
      </c>
      <c r="G362" s="8">
        <v>3.364</v>
      </c>
    </row>
    <row r="363">
      <c r="A363" s="9" t="str">
        <f t="shared" ref="A363:A367" si="422">A362</f>
        <v>RUSMUL</v>
      </c>
      <c r="B363" s="9" t="str">
        <f>IF(ISBLANK(A362),"",LEFT(B362,27)&amp;VALUE(RIGHT(B362,1)+1))</f>
        <v>DKR250911RUSMUL_20C_sample_2</v>
      </c>
      <c r="C363" s="6" t="str">
        <f t="shared" ref="C363:D363" si="421">C362</f>
        <v>Ruschia multiflora</v>
      </c>
      <c r="D363" s="6" t="str">
        <f t="shared" si="421"/>
        <v>20C</v>
      </c>
      <c r="E363" s="10">
        <f>IF(ISBLANK(A362),"",E362+1)</f>
        <v>2</v>
      </c>
      <c r="F363" s="11">
        <f t="shared" ref="F363:F367" si="424">F362</f>
        <v>45912.68194</v>
      </c>
      <c r="G363" s="8">
        <v>4.429</v>
      </c>
    </row>
    <row r="364">
      <c r="A364" s="9" t="str">
        <f t="shared" si="422"/>
        <v>RUSMUL</v>
      </c>
      <c r="B364" s="9" t="str">
        <f>IF(ISBLANK(A362),"",LEFT(B363,27)&amp;VALUE(RIGHT(B363,1)+1))</f>
        <v>DKR250911RUSMUL_20C_sample_3</v>
      </c>
      <c r="C364" s="6" t="str">
        <f t="shared" ref="C364:D364" si="423">C363</f>
        <v>Ruschia multiflora</v>
      </c>
      <c r="D364" s="6" t="str">
        <f t="shared" si="423"/>
        <v>20C</v>
      </c>
      <c r="E364" s="10">
        <f>IF(ISBLANK(A362),"",E363+1)</f>
        <v>3</v>
      </c>
      <c r="F364" s="11">
        <f t="shared" si="424"/>
        <v>45912.68194</v>
      </c>
      <c r="G364" s="8">
        <v>8.284</v>
      </c>
    </row>
    <row r="365">
      <c r="A365" s="9" t="str">
        <f t="shared" si="422"/>
        <v>RUSMUL</v>
      </c>
      <c r="B365" s="9" t="str">
        <f>IF(ISBLANK(A362),"",LEFT(B364,27)&amp;VALUE(RIGHT(B364,1)+1))</f>
        <v>DKR250911RUSMUL_20C_sample_4</v>
      </c>
      <c r="C365" s="6" t="str">
        <f t="shared" ref="C365:D365" si="425">C364</f>
        <v>Ruschia multiflora</v>
      </c>
      <c r="D365" s="6" t="str">
        <f t="shared" si="425"/>
        <v>20C</v>
      </c>
      <c r="E365" s="10">
        <f>IF(ISBLANK(A362),"",E364+1)</f>
        <v>4</v>
      </c>
      <c r="F365" s="11">
        <f t="shared" si="424"/>
        <v>45912.68194</v>
      </c>
      <c r="G365" s="8">
        <v>4.595</v>
      </c>
    </row>
    <row r="366">
      <c r="A366" s="9" t="str">
        <f t="shared" si="422"/>
        <v>RUSMUL</v>
      </c>
      <c r="B366" s="9" t="str">
        <f>IF(ISBLANK(A362),"",LEFT(B365,27)&amp;VALUE(RIGHT(B365,1)+1))</f>
        <v>DKR250911RUSMUL_20C_sample_5</v>
      </c>
      <c r="C366" s="6" t="str">
        <f t="shared" ref="C366:D366" si="426">C365</f>
        <v>Ruschia multiflora</v>
      </c>
      <c r="D366" s="6" t="str">
        <f t="shared" si="426"/>
        <v>20C</v>
      </c>
      <c r="E366" s="10">
        <f>IF(ISBLANK(A362),"",E365+1)</f>
        <v>5</v>
      </c>
      <c r="F366" s="11">
        <f t="shared" si="424"/>
        <v>45912.68194</v>
      </c>
      <c r="G366" s="8">
        <v>3.755</v>
      </c>
    </row>
    <row r="367">
      <c r="A367" s="12" t="str">
        <f t="shared" si="422"/>
        <v>RUSMUL</v>
      </c>
      <c r="B367" s="12" t="str">
        <f>IF(ISBLANK(A362),"",LEFT(B366,27)&amp;VALUE(RIGHT(B366,1)+1))</f>
        <v>DKR250911RUSMUL_20C_sample_6</v>
      </c>
      <c r="C367" s="13" t="str">
        <f t="shared" ref="C367:D367" si="427">C366</f>
        <v>Ruschia multiflora</v>
      </c>
      <c r="D367" s="13" t="str">
        <f t="shared" si="427"/>
        <v>20C</v>
      </c>
      <c r="E367" s="14">
        <f>IF(ISBLANK(A362),"",E366+1)</f>
        <v>6</v>
      </c>
      <c r="F367" s="15">
        <f t="shared" si="424"/>
        <v>45912.68194</v>
      </c>
      <c r="G367" s="16">
        <v>3.137</v>
      </c>
    </row>
    <row r="368">
      <c r="A368" s="5" t="s">
        <v>16</v>
      </c>
      <c r="B368" s="6" t="str">
        <f>IF(ISBLANK(A368),"",VLOOKUP($A368,'Data Feed (20C)'!$A$1:$G$14,2,FALSE))</f>
        <v>DKR250911MICPOL_20C_sample_1</v>
      </c>
      <c r="C368" s="6" t="str">
        <f>IF(ISBLANK(A368),"",VLOOKUP($A368,'Data Feed (20C)'!$A$1:$G$14,3,FALSE))</f>
        <v>Microdon polygaloides</v>
      </c>
      <c r="D368" s="6" t="str">
        <f>IF(ISBLANK(A368),"",VLOOKUP($A368,'Data Feed (20C)'!$A$1:$G$14,4,FALSE))</f>
        <v>20C</v>
      </c>
      <c r="E368" s="6">
        <f>IF(ISBLANK(A368),"",VLOOKUP($A368,'Data Feed (20C)'!$A$1:$G$14,7,FALSE))</f>
        <v>1</v>
      </c>
      <c r="F368" s="7">
        <v>45912.68472222222</v>
      </c>
      <c r="G368" s="8">
        <v>1.831</v>
      </c>
    </row>
    <row r="369">
      <c r="A369" s="9" t="str">
        <f t="shared" ref="A369:A373" si="429">A368</f>
        <v>MICPOL</v>
      </c>
      <c r="B369" s="9" t="str">
        <f>IF(ISBLANK(A368),"",LEFT(B368,27)&amp;VALUE(RIGHT(B368,1)+1))</f>
        <v>DKR250911MICPOL_20C_sample_2</v>
      </c>
      <c r="C369" s="6" t="str">
        <f t="shared" ref="C369:D369" si="428">C368</f>
        <v>Microdon polygaloides</v>
      </c>
      <c r="D369" s="6" t="str">
        <f t="shared" si="428"/>
        <v>20C</v>
      </c>
      <c r="E369" s="10">
        <f>IF(ISBLANK(A368),"",E368+1)</f>
        <v>2</v>
      </c>
      <c r="F369" s="11">
        <f t="shared" ref="F369:F373" si="431">F368</f>
        <v>45912.68472</v>
      </c>
      <c r="G369" s="8">
        <v>1.155</v>
      </c>
    </row>
    <row r="370">
      <c r="A370" s="9" t="str">
        <f t="shared" si="429"/>
        <v>MICPOL</v>
      </c>
      <c r="B370" s="9" t="str">
        <f>IF(ISBLANK(A368),"",LEFT(B369,27)&amp;VALUE(RIGHT(B369,1)+1))</f>
        <v>DKR250911MICPOL_20C_sample_3</v>
      </c>
      <c r="C370" s="6" t="str">
        <f t="shared" ref="C370:D370" si="430">C369</f>
        <v>Microdon polygaloides</v>
      </c>
      <c r="D370" s="6" t="str">
        <f t="shared" si="430"/>
        <v>20C</v>
      </c>
      <c r="E370" s="10">
        <f>IF(ISBLANK(A368),"",E369+1)</f>
        <v>3</v>
      </c>
      <c r="F370" s="11">
        <f t="shared" si="431"/>
        <v>45912.68472</v>
      </c>
      <c r="G370" s="8">
        <v>0.484</v>
      </c>
    </row>
    <row r="371">
      <c r="A371" s="9" t="str">
        <f t="shared" si="429"/>
        <v>MICPOL</v>
      </c>
      <c r="B371" s="9" t="str">
        <f>IF(ISBLANK(A368),"",LEFT(B370,27)&amp;VALUE(RIGHT(B370,1)+1))</f>
        <v>DKR250911MICPOL_20C_sample_4</v>
      </c>
      <c r="C371" s="6" t="str">
        <f t="shared" ref="C371:D371" si="432">C370</f>
        <v>Microdon polygaloides</v>
      </c>
      <c r="D371" s="6" t="str">
        <f t="shared" si="432"/>
        <v>20C</v>
      </c>
      <c r="E371" s="10">
        <f>IF(ISBLANK(A368),"",E370+1)</f>
        <v>4</v>
      </c>
      <c r="F371" s="11">
        <f t="shared" si="431"/>
        <v>45912.68472</v>
      </c>
      <c r="G371" s="8">
        <v>0.223</v>
      </c>
    </row>
    <row r="372">
      <c r="A372" s="9" t="str">
        <f t="shared" si="429"/>
        <v>MICPOL</v>
      </c>
      <c r="B372" s="9" t="str">
        <f>IF(ISBLANK(A368),"",LEFT(B371,27)&amp;VALUE(RIGHT(B371,1)+1))</f>
        <v>DKR250911MICPOL_20C_sample_5</v>
      </c>
      <c r="C372" s="6" t="str">
        <f t="shared" ref="C372:D372" si="433">C371</f>
        <v>Microdon polygaloides</v>
      </c>
      <c r="D372" s="6" t="str">
        <f t="shared" si="433"/>
        <v>20C</v>
      </c>
      <c r="E372" s="10">
        <f>IF(ISBLANK(A368),"",E371+1)</f>
        <v>5</v>
      </c>
      <c r="F372" s="11">
        <f t="shared" si="431"/>
        <v>45912.68472</v>
      </c>
      <c r="G372" s="8">
        <v>0.33</v>
      </c>
    </row>
    <row r="373">
      <c r="A373" s="12" t="str">
        <f t="shared" si="429"/>
        <v>MICPOL</v>
      </c>
      <c r="B373" s="12" t="str">
        <f>IF(ISBLANK(A368),"",LEFT(B372,27)&amp;VALUE(RIGHT(B372,1)+1))</f>
        <v>DKR250911MICPOL_20C_sample_6</v>
      </c>
      <c r="C373" s="13" t="str">
        <f t="shared" ref="C373:D373" si="434">C372</f>
        <v>Microdon polygaloides</v>
      </c>
      <c r="D373" s="13" t="str">
        <f t="shared" si="434"/>
        <v>20C</v>
      </c>
      <c r="E373" s="14">
        <f>IF(ISBLANK(A368),"",E372+1)</f>
        <v>6</v>
      </c>
      <c r="F373" s="15">
        <f t="shared" si="431"/>
        <v>45912.68472</v>
      </c>
      <c r="G373" s="16">
        <v>0.302</v>
      </c>
    </row>
    <row r="374">
      <c r="A374" s="5" t="s">
        <v>17</v>
      </c>
      <c r="B374" s="6" t="str">
        <f>IF(ISBLANK(A374),"",VLOOKUP($A374,'Data Feed (20C)'!$A$1:$G$14,2,FALSE))</f>
        <v>DKR250911OEDSQU_20C_sample_1</v>
      </c>
      <c r="C374" s="6" t="str">
        <f>IF(ISBLANK(A374),"",VLOOKUP($A374,'Data Feed (20C)'!$A$1:$G$14,3,FALSE))</f>
        <v>Oedera squarrosa</v>
      </c>
      <c r="D374" s="6" t="str">
        <f>IF(ISBLANK(A374),"",VLOOKUP($A374,'Data Feed (20C)'!$A$1:$G$14,4,FALSE))</f>
        <v>20C</v>
      </c>
      <c r="E374" s="6">
        <f>IF(ISBLANK(A374),"",VLOOKUP($A374,'Data Feed (20C)'!$A$1:$G$14,7,FALSE))</f>
        <v>1</v>
      </c>
      <c r="F374" s="7">
        <v>45912.68402777778</v>
      </c>
      <c r="G374" s="8">
        <v>1.449</v>
      </c>
    </row>
    <row r="375">
      <c r="A375" s="9" t="str">
        <f t="shared" ref="A375:A379" si="436">A374</f>
        <v>OEDSQU</v>
      </c>
      <c r="B375" s="9" t="str">
        <f>IF(ISBLANK(A374),"",LEFT(B374,27)&amp;VALUE(RIGHT(B374,1)+1))</f>
        <v>DKR250911OEDSQU_20C_sample_2</v>
      </c>
      <c r="C375" s="6" t="str">
        <f t="shared" ref="C375:D375" si="435">C374</f>
        <v>Oedera squarrosa</v>
      </c>
      <c r="D375" s="6" t="str">
        <f t="shared" si="435"/>
        <v>20C</v>
      </c>
      <c r="E375" s="10">
        <f>IF(ISBLANK(A374),"",E374+1)</f>
        <v>2</v>
      </c>
      <c r="F375" s="11">
        <f t="shared" ref="F375:F379" si="438">F374</f>
        <v>45912.68403</v>
      </c>
      <c r="G375" s="8">
        <v>1.209</v>
      </c>
    </row>
    <row r="376">
      <c r="A376" s="9" t="str">
        <f t="shared" si="436"/>
        <v>OEDSQU</v>
      </c>
      <c r="B376" s="9" t="str">
        <f>IF(ISBLANK(A374),"",LEFT(B375,27)&amp;VALUE(RIGHT(B375,1)+1))</f>
        <v>DKR250911OEDSQU_20C_sample_3</v>
      </c>
      <c r="C376" s="6" t="str">
        <f t="shared" ref="C376:D376" si="437">C375</f>
        <v>Oedera squarrosa</v>
      </c>
      <c r="D376" s="6" t="str">
        <f t="shared" si="437"/>
        <v>20C</v>
      </c>
      <c r="E376" s="10">
        <f>IF(ISBLANK(A374),"",E375+1)</f>
        <v>3</v>
      </c>
      <c r="F376" s="11">
        <f t="shared" si="438"/>
        <v>45912.68403</v>
      </c>
      <c r="G376" s="8">
        <v>1.632</v>
      </c>
    </row>
    <row r="377">
      <c r="A377" s="9" t="str">
        <f t="shared" si="436"/>
        <v>OEDSQU</v>
      </c>
      <c r="B377" s="9" t="str">
        <f>IF(ISBLANK(A374),"",LEFT(B376,27)&amp;VALUE(RIGHT(B376,1)+1))</f>
        <v>DKR250911OEDSQU_20C_sample_4</v>
      </c>
      <c r="C377" s="6" t="str">
        <f t="shared" ref="C377:D377" si="439">C376</f>
        <v>Oedera squarrosa</v>
      </c>
      <c r="D377" s="6" t="str">
        <f t="shared" si="439"/>
        <v>20C</v>
      </c>
      <c r="E377" s="10">
        <f>IF(ISBLANK(A374),"",E376+1)</f>
        <v>4</v>
      </c>
      <c r="F377" s="11">
        <f t="shared" si="438"/>
        <v>45912.68403</v>
      </c>
      <c r="G377" s="8">
        <v>1.674</v>
      </c>
    </row>
    <row r="378">
      <c r="A378" s="9" t="str">
        <f t="shared" si="436"/>
        <v>OEDSQU</v>
      </c>
      <c r="B378" s="9" t="str">
        <f>IF(ISBLANK(A374),"",LEFT(B377,27)&amp;VALUE(RIGHT(B377,1)+1))</f>
        <v>DKR250911OEDSQU_20C_sample_5</v>
      </c>
      <c r="C378" s="6" t="str">
        <f t="shared" ref="C378:D378" si="440">C377</f>
        <v>Oedera squarrosa</v>
      </c>
      <c r="D378" s="6" t="str">
        <f t="shared" si="440"/>
        <v>20C</v>
      </c>
      <c r="E378" s="10">
        <f>IF(ISBLANK(A374),"",E377+1)</f>
        <v>5</v>
      </c>
      <c r="F378" s="11">
        <f t="shared" si="438"/>
        <v>45912.68403</v>
      </c>
      <c r="G378" s="8">
        <v>0.782</v>
      </c>
    </row>
    <row r="379">
      <c r="A379" s="12" t="str">
        <f t="shared" si="436"/>
        <v>OEDSQU</v>
      </c>
      <c r="B379" s="12" t="str">
        <f>IF(ISBLANK(A374),"",LEFT(B378,27)&amp;VALUE(RIGHT(B378,1)+1))</f>
        <v>DKR250911OEDSQU_20C_sample_6</v>
      </c>
      <c r="C379" s="13" t="str">
        <f t="shared" ref="C379:D379" si="441">C378</f>
        <v>Oedera squarrosa</v>
      </c>
      <c r="D379" s="13" t="str">
        <f t="shared" si="441"/>
        <v>20C</v>
      </c>
      <c r="E379" s="14">
        <f>IF(ISBLANK(A374),"",E378+1)</f>
        <v>6</v>
      </c>
      <c r="F379" s="15">
        <f t="shared" si="438"/>
        <v>45912.68403</v>
      </c>
      <c r="G379" s="16">
        <v>0.324</v>
      </c>
    </row>
    <row r="380">
      <c r="A380" s="5" t="s">
        <v>11</v>
      </c>
      <c r="B380" s="6" t="str">
        <f>IF(ISBLANK(A380),"",VLOOKUP($A380,'Data Feed (20C)'!$A$1:$G$14,2,FALSE))</f>
        <v>DKF250911SELDOL_20C_sample_1</v>
      </c>
      <c r="C380" s="6" t="str">
        <f>IF(ISBLANK(A380),"",VLOOKUP($A380,'Data Feed (20C)'!$A$1:$G$14,3,FALSE))</f>
        <v>Selago dolosa</v>
      </c>
      <c r="D380" s="6" t="str">
        <f>IF(ISBLANK(A380),"",VLOOKUP($A380,'Data Feed (20C)'!$A$1:$G$14,4,FALSE))</f>
        <v>20C</v>
      </c>
      <c r="E380" s="6">
        <f>IF(ISBLANK(A380),"",VLOOKUP($A380,'Data Feed (20C)'!$A$1:$G$14,7,FALSE))</f>
        <v>1</v>
      </c>
      <c r="F380" s="7">
        <v>45912.686111111114</v>
      </c>
      <c r="G380" s="8">
        <v>1.528</v>
      </c>
    </row>
    <row r="381">
      <c r="A381" s="9" t="str">
        <f t="shared" ref="A381:A385" si="443">A380</f>
        <v>SELDOL</v>
      </c>
      <c r="B381" s="9" t="str">
        <f>IF(ISBLANK(A380),"",LEFT(B380,27)&amp;VALUE(RIGHT(B380,1)+1))</f>
        <v>DKF250911SELDOL_20C_sample_2</v>
      </c>
      <c r="C381" s="6" t="str">
        <f t="shared" ref="C381:D381" si="442">C380</f>
        <v>Selago dolosa</v>
      </c>
      <c r="D381" s="6" t="str">
        <f t="shared" si="442"/>
        <v>20C</v>
      </c>
      <c r="E381" s="10">
        <f>IF(ISBLANK(A380),"",E380+1)</f>
        <v>2</v>
      </c>
      <c r="F381" s="11">
        <f t="shared" ref="F381:F385" si="445">F380</f>
        <v>45912.68611</v>
      </c>
      <c r="G381" s="8">
        <v>2.055</v>
      </c>
    </row>
    <row r="382">
      <c r="A382" s="9" t="str">
        <f t="shared" si="443"/>
        <v>SELDOL</v>
      </c>
      <c r="B382" s="9" t="str">
        <f>IF(ISBLANK(A380),"",LEFT(B381,27)&amp;VALUE(RIGHT(B381,1)+1))</f>
        <v>DKF250911SELDOL_20C_sample_3</v>
      </c>
      <c r="C382" s="6" t="str">
        <f t="shared" ref="C382:D382" si="444">C381</f>
        <v>Selago dolosa</v>
      </c>
      <c r="D382" s="6" t="str">
        <f t="shared" si="444"/>
        <v>20C</v>
      </c>
      <c r="E382" s="10">
        <f>IF(ISBLANK(A380),"",E381+1)</f>
        <v>3</v>
      </c>
      <c r="F382" s="11">
        <f t="shared" si="445"/>
        <v>45912.68611</v>
      </c>
      <c r="G382" s="8">
        <v>1.982</v>
      </c>
    </row>
    <row r="383">
      <c r="A383" s="9" t="str">
        <f t="shared" si="443"/>
        <v>SELDOL</v>
      </c>
      <c r="B383" s="9" t="str">
        <f>IF(ISBLANK(A380),"",LEFT(B382,27)&amp;VALUE(RIGHT(B382,1)+1))</f>
        <v>DKF250911SELDOL_20C_sample_4</v>
      </c>
      <c r="C383" s="6" t="str">
        <f t="shared" ref="C383:D383" si="446">C382</f>
        <v>Selago dolosa</v>
      </c>
      <c r="D383" s="6" t="str">
        <f t="shared" si="446"/>
        <v>20C</v>
      </c>
      <c r="E383" s="10">
        <f>IF(ISBLANK(A380),"",E382+1)</f>
        <v>4</v>
      </c>
      <c r="F383" s="11">
        <f t="shared" si="445"/>
        <v>45912.68611</v>
      </c>
      <c r="G383" s="8">
        <v>2.045</v>
      </c>
    </row>
    <row r="384">
      <c r="A384" s="9" t="str">
        <f t="shared" si="443"/>
        <v>SELDOL</v>
      </c>
      <c r="B384" s="9" t="str">
        <f>IF(ISBLANK(A380),"",LEFT(B383,27)&amp;VALUE(RIGHT(B383,1)+1))</f>
        <v>DKF250911SELDOL_20C_sample_5</v>
      </c>
      <c r="C384" s="6" t="str">
        <f t="shared" ref="C384:D384" si="447">C383</f>
        <v>Selago dolosa</v>
      </c>
      <c r="D384" s="6" t="str">
        <f t="shared" si="447"/>
        <v>20C</v>
      </c>
      <c r="E384" s="10">
        <f>IF(ISBLANK(A380),"",E383+1)</f>
        <v>5</v>
      </c>
      <c r="F384" s="11">
        <f t="shared" si="445"/>
        <v>45912.68611</v>
      </c>
      <c r="G384" s="8"/>
    </row>
    <row r="385">
      <c r="A385" s="12" t="str">
        <f t="shared" si="443"/>
        <v>SELDOL</v>
      </c>
      <c r="B385" s="12" t="str">
        <f>IF(ISBLANK(A380),"",LEFT(B384,27)&amp;VALUE(RIGHT(B384,1)+1))</f>
        <v>DKF250911SELDOL_20C_sample_6</v>
      </c>
      <c r="C385" s="13" t="str">
        <f t="shared" ref="C385:D385" si="448">C384</f>
        <v>Selago dolosa</v>
      </c>
      <c r="D385" s="13" t="str">
        <f t="shared" si="448"/>
        <v>20C</v>
      </c>
      <c r="E385" s="14">
        <f>IF(ISBLANK(A380),"",E384+1)</f>
        <v>6</v>
      </c>
      <c r="F385" s="15">
        <f t="shared" si="445"/>
        <v>45912.68611</v>
      </c>
      <c r="G385" s="16">
        <v>1.291</v>
      </c>
    </row>
    <row r="386">
      <c r="A386" s="5" t="s">
        <v>18</v>
      </c>
      <c r="B386" s="6" t="str">
        <f>IF(ISBLANK(A386),"",VLOOKUP($A386,'Data Feed (20C)'!$A$1:$G$14,2,FALSE))</f>
        <v>DKR250911WAHNOD_20C_sample_1</v>
      </c>
      <c r="C386" s="6" t="str">
        <f>IF(ISBLANK(A386),"",VLOOKUP($A386,'Data Feed (20C)'!$A$1:$G$14,3,FALSE))</f>
        <v>Wahlenbergia nodosa</v>
      </c>
      <c r="D386" s="6" t="str">
        <f>IF(ISBLANK(A386),"",VLOOKUP($A386,'Data Feed (20C)'!$A$1:$G$14,4,FALSE))</f>
        <v>20C</v>
      </c>
      <c r="E386" s="6">
        <f>IF(ISBLANK(A386),"",VLOOKUP($A386,'Data Feed (20C)'!$A$1:$G$14,7,FALSE))</f>
        <v>1</v>
      </c>
      <c r="F386" s="7">
        <v>45912.68680555555</v>
      </c>
      <c r="G386" s="8">
        <v>0.406</v>
      </c>
    </row>
    <row r="387">
      <c r="A387" s="9" t="str">
        <f t="shared" ref="A387:A391" si="450">A386</f>
        <v>WAHNOD</v>
      </c>
      <c r="B387" s="9" t="str">
        <f>IF(ISBLANK(A386),"",LEFT(B386,27)&amp;VALUE(RIGHT(B386,1)+1))</f>
        <v>DKR250911WAHNOD_20C_sample_2</v>
      </c>
      <c r="C387" s="6" t="str">
        <f t="shared" ref="C387:D387" si="449">C386</f>
        <v>Wahlenbergia nodosa</v>
      </c>
      <c r="D387" s="6" t="str">
        <f t="shared" si="449"/>
        <v>20C</v>
      </c>
      <c r="E387" s="10">
        <f>IF(ISBLANK(A386),"",E386+1)</f>
        <v>2</v>
      </c>
      <c r="F387" s="11">
        <f t="shared" ref="F387:F391" si="452">F386</f>
        <v>45912.68681</v>
      </c>
      <c r="G387" s="8">
        <v>0.219</v>
      </c>
    </row>
    <row r="388">
      <c r="A388" s="9" t="str">
        <f t="shared" si="450"/>
        <v>WAHNOD</v>
      </c>
      <c r="B388" s="9" t="str">
        <f>IF(ISBLANK(A386),"",LEFT(B387,27)&amp;VALUE(RIGHT(B387,1)+1))</f>
        <v>DKR250911WAHNOD_20C_sample_3</v>
      </c>
      <c r="C388" s="6" t="str">
        <f t="shared" ref="C388:D388" si="451">C387</f>
        <v>Wahlenbergia nodosa</v>
      </c>
      <c r="D388" s="6" t="str">
        <f t="shared" si="451"/>
        <v>20C</v>
      </c>
      <c r="E388" s="10">
        <f>IF(ISBLANK(A386),"",E387+1)</f>
        <v>3</v>
      </c>
      <c r="F388" s="11">
        <f t="shared" si="452"/>
        <v>45912.68681</v>
      </c>
      <c r="G388" s="8">
        <v>0.195</v>
      </c>
    </row>
    <row r="389">
      <c r="A389" s="9" t="str">
        <f t="shared" si="450"/>
        <v>WAHNOD</v>
      </c>
      <c r="B389" s="9" t="str">
        <f>IF(ISBLANK(A386),"",LEFT(B388,27)&amp;VALUE(RIGHT(B388,1)+1))</f>
        <v>DKR250911WAHNOD_20C_sample_4</v>
      </c>
      <c r="C389" s="6" t="str">
        <f t="shared" ref="C389:D389" si="453">C388</f>
        <v>Wahlenbergia nodosa</v>
      </c>
      <c r="D389" s="6" t="str">
        <f t="shared" si="453"/>
        <v>20C</v>
      </c>
      <c r="E389" s="10">
        <f>IF(ISBLANK(A386),"",E388+1)</f>
        <v>4</v>
      </c>
      <c r="F389" s="11">
        <f t="shared" si="452"/>
        <v>45912.68681</v>
      </c>
      <c r="G389" s="8">
        <v>0.803</v>
      </c>
    </row>
    <row r="390">
      <c r="A390" s="9" t="str">
        <f t="shared" si="450"/>
        <v>WAHNOD</v>
      </c>
      <c r="B390" s="9" t="str">
        <f>IF(ISBLANK(A386),"",LEFT(B389,27)&amp;VALUE(RIGHT(B389,1)+1))</f>
        <v>DKR250911WAHNOD_20C_sample_5</v>
      </c>
      <c r="C390" s="6" t="str">
        <f t="shared" ref="C390:D390" si="454">C389</f>
        <v>Wahlenbergia nodosa</v>
      </c>
      <c r="D390" s="6" t="str">
        <f t="shared" si="454"/>
        <v>20C</v>
      </c>
      <c r="E390" s="10">
        <f>IF(ISBLANK(A386),"",E389+1)</f>
        <v>5</v>
      </c>
      <c r="F390" s="11">
        <f t="shared" si="452"/>
        <v>45912.68681</v>
      </c>
      <c r="G390" s="8">
        <v>0.461</v>
      </c>
    </row>
    <row r="391">
      <c r="A391" s="12" t="str">
        <f t="shared" si="450"/>
        <v>WAHNOD</v>
      </c>
      <c r="B391" s="12" t="str">
        <f>IF(ISBLANK(A386),"",LEFT(B390,27)&amp;VALUE(RIGHT(B390,1)+1))</f>
        <v>DKR250911WAHNOD_20C_sample_6</v>
      </c>
      <c r="C391" s="13" t="str">
        <f t="shared" ref="C391:D391" si="455">C390</f>
        <v>Wahlenbergia nodosa</v>
      </c>
      <c r="D391" s="13" t="str">
        <f t="shared" si="455"/>
        <v>20C</v>
      </c>
      <c r="E391" s="14">
        <f>IF(ISBLANK(A386),"",E390+1)</f>
        <v>6</v>
      </c>
      <c r="F391" s="15">
        <f t="shared" si="452"/>
        <v>45912.68681</v>
      </c>
      <c r="G391" s="16">
        <v>0.479</v>
      </c>
    </row>
    <row r="392">
      <c r="A392" s="5" t="s">
        <v>12</v>
      </c>
      <c r="B392" s="6" t="str">
        <f>IF(ISBLANK(A392),"",VLOOKUP($A392,'Data Feed (20C)'!$A$1:$G$14,2,FALSE))</f>
        <v>DKF250911AGACAP_20C_sample_1</v>
      </c>
      <c r="C392" s="6" t="str">
        <f>IF(ISBLANK(A392),"",VLOOKUP($A392,'Data Feed (20C)'!$A$1:$G$14,3,FALSE))</f>
        <v>Agathosma capensis</v>
      </c>
      <c r="D392" s="6" t="str">
        <f>IF(ISBLANK(A392),"",VLOOKUP($A392,'Data Feed (20C)'!$A$1:$G$14,4,FALSE))</f>
        <v>20C</v>
      </c>
      <c r="E392" s="6">
        <f>IF(ISBLANK(A392),"",VLOOKUP($A392,'Data Feed (20C)'!$A$1:$G$14,7,FALSE))</f>
        <v>1</v>
      </c>
      <c r="F392" s="7">
        <v>45912.74513888889</v>
      </c>
      <c r="G392" s="8">
        <v>5.095</v>
      </c>
    </row>
    <row r="393">
      <c r="A393" s="9" t="str">
        <f t="shared" ref="A393:A397" si="457">A392</f>
        <v>AGACAP</v>
      </c>
      <c r="B393" s="9" t="str">
        <f>IF(ISBLANK(A392),"",LEFT(B392,27)&amp;VALUE(RIGHT(B392,1)+1))</f>
        <v>DKF250911AGACAP_20C_sample_2</v>
      </c>
      <c r="C393" s="6" t="str">
        <f t="shared" ref="C393:D393" si="456">C392</f>
        <v>Agathosma capensis</v>
      </c>
      <c r="D393" s="6" t="str">
        <f t="shared" si="456"/>
        <v>20C</v>
      </c>
      <c r="E393" s="10">
        <f>IF(ISBLANK(A392),"",E392+1)</f>
        <v>2</v>
      </c>
      <c r="F393" s="11">
        <f t="shared" ref="F393:F397" si="459">F392</f>
        <v>45912.74514</v>
      </c>
      <c r="G393" s="8">
        <v>1.854</v>
      </c>
    </row>
    <row r="394">
      <c r="A394" s="9" t="str">
        <f t="shared" si="457"/>
        <v>AGACAP</v>
      </c>
      <c r="B394" s="9" t="str">
        <f>IF(ISBLANK(A392),"",LEFT(B393,27)&amp;VALUE(RIGHT(B393,1)+1))</f>
        <v>DKF250911AGACAP_20C_sample_3</v>
      </c>
      <c r="C394" s="6" t="str">
        <f t="shared" ref="C394:D394" si="458">C393</f>
        <v>Agathosma capensis</v>
      </c>
      <c r="D394" s="6" t="str">
        <f t="shared" si="458"/>
        <v>20C</v>
      </c>
      <c r="E394" s="10">
        <f>IF(ISBLANK(A392),"",E393+1)</f>
        <v>3</v>
      </c>
      <c r="F394" s="11">
        <f t="shared" si="459"/>
        <v>45912.74514</v>
      </c>
      <c r="G394" s="8">
        <v>2.438</v>
      </c>
    </row>
    <row r="395">
      <c r="A395" s="9" t="str">
        <f t="shared" si="457"/>
        <v>AGACAP</v>
      </c>
      <c r="B395" s="9" t="str">
        <f>IF(ISBLANK(A392),"",LEFT(B394,27)&amp;VALUE(RIGHT(B394,1)+1))</f>
        <v>DKF250911AGACAP_20C_sample_4</v>
      </c>
      <c r="C395" s="6" t="str">
        <f t="shared" ref="C395:D395" si="460">C394</f>
        <v>Agathosma capensis</v>
      </c>
      <c r="D395" s="6" t="str">
        <f t="shared" si="460"/>
        <v>20C</v>
      </c>
      <c r="E395" s="10">
        <f>IF(ISBLANK(A392),"",E394+1)</f>
        <v>4</v>
      </c>
      <c r="F395" s="11">
        <f t="shared" si="459"/>
        <v>45912.74514</v>
      </c>
      <c r="G395" s="8">
        <v>1.654</v>
      </c>
    </row>
    <row r="396">
      <c r="A396" s="9" t="str">
        <f t="shared" si="457"/>
        <v>AGACAP</v>
      </c>
      <c r="B396" s="9" t="str">
        <f>IF(ISBLANK(A392),"",LEFT(B395,27)&amp;VALUE(RIGHT(B395,1)+1))</f>
        <v>DKF250911AGACAP_20C_sample_5</v>
      </c>
      <c r="C396" s="6" t="str">
        <f t="shared" ref="C396:D396" si="461">C395</f>
        <v>Agathosma capensis</v>
      </c>
      <c r="D396" s="6" t="str">
        <f t="shared" si="461"/>
        <v>20C</v>
      </c>
      <c r="E396" s="10">
        <f>IF(ISBLANK(A392),"",E395+1)</f>
        <v>5</v>
      </c>
      <c r="F396" s="11">
        <f t="shared" si="459"/>
        <v>45912.74514</v>
      </c>
      <c r="G396" s="8">
        <v>0.698</v>
      </c>
    </row>
    <row r="397">
      <c r="A397" s="12" t="str">
        <f t="shared" si="457"/>
        <v>AGACAP</v>
      </c>
      <c r="B397" s="12" t="str">
        <f>IF(ISBLANK(A392),"",LEFT(B396,27)&amp;VALUE(RIGHT(B396,1)+1))</f>
        <v>DKF250911AGACAP_20C_sample_6</v>
      </c>
      <c r="C397" s="13" t="str">
        <f t="shared" ref="C397:D397" si="462">C396</f>
        <v>Agathosma capensis</v>
      </c>
      <c r="D397" s="13" t="str">
        <f t="shared" si="462"/>
        <v>20C</v>
      </c>
      <c r="E397" s="14">
        <f>IF(ISBLANK(A392),"",E396+1)</f>
        <v>6</v>
      </c>
      <c r="F397" s="15">
        <f t="shared" si="459"/>
        <v>45912.74514</v>
      </c>
      <c r="G397" s="16">
        <v>1.868</v>
      </c>
    </row>
    <row r="398">
      <c r="A398" s="5" t="s">
        <v>14</v>
      </c>
      <c r="B398" s="6" t="str">
        <f>IF(ISBLANK(A398),"",VLOOKUP($A398,'Data Feed (20C)'!$A$1:$G$14,2,FALSE))</f>
        <v>DKF250911ASPSHA_20C_sample_1</v>
      </c>
      <c r="C398" s="6" t="str">
        <f>IF(ISBLANK(A398),"",VLOOKUP($A398,'Data Feed (20C)'!$A$1:$G$14,3,FALSE))</f>
        <v>Aspalathus shawii</v>
      </c>
      <c r="D398" s="6" t="str">
        <f>IF(ISBLANK(A398),"",VLOOKUP($A398,'Data Feed (20C)'!$A$1:$G$14,4,FALSE))</f>
        <v>20C</v>
      </c>
      <c r="E398" s="6">
        <f>IF(ISBLANK(A398),"",VLOOKUP($A398,'Data Feed (20C)'!$A$1:$G$14,7,FALSE))</f>
        <v>1</v>
      </c>
      <c r="F398" s="7">
        <v>45912.74722222222</v>
      </c>
      <c r="G398" s="8">
        <v>14.921</v>
      </c>
    </row>
    <row r="399">
      <c r="A399" s="9" t="str">
        <f t="shared" ref="A399:A403" si="464">A398</f>
        <v>ASPSHA</v>
      </c>
      <c r="B399" s="9" t="str">
        <f>IF(ISBLANK(A398),"",LEFT(B398,27)&amp;VALUE(RIGHT(B398,1)+1))</f>
        <v>DKF250911ASPSHA_20C_sample_2</v>
      </c>
      <c r="C399" s="6" t="str">
        <f t="shared" ref="C399:D399" si="463">C398</f>
        <v>Aspalathus shawii</v>
      </c>
      <c r="D399" s="6" t="str">
        <f t="shared" si="463"/>
        <v>20C</v>
      </c>
      <c r="E399" s="10">
        <f>IF(ISBLANK(A398),"",E398+1)</f>
        <v>2</v>
      </c>
      <c r="F399" s="11">
        <f t="shared" ref="F399:F403" si="466">F398</f>
        <v>45912.74722</v>
      </c>
      <c r="G399" s="8">
        <v>10.388</v>
      </c>
    </row>
    <row r="400">
      <c r="A400" s="9" t="str">
        <f t="shared" si="464"/>
        <v>ASPSHA</v>
      </c>
      <c r="B400" s="9" t="str">
        <f>IF(ISBLANK(A398),"",LEFT(B399,27)&amp;VALUE(RIGHT(B399,1)+1))</f>
        <v>DKF250911ASPSHA_20C_sample_3</v>
      </c>
      <c r="C400" s="6" t="str">
        <f t="shared" ref="C400:D400" si="465">C399</f>
        <v>Aspalathus shawii</v>
      </c>
      <c r="D400" s="6" t="str">
        <f t="shared" si="465"/>
        <v>20C</v>
      </c>
      <c r="E400" s="10">
        <f>IF(ISBLANK(A398),"",E399+1)</f>
        <v>3</v>
      </c>
      <c r="F400" s="11">
        <f t="shared" si="466"/>
        <v>45912.74722</v>
      </c>
      <c r="G400" s="8">
        <v>5.837</v>
      </c>
    </row>
    <row r="401">
      <c r="A401" s="9" t="str">
        <f t="shared" si="464"/>
        <v>ASPSHA</v>
      </c>
      <c r="B401" s="9" t="str">
        <f>IF(ISBLANK(A398),"",LEFT(B400,27)&amp;VALUE(RIGHT(B400,1)+1))</f>
        <v>DKF250911ASPSHA_20C_sample_4</v>
      </c>
      <c r="C401" s="6" t="str">
        <f t="shared" ref="C401:D401" si="467">C400</f>
        <v>Aspalathus shawii</v>
      </c>
      <c r="D401" s="6" t="str">
        <f t="shared" si="467"/>
        <v>20C</v>
      </c>
      <c r="E401" s="10">
        <f>IF(ISBLANK(A398),"",E400+1)</f>
        <v>4</v>
      </c>
      <c r="F401" s="11">
        <f t="shared" si="466"/>
        <v>45912.74722</v>
      </c>
      <c r="G401" s="8">
        <v>14.394</v>
      </c>
    </row>
    <row r="402">
      <c r="A402" s="9" t="str">
        <f t="shared" si="464"/>
        <v>ASPSHA</v>
      </c>
      <c r="B402" s="9" t="str">
        <f>IF(ISBLANK(A398),"",LEFT(B401,27)&amp;VALUE(RIGHT(B401,1)+1))</f>
        <v>DKF250911ASPSHA_20C_sample_5</v>
      </c>
      <c r="C402" s="6" t="str">
        <f t="shared" ref="C402:D402" si="468">C401</f>
        <v>Aspalathus shawii</v>
      </c>
      <c r="D402" s="6" t="str">
        <f t="shared" si="468"/>
        <v>20C</v>
      </c>
      <c r="E402" s="10">
        <f>IF(ISBLANK(A398),"",E401+1)</f>
        <v>5</v>
      </c>
      <c r="F402" s="11">
        <f t="shared" si="466"/>
        <v>45912.74722</v>
      </c>
      <c r="G402" s="8">
        <v>4.414</v>
      </c>
    </row>
    <row r="403">
      <c r="A403" s="12" t="str">
        <f t="shared" si="464"/>
        <v>ASPSHA</v>
      </c>
      <c r="B403" s="12" t="str">
        <f>IF(ISBLANK(A398),"",LEFT(B402,27)&amp;VALUE(RIGHT(B402,1)+1))</f>
        <v>DKF250911ASPSHA_20C_sample_6</v>
      </c>
      <c r="C403" s="13" t="str">
        <f t="shared" ref="C403:D403" si="469">C402</f>
        <v>Aspalathus shawii</v>
      </c>
      <c r="D403" s="13" t="str">
        <f t="shared" si="469"/>
        <v>20C</v>
      </c>
      <c r="E403" s="14">
        <f>IF(ISBLANK(A398),"",E402+1)</f>
        <v>6</v>
      </c>
      <c r="F403" s="15">
        <f t="shared" si="466"/>
        <v>45912.74722</v>
      </c>
      <c r="G403" s="16">
        <v>12.03</v>
      </c>
    </row>
    <row r="404">
      <c r="A404" s="5" t="s">
        <v>19</v>
      </c>
      <c r="B404" s="6" t="str">
        <f>IF(ISBLANK(A404),"",VLOOKUP($A404,'Data Feed (20C)'!$A$1:$G$14,2,FALSE))</f>
        <v>DKR250911CLURUB_20C_sample_1</v>
      </c>
      <c r="C404" s="6" t="str">
        <f>IF(ISBLANK(A404),"",VLOOKUP($A404,'Data Feed (20C)'!$A$1:$G$14,3,FALSE))</f>
        <v>Clutia rubricaulis</v>
      </c>
      <c r="D404" s="6" t="str">
        <f>IF(ISBLANK(A404),"",VLOOKUP($A404,'Data Feed (20C)'!$A$1:$G$14,4,FALSE))</f>
        <v>20C</v>
      </c>
      <c r="E404" s="6">
        <f>IF(ISBLANK(A404),"",VLOOKUP($A404,'Data Feed (20C)'!$A$1:$G$14,7,FALSE))</f>
        <v>1</v>
      </c>
      <c r="F404" s="7">
        <v>45912.74930555555</v>
      </c>
      <c r="G404" s="8">
        <v>0.493</v>
      </c>
    </row>
    <row r="405">
      <c r="A405" s="9" t="str">
        <f t="shared" ref="A405:A409" si="471">A404</f>
        <v>CLURUB</v>
      </c>
      <c r="B405" s="9" t="str">
        <f>IF(ISBLANK(A404),"",LEFT(B404,27)&amp;VALUE(RIGHT(B404,1)+1))</f>
        <v>DKR250911CLURUB_20C_sample_2</v>
      </c>
      <c r="C405" s="6" t="str">
        <f t="shared" ref="C405:D405" si="470">C404</f>
        <v>Clutia rubricaulis</v>
      </c>
      <c r="D405" s="6" t="str">
        <f t="shared" si="470"/>
        <v>20C</v>
      </c>
      <c r="E405" s="10">
        <f>IF(ISBLANK(A404),"",E404+1)</f>
        <v>2</v>
      </c>
      <c r="F405" s="11">
        <f t="shared" ref="F405:F409" si="473">F404</f>
        <v>45912.74931</v>
      </c>
      <c r="G405" s="8">
        <v>0.39</v>
      </c>
    </row>
    <row r="406">
      <c r="A406" s="9" t="str">
        <f t="shared" si="471"/>
        <v>CLURUB</v>
      </c>
      <c r="B406" s="9" t="str">
        <f>IF(ISBLANK(A404),"",LEFT(B405,27)&amp;VALUE(RIGHT(B405,1)+1))</f>
        <v>DKR250911CLURUB_20C_sample_3</v>
      </c>
      <c r="C406" s="6" t="str">
        <f t="shared" ref="C406:D406" si="472">C405</f>
        <v>Clutia rubricaulis</v>
      </c>
      <c r="D406" s="6" t="str">
        <f t="shared" si="472"/>
        <v>20C</v>
      </c>
      <c r="E406" s="10">
        <f>IF(ISBLANK(A404),"",E405+1)</f>
        <v>3</v>
      </c>
      <c r="F406" s="11">
        <f t="shared" si="473"/>
        <v>45912.74931</v>
      </c>
      <c r="G406" s="8">
        <v>0.504</v>
      </c>
    </row>
    <row r="407">
      <c r="A407" s="9" t="str">
        <f t="shared" si="471"/>
        <v>CLURUB</v>
      </c>
      <c r="B407" s="9" t="str">
        <f>IF(ISBLANK(A404),"",LEFT(B406,27)&amp;VALUE(RIGHT(B406,1)+1))</f>
        <v>DKR250911CLURUB_20C_sample_4</v>
      </c>
      <c r="C407" s="6" t="str">
        <f t="shared" ref="C407:D407" si="474">C406</f>
        <v>Clutia rubricaulis</v>
      </c>
      <c r="D407" s="6" t="str">
        <f t="shared" si="474"/>
        <v>20C</v>
      </c>
      <c r="E407" s="10">
        <f>IF(ISBLANK(A404),"",E406+1)</f>
        <v>4</v>
      </c>
      <c r="F407" s="11">
        <f t="shared" si="473"/>
        <v>45912.74931</v>
      </c>
      <c r="G407" s="8">
        <v>0.235</v>
      </c>
    </row>
    <row r="408">
      <c r="A408" s="9" t="str">
        <f t="shared" si="471"/>
        <v>CLURUB</v>
      </c>
      <c r="B408" s="9" t="str">
        <f>IF(ISBLANK(A404),"",LEFT(B407,27)&amp;VALUE(RIGHT(B407,1)+1))</f>
        <v>DKR250911CLURUB_20C_sample_5</v>
      </c>
      <c r="C408" s="6" t="str">
        <f t="shared" ref="C408:D408" si="475">C407</f>
        <v>Clutia rubricaulis</v>
      </c>
      <c r="D408" s="6" t="str">
        <f t="shared" si="475"/>
        <v>20C</v>
      </c>
      <c r="E408" s="10">
        <f>IF(ISBLANK(A404),"",E407+1)</f>
        <v>5</v>
      </c>
      <c r="F408" s="11">
        <f t="shared" si="473"/>
        <v>45912.74931</v>
      </c>
      <c r="G408" s="8">
        <v>0.507</v>
      </c>
    </row>
    <row r="409">
      <c r="A409" s="12" t="str">
        <f t="shared" si="471"/>
        <v>CLURUB</v>
      </c>
      <c r="B409" s="12" t="str">
        <f>IF(ISBLANK(A404),"",LEFT(B408,27)&amp;VALUE(RIGHT(B408,1)+1))</f>
        <v>DKR250911CLURUB_20C_sample_6</v>
      </c>
      <c r="C409" s="13" t="str">
        <f t="shared" ref="C409:D409" si="476">C408</f>
        <v>Clutia rubricaulis</v>
      </c>
      <c r="D409" s="13" t="str">
        <f t="shared" si="476"/>
        <v>20C</v>
      </c>
      <c r="E409" s="14">
        <f>IF(ISBLANK(A404),"",E408+1)</f>
        <v>6</v>
      </c>
      <c r="F409" s="15">
        <f t="shared" si="473"/>
        <v>45912.74931</v>
      </c>
      <c r="G409" s="16">
        <v>0.432</v>
      </c>
    </row>
    <row r="410">
      <c r="A410" s="5" t="s">
        <v>15</v>
      </c>
      <c r="B410" s="6" t="str">
        <f>IF(ISBLANK(A410),"",VLOOKUP($A410,'Data Feed (20C)'!$A$1:$G$14,2,FALSE))</f>
        <v>DKR250911ELYRHI_20C_sample_1</v>
      </c>
      <c r="C410" s="6" t="str">
        <f>IF(ISBLANK(A410),"",VLOOKUP($A410,'Data Feed (20C)'!$A$1:$G$14,3,FALSE))</f>
        <v>Elytropappus rhinocerotis</v>
      </c>
      <c r="D410" s="6" t="str">
        <f>IF(ISBLANK(A410),"",VLOOKUP($A410,'Data Feed (20C)'!$A$1:$G$14,4,FALSE))</f>
        <v>20C</v>
      </c>
      <c r="E410" s="6">
        <f>IF(ISBLANK(A410),"",VLOOKUP($A410,'Data Feed (20C)'!$A$1:$G$14,7,FALSE))</f>
        <v>1</v>
      </c>
      <c r="F410" s="7">
        <v>45912.751388888886</v>
      </c>
      <c r="G410" s="8">
        <v>3.787</v>
      </c>
    </row>
    <row r="411">
      <c r="A411" s="9" t="str">
        <f t="shared" ref="A411:A415" si="478">A410</f>
        <v>ELYRHI</v>
      </c>
      <c r="B411" s="9" t="str">
        <f>IF(ISBLANK(A410),"",LEFT(B410,27)&amp;VALUE(RIGHT(B410,1)+1))</f>
        <v>DKR250911ELYRHI_20C_sample_2</v>
      </c>
      <c r="C411" s="6" t="str">
        <f t="shared" ref="C411:D411" si="477">C410</f>
        <v>Elytropappus rhinocerotis</v>
      </c>
      <c r="D411" s="6" t="str">
        <f t="shared" si="477"/>
        <v>20C</v>
      </c>
      <c r="E411" s="10">
        <f>IF(ISBLANK(A410),"",E410+1)</f>
        <v>2</v>
      </c>
      <c r="F411" s="11">
        <f t="shared" ref="F411:F415" si="480">F410</f>
        <v>45912.75139</v>
      </c>
      <c r="G411" s="8">
        <v>4.173</v>
      </c>
    </row>
    <row r="412">
      <c r="A412" s="9" t="str">
        <f t="shared" si="478"/>
        <v>ELYRHI</v>
      </c>
      <c r="B412" s="9" t="str">
        <f>IF(ISBLANK(A410),"",LEFT(B411,27)&amp;VALUE(RIGHT(B411,1)+1))</f>
        <v>DKR250911ELYRHI_20C_sample_3</v>
      </c>
      <c r="C412" s="6" t="str">
        <f t="shared" ref="C412:D412" si="479">C411</f>
        <v>Elytropappus rhinocerotis</v>
      </c>
      <c r="D412" s="6" t="str">
        <f t="shared" si="479"/>
        <v>20C</v>
      </c>
      <c r="E412" s="10">
        <f>IF(ISBLANK(A410),"",E411+1)</f>
        <v>3</v>
      </c>
      <c r="F412" s="11">
        <f t="shared" si="480"/>
        <v>45912.75139</v>
      </c>
      <c r="G412" s="8">
        <v>6.879</v>
      </c>
    </row>
    <row r="413">
      <c r="A413" s="9" t="str">
        <f t="shared" si="478"/>
        <v>ELYRHI</v>
      </c>
      <c r="B413" s="9" t="str">
        <f>IF(ISBLANK(A410),"",LEFT(B412,27)&amp;VALUE(RIGHT(B412,1)+1))</f>
        <v>DKR250911ELYRHI_20C_sample_4</v>
      </c>
      <c r="C413" s="6" t="str">
        <f t="shared" ref="C413:D413" si="481">C412</f>
        <v>Elytropappus rhinocerotis</v>
      </c>
      <c r="D413" s="6" t="str">
        <f t="shared" si="481"/>
        <v>20C</v>
      </c>
      <c r="E413" s="10">
        <f>IF(ISBLANK(A410),"",E412+1)</f>
        <v>4</v>
      </c>
      <c r="F413" s="11">
        <f t="shared" si="480"/>
        <v>45912.75139</v>
      </c>
      <c r="G413" s="8">
        <v>4.113</v>
      </c>
    </row>
    <row r="414">
      <c r="A414" s="9" t="str">
        <f t="shared" si="478"/>
        <v>ELYRHI</v>
      </c>
      <c r="B414" s="9" t="str">
        <f>IF(ISBLANK(A410),"",LEFT(B413,27)&amp;VALUE(RIGHT(B413,1)+1))</f>
        <v>DKR250911ELYRHI_20C_sample_5</v>
      </c>
      <c r="C414" s="6" t="str">
        <f t="shared" ref="C414:D414" si="482">C413</f>
        <v>Elytropappus rhinocerotis</v>
      </c>
      <c r="D414" s="6" t="str">
        <f t="shared" si="482"/>
        <v>20C</v>
      </c>
      <c r="E414" s="10">
        <f>IF(ISBLANK(A410),"",E413+1)</f>
        <v>5</v>
      </c>
      <c r="F414" s="11">
        <f t="shared" si="480"/>
        <v>45912.75139</v>
      </c>
      <c r="G414" s="8">
        <v>2.642</v>
      </c>
    </row>
    <row r="415">
      <c r="A415" s="12" t="str">
        <f t="shared" si="478"/>
        <v>ELYRHI</v>
      </c>
      <c r="B415" s="12" t="str">
        <f>IF(ISBLANK(A410),"",LEFT(B414,27)&amp;VALUE(RIGHT(B414,1)+1))</f>
        <v>DKR250911ELYRHI_20C_sample_6</v>
      </c>
      <c r="C415" s="13" t="str">
        <f t="shared" ref="C415:D415" si="483">C414</f>
        <v>Elytropappus rhinocerotis</v>
      </c>
      <c r="D415" s="13" t="str">
        <f t="shared" si="483"/>
        <v>20C</v>
      </c>
      <c r="E415" s="14">
        <f>IF(ISBLANK(A410),"",E414+1)</f>
        <v>6</v>
      </c>
      <c r="F415" s="15">
        <f t="shared" si="480"/>
        <v>45912.75139</v>
      </c>
      <c r="G415" s="16">
        <v>2.227</v>
      </c>
    </row>
    <row r="416">
      <c r="A416" s="5" t="s">
        <v>10</v>
      </c>
      <c r="B416" s="6" t="str">
        <f>IF(ISBLANK(A416),"",VLOOKUP($A416,'Data Feed (20C)'!$A$1:$G$14,2,FALSE))</f>
        <v>DKF250911LOBDEC_20C_sample_1</v>
      </c>
      <c r="C416" s="6" t="str">
        <f>IF(ISBLANK(A416),"",VLOOKUP($A416,'Data Feed (20C)'!$A$1:$G$14,3,FALSE))</f>
        <v>Lobostemon decorus</v>
      </c>
      <c r="D416" s="6" t="str">
        <f>IF(ISBLANK(A416),"",VLOOKUP($A416,'Data Feed (20C)'!$A$1:$G$14,4,FALSE))</f>
        <v>20C</v>
      </c>
      <c r="E416" s="6">
        <f>IF(ISBLANK(A416),"",VLOOKUP($A416,'Data Feed (20C)'!$A$1:$G$14,7,FALSE))</f>
        <v>1</v>
      </c>
      <c r="F416" s="7">
        <v>45912.75347222222</v>
      </c>
      <c r="G416" s="8">
        <v>10.415</v>
      </c>
    </row>
    <row r="417">
      <c r="A417" s="9" t="str">
        <f t="shared" ref="A417:A421" si="485">A416</f>
        <v>LOBDEC</v>
      </c>
      <c r="B417" s="9" t="str">
        <f>IF(ISBLANK(A416),"",LEFT(B416,27)&amp;VALUE(RIGHT(B416,1)+1))</f>
        <v>DKF250911LOBDEC_20C_sample_2</v>
      </c>
      <c r="C417" s="6" t="str">
        <f t="shared" ref="C417:D417" si="484">C416</f>
        <v>Lobostemon decorus</v>
      </c>
      <c r="D417" s="6" t="str">
        <f t="shared" si="484"/>
        <v>20C</v>
      </c>
      <c r="E417" s="10">
        <f>IF(ISBLANK(A416),"",E416+1)</f>
        <v>2</v>
      </c>
      <c r="F417" s="11">
        <f t="shared" ref="F417:F421" si="487">F416</f>
        <v>45912.75347</v>
      </c>
      <c r="G417" s="8">
        <v>8.035</v>
      </c>
    </row>
    <row r="418">
      <c r="A418" s="9" t="str">
        <f t="shared" si="485"/>
        <v>LOBDEC</v>
      </c>
      <c r="B418" s="9" t="str">
        <f>IF(ISBLANK(A416),"",LEFT(B417,27)&amp;VALUE(RIGHT(B417,1)+1))</f>
        <v>DKF250911LOBDEC_20C_sample_3</v>
      </c>
      <c r="C418" s="6" t="str">
        <f t="shared" ref="C418:D418" si="486">C417</f>
        <v>Lobostemon decorus</v>
      </c>
      <c r="D418" s="6" t="str">
        <f t="shared" si="486"/>
        <v>20C</v>
      </c>
      <c r="E418" s="10">
        <f>IF(ISBLANK(A416),"",E417+1)</f>
        <v>3</v>
      </c>
      <c r="F418" s="11">
        <f t="shared" si="487"/>
        <v>45912.75347</v>
      </c>
      <c r="G418" s="8">
        <v>11.186</v>
      </c>
    </row>
    <row r="419">
      <c r="A419" s="9" t="str">
        <f t="shared" si="485"/>
        <v>LOBDEC</v>
      </c>
      <c r="B419" s="9" t="str">
        <f>IF(ISBLANK(A416),"",LEFT(B418,27)&amp;VALUE(RIGHT(B418,1)+1))</f>
        <v>DKF250911LOBDEC_20C_sample_4</v>
      </c>
      <c r="C419" s="6" t="str">
        <f t="shared" ref="C419:D419" si="488">C418</f>
        <v>Lobostemon decorus</v>
      </c>
      <c r="D419" s="6" t="str">
        <f t="shared" si="488"/>
        <v>20C</v>
      </c>
      <c r="E419" s="10">
        <f>IF(ISBLANK(A416),"",E418+1)</f>
        <v>4</v>
      </c>
      <c r="F419" s="11">
        <f t="shared" si="487"/>
        <v>45912.75347</v>
      </c>
      <c r="G419" s="8">
        <v>7.737</v>
      </c>
    </row>
    <row r="420">
      <c r="A420" s="9" t="str">
        <f t="shared" si="485"/>
        <v>LOBDEC</v>
      </c>
      <c r="B420" s="9" t="str">
        <f>IF(ISBLANK(A416),"",LEFT(B419,27)&amp;VALUE(RIGHT(B419,1)+1))</f>
        <v>DKF250911LOBDEC_20C_sample_5</v>
      </c>
      <c r="C420" s="6" t="str">
        <f t="shared" ref="C420:D420" si="489">C419</f>
        <v>Lobostemon decorus</v>
      </c>
      <c r="D420" s="6" t="str">
        <f t="shared" si="489"/>
        <v>20C</v>
      </c>
      <c r="E420" s="10">
        <f>IF(ISBLANK(A416),"",E419+1)</f>
        <v>5</v>
      </c>
      <c r="F420" s="11">
        <f t="shared" si="487"/>
        <v>45912.75347</v>
      </c>
      <c r="G420" s="8">
        <v>5.223</v>
      </c>
    </row>
    <row r="421">
      <c r="A421" s="12" t="str">
        <f t="shared" si="485"/>
        <v>LOBDEC</v>
      </c>
      <c r="B421" s="12" t="str">
        <f>IF(ISBLANK(A416),"",LEFT(B420,27)&amp;VALUE(RIGHT(B420,1)+1))</f>
        <v>DKF250911LOBDEC_20C_sample_6</v>
      </c>
      <c r="C421" s="13" t="str">
        <f t="shared" ref="C421:D421" si="490">C420</f>
        <v>Lobostemon decorus</v>
      </c>
      <c r="D421" s="13" t="str">
        <f t="shared" si="490"/>
        <v>20C</v>
      </c>
      <c r="E421" s="14">
        <f>IF(ISBLANK(A416),"",E420+1)</f>
        <v>6</v>
      </c>
      <c r="F421" s="15">
        <f t="shared" si="487"/>
        <v>45912.75347</v>
      </c>
      <c r="G421" s="16">
        <v>5.251</v>
      </c>
    </row>
    <row r="422">
      <c r="A422" s="5" t="s">
        <v>16</v>
      </c>
      <c r="B422" s="6" t="str">
        <f>IF(ISBLANK(A422),"",VLOOKUP($A422,'Data Feed (20C)'!$A$1:$G$14,2,FALSE))</f>
        <v>DKR250911MICPOL_20C_sample_1</v>
      </c>
      <c r="C422" s="6" t="str">
        <f>IF(ISBLANK(A422),"",VLOOKUP($A422,'Data Feed (20C)'!$A$1:$G$14,3,FALSE))</f>
        <v>Microdon polygaloides</v>
      </c>
      <c r="D422" s="6" t="str">
        <f>IF(ISBLANK(A422),"",VLOOKUP($A422,'Data Feed (20C)'!$A$1:$G$14,4,FALSE))</f>
        <v>20C</v>
      </c>
      <c r="E422" s="6">
        <f>IF(ISBLANK(A422),"",VLOOKUP($A422,'Data Feed (20C)'!$A$1:$G$14,7,FALSE))</f>
        <v>1</v>
      </c>
      <c r="F422" s="7">
        <v>45912.75486111111</v>
      </c>
      <c r="G422" s="8">
        <v>1.788</v>
      </c>
    </row>
    <row r="423">
      <c r="A423" s="9" t="str">
        <f t="shared" ref="A423:A427" si="492">A422</f>
        <v>MICPOL</v>
      </c>
      <c r="B423" s="9" t="str">
        <f>IF(ISBLANK(A422),"",LEFT(B422,27)&amp;VALUE(RIGHT(B422,1)+1))</f>
        <v>DKR250911MICPOL_20C_sample_2</v>
      </c>
      <c r="C423" s="6" t="str">
        <f t="shared" ref="C423:D423" si="491">C422</f>
        <v>Microdon polygaloides</v>
      </c>
      <c r="D423" s="6" t="str">
        <f t="shared" si="491"/>
        <v>20C</v>
      </c>
      <c r="E423" s="10">
        <f>IF(ISBLANK(A422),"",E422+1)</f>
        <v>2</v>
      </c>
      <c r="F423" s="11">
        <f t="shared" ref="F423:F427" si="494">F422</f>
        <v>45912.75486</v>
      </c>
      <c r="G423" s="8">
        <v>1.105</v>
      </c>
    </row>
    <row r="424">
      <c r="A424" s="9" t="str">
        <f t="shared" si="492"/>
        <v>MICPOL</v>
      </c>
      <c r="B424" s="9" t="str">
        <f>IF(ISBLANK(A422),"",LEFT(B423,27)&amp;VALUE(RIGHT(B423,1)+1))</f>
        <v>DKR250911MICPOL_20C_sample_3</v>
      </c>
      <c r="C424" s="6" t="str">
        <f t="shared" ref="C424:D424" si="493">C423</f>
        <v>Microdon polygaloides</v>
      </c>
      <c r="D424" s="6" t="str">
        <f t="shared" si="493"/>
        <v>20C</v>
      </c>
      <c r="E424" s="10">
        <f>IF(ISBLANK(A422),"",E423+1)</f>
        <v>3</v>
      </c>
      <c r="F424" s="11">
        <f t="shared" si="494"/>
        <v>45912.75486</v>
      </c>
      <c r="G424" s="8">
        <v>0.463</v>
      </c>
    </row>
    <row r="425">
      <c r="A425" s="9" t="str">
        <f t="shared" si="492"/>
        <v>MICPOL</v>
      </c>
      <c r="B425" s="9" t="str">
        <f>IF(ISBLANK(A422),"",LEFT(B424,27)&amp;VALUE(RIGHT(B424,1)+1))</f>
        <v>DKR250911MICPOL_20C_sample_4</v>
      </c>
      <c r="C425" s="6" t="str">
        <f t="shared" ref="C425:D425" si="495">C424</f>
        <v>Microdon polygaloides</v>
      </c>
      <c r="D425" s="6" t="str">
        <f t="shared" si="495"/>
        <v>20C</v>
      </c>
      <c r="E425" s="10">
        <f>IF(ISBLANK(A422),"",E424+1)</f>
        <v>4</v>
      </c>
      <c r="F425" s="11">
        <f t="shared" si="494"/>
        <v>45912.75486</v>
      </c>
      <c r="G425" s="8">
        <v>0.213</v>
      </c>
    </row>
    <row r="426">
      <c r="A426" s="9" t="str">
        <f t="shared" si="492"/>
        <v>MICPOL</v>
      </c>
      <c r="B426" s="9" t="str">
        <f>IF(ISBLANK(A422),"",LEFT(B425,27)&amp;VALUE(RIGHT(B425,1)+1))</f>
        <v>DKR250911MICPOL_20C_sample_5</v>
      </c>
      <c r="C426" s="6" t="str">
        <f t="shared" ref="C426:D426" si="496">C425</f>
        <v>Microdon polygaloides</v>
      </c>
      <c r="D426" s="6" t="str">
        <f t="shared" si="496"/>
        <v>20C</v>
      </c>
      <c r="E426" s="10">
        <f>IF(ISBLANK(A422),"",E425+1)</f>
        <v>5</v>
      </c>
      <c r="F426" s="11">
        <f t="shared" si="494"/>
        <v>45912.75486</v>
      </c>
      <c r="G426" s="8">
        <v>0.325</v>
      </c>
    </row>
    <row r="427">
      <c r="A427" s="12" t="str">
        <f t="shared" si="492"/>
        <v>MICPOL</v>
      </c>
      <c r="B427" s="12" t="str">
        <f>IF(ISBLANK(A422),"",LEFT(B426,27)&amp;VALUE(RIGHT(B426,1)+1))</f>
        <v>DKR250911MICPOL_20C_sample_6</v>
      </c>
      <c r="C427" s="13" t="str">
        <f t="shared" ref="C427:D427" si="497">C426</f>
        <v>Microdon polygaloides</v>
      </c>
      <c r="D427" s="13" t="str">
        <f t="shared" si="497"/>
        <v>20C</v>
      </c>
      <c r="E427" s="14">
        <f>IF(ISBLANK(A422),"",E426+1)</f>
        <v>6</v>
      </c>
      <c r="F427" s="15">
        <f t="shared" si="494"/>
        <v>45912.75486</v>
      </c>
      <c r="G427" s="16">
        <v>0.294</v>
      </c>
    </row>
    <row r="428">
      <c r="A428" s="5" t="s">
        <v>7</v>
      </c>
      <c r="B428" s="6" t="str">
        <f>IF(ISBLANK(A428),"",VLOOKUP($A428,'Data Feed (20C)'!$A$1:$G$14,2,FALSE))</f>
        <v>DKR250911PASOBT_20C_sample_1</v>
      </c>
      <c r="C428" s="6" t="str">
        <f>IF(ISBLANK(A428),"",VLOOKUP($A428,'Data Feed (20C)'!$A$1:$G$14,3,FALSE))</f>
        <v>Passerina obtusifolia</v>
      </c>
      <c r="D428" s="6" t="str">
        <f>IF(ISBLANK(A428),"",VLOOKUP($A428,'Data Feed (20C)'!$A$1:$G$14,4,FALSE))</f>
        <v>20C</v>
      </c>
      <c r="E428" s="6">
        <f>IF(ISBLANK(A428),"",VLOOKUP($A428,'Data Feed (20C)'!$A$1:$G$14,7,FALSE))</f>
        <v>1</v>
      </c>
      <c r="F428" s="7">
        <v>45912.75763888889</v>
      </c>
      <c r="G428" s="8">
        <v>3.162</v>
      </c>
    </row>
    <row r="429">
      <c r="A429" s="9" t="str">
        <f t="shared" ref="A429:A433" si="499">A428</f>
        <v>PASOBT</v>
      </c>
      <c r="B429" s="9" t="str">
        <f>IF(ISBLANK(A428),"",LEFT(B428,27)&amp;VALUE(RIGHT(B428,1)+1))</f>
        <v>DKR250911PASOBT_20C_sample_2</v>
      </c>
      <c r="C429" s="6" t="str">
        <f t="shared" ref="C429:D429" si="498">C428</f>
        <v>Passerina obtusifolia</v>
      </c>
      <c r="D429" s="6" t="str">
        <f t="shared" si="498"/>
        <v>20C</v>
      </c>
      <c r="E429" s="10">
        <f>IF(ISBLANK(A428),"",E428+1)</f>
        <v>2</v>
      </c>
      <c r="F429" s="11">
        <f t="shared" ref="F429:F433" si="501">F428</f>
        <v>45912.75764</v>
      </c>
      <c r="G429" s="8">
        <v>4.36</v>
      </c>
    </row>
    <row r="430">
      <c r="A430" s="9" t="str">
        <f t="shared" si="499"/>
        <v>PASOBT</v>
      </c>
      <c r="B430" s="9" t="str">
        <f>IF(ISBLANK(A428),"",LEFT(B429,27)&amp;VALUE(RIGHT(B429,1)+1))</f>
        <v>DKR250911PASOBT_20C_sample_3</v>
      </c>
      <c r="C430" s="6" t="str">
        <f t="shared" ref="C430:D430" si="500">C429</f>
        <v>Passerina obtusifolia</v>
      </c>
      <c r="D430" s="6" t="str">
        <f t="shared" si="500"/>
        <v>20C</v>
      </c>
      <c r="E430" s="10">
        <f>IF(ISBLANK(A428),"",E429+1)</f>
        <v>3</v>
      </c>
      <c r="F430" s="11">
        <f t="shared" si="501"/>
        <v>45912.75764</v>
      </c>
      <c r="G430" s="8">
        <v>1.52</v>
      </c>
    </row>
    <row r="431">
      <c r="A431" s="9" t="str">
        <f t="shared" si="499"/>
        <v>PASOBT</v>
      </c>
      <c r="B431" s="9" t="str">
        <f>IF(ISBLANK(A428),"",LEFT(B430,27)&amp;VALUE(RIGHT(B430,1)+1))</f>
        <v>DKR250911PASOBT_20C_sample_4</v>
      </c>
      <c r="C431" s="6" t="str">
        <f t="shared" ref="C431:D431" si="502">C430</f>
        <v>Passerina obtusifolia</v>
      </c>
      <c r="D431" s="6" t="str">
        <f t="shared" si="502"/>
        <v>20C</v>
      </c>
      <c r="E431" s="10">
        <f>IF(ISBLANK(A428),"",E430+1)</f>
        <v>4</v>
      </c>
      <c r="F431" s="11">
        <f t="shared" si="501"/>
        <v>45912.75764</v>
      </c>
      <c r="G431" s="8">
        <v>2.169</v>
      </c>
    </row>
    <row r="432">
      <c r="A432" s="9" t="str">
        <f t="shared" si="499"/>
        <v>PASOBT</v>
      </c>
      <c r="B432" s="9" t="str">
        <f>IF(ISBLANK(A428),"",LEFT(B431,27)&amp;VALUE(RIGHT(B431,1)+1))</f>
        <v>DKR250911PASOBT_20C_sample_5</v>
      </c>
      <c r="C432" s="6" t="str">
        <f t="shared" ref="C432:D432" si="503">C431</f>
        <v>Passerina obtusifolia</v>
      </c>
      <c r="D432" s="6" t="str">
        <f t="shared" si="503"/>
        <v>20C</v>
      </c>
      <c r="E432" s="10">
        <f>IF(ISBLANK(A428),"",E431+1)</f>
        <v>5</v>
      </c>
      <c r="F432" s="11">
        <f t="shared" si="501"/>
        <v>45912.75764</v>
      </c>
      <c r="G432" s="8">
        <v>1.76</v>
      </c>
    </row>
    <row r="433">
      <c r="A433" s="12" t="str">
        <f t="shared" si="499"/>
        <v>PASOBT</v>
      </c>
      <c r="B433" s="12" t="str">
        <f>IF(ISBLANK(A428),"",LEFT(B432,27)&amp;VALUE(RIGHT(B432,1)+1))</f>
        <v>DKR250911PASOBT_20C_sample_6</v>
      </c>
      <c r="C433" s="13" t="str">
        <f t="shared" ref="C433:D433" si="504">C432</f>
        <v>Passerina obtusifolia</v>
      </c>
      <c r="D433" s="13" t="str">
        <f t="shared" si="504"/>
        <v>20C</v>
      </c>
      <c r="E433" s="14">
        <f>IF(ISBLANK(A428),"",E432+1)</f>
        <v>6</v>
      </c>
      <c r="F433" s="15">
        <f t="shared" si="501"/>
        <v>45912.75764</v>
      </c>
      <c r="G433" s="16">
        <v>2.99</v>
      </c>
    </row>
    <row r="434">
      <c r="A434" s="5" t="s">
        <v>9</v>
      </c>
      <c r="B434" s="6" t="str">
        <f>IF(ISBLANK(A434),"",VLOOKUP($A434,'Data Feed (20C)'!$A$1:$G$14,2,FALSE))</f>
        <v>DKR250911PROLAU_20C_sample_1</v>
      </c>
      <c r="C434" s="6" t="str">
        <f>IF(ISBLANK(A434),"",VLOOKUP($A434,'Data Feed (20C)'!$A$1:$G$14,3,FALSE))</f>
        <v>Protea laurifolia</v>
      </c>
      <c r="D434" s="6" t="str">
        <f>IF(ISBLANK(A434),"",VLOOKUP($A434,'Data Feed (20C)'!$A$1:$G$14,4,FALSE))</f>
        <v>20C</v>
      </c>
      <c r="E434" s="6">
        <f>IF(ISBLANK(A434),"",VLOOKUP($A434,'Data Feed (20C)'!$A$1:$G$14,7,FALSE))</f>
        <v>1</v>
      </c>
      <c r="F434" s="7">
        <v>45912.76111111111</v>
      </c>
      <c r="G434" s="8">
        <v>1.043</v>
      </c>
    </row>
    <row r="435">
      <c r="A435" s="9" t="str">
        <f t="shared" ref="A435:A439" si="506">A434</f>
        <v>PROLAU</v>
      </c>
      <c r="B435" s="9" t="str">
        <f>IF(ISBLANK(A434),"",LEFT(B434,27)&amp;VALUE(RIGHT(B434,1)+1))</f>
        <v>DKR250911PROLAU_20C_sample_2</v>
      </c>
      <c r="C435" s="6" t="str">
        <f t="shared" ref="C435:D435" si="505">C434</f>
        <v>Protea laurifolia</v>
      </c>
      <c r="D435" s="6" t="str">
        <f t="shared" si="505"/>
        <v>20C</v>
      </c>
      <c r="E435" s="10">
        <f>IF(ISBLANK(A434),"",E434+1)</f>
        <v>2</v>
      </c>
      <c r="F435" s="11">
        <f t="shared" ref="F435:F439" si="508">F434</f>
        <v>45912.76111</v>
      </c>
      <c r="G435" s="8">
        <v>1.261</v>
      </c>
    </row>
    <row r="436">
      <c r="A436" s="9" t="str">
        <f t="shared" si="506"/>
        <v>PROLAU</v>
      </c>
      <c r="B436" s="9" t="str">
        <f>IF(ISBLANK(A434),"",LEFT(B435,27)&amp;VALUE(RIGHT(B435,1)+1))</f>
        <v>DKR250911PROLAU_20C_sample_3</v>
      </c>
      <c r="C436" s="6" t="str">
        <f t="shared" ref="C436:D436" si="507">C435</f>
        <v>Protea laurifolia</v>
      </c>
      <c r="D436" s="6" t="str">
        <f t="shared" si="507"/>
        <v>20C</v>
      </c>
      <c r="E436" s="10">
        <f>IF(ISBLANK(A434),"",E435+1)</f>
        <v>3</v>
      </c>
      <c r="F436" s="11">
        <f t="shared" si="508"/>
        <v>45912.76111</v>
      </c>
      <c r="G436" s="8">
        <v>1.15</v>
      </c>
    </row>
    <row r="437">
      <c r="A437" s="9" t="str">
        <f t="shared" si="506"/>
        <v>PROLAU</v>
      </c>
      <c r="B437" s="9" t="str">
        <f>IF(ISBLANK(A434),"",LEFT(B436,27)&amp;VALUE(RIGHT(B436,1)+1))</f>
        <v>DKR250911PROLAU_20C_sample_4</v>
      </c>
      <c r="C437" s="6" t="str">
        <f t="shared" ref="C437:D437" si="509">C436</f>
        <v>Protea laurifolia</v>
      </c>
      <c r="D437" s="6" t="str">
        <f t="shared" si="509"/>
        <v>20C</v>
      </c>
      <c r="E437" s="10">
        <f>IF(ISBLANK(A434),"",E436+1)</f>
        <v>4</v>
      </c>
      <c r="F437" s="11">
        <f t="shared" si="508"/>
        <v>45912.76111</v>
      </c>
      <c r="G437" s="8">
        <v>0.559</v>
      </c>
    </row>
    <row r="438">
      <c r="A438" s="9" t="str">
        <f t="shared" si="506"/>
        <v>PROLAU</v>
      </c>
      <c r="B438" s="9" t="str">
        <f>IF(ISBLANK(A434),"",LEFT(B437,27)&amp;VALUE(RIGHT(B437,1)+1))</f>
        <v>DKR250911PROLAU_20C_sample_5</v>
      </c>
      <c r="C438" s="6" t="str">
        <f t="shared" ref="C438:D438" si="510">C437</f>
        <v>Protea laurifolia</v>
      </c>
      <c r="D438" s="6" t="str">
        <f t="shared" si="510"/>
        <v>20C</v>
      </c>
      <c r="E438" s="10">
        <f>IF(ISBLANK(A434),"",E437+1)</f>
        <v>5</v>
      </c>
      <c r="F438" s="11">
        <f t="shared" si="508"/>
        <v>45912.76111</v>
      </c>
      <c r="G438" s="8">
        <v>0.97</v>
      </c>
    </row>
    <row r="439">
      <c r="A439" s="12" t="str">
        <f t="shared" si="506"/>
        <v>PROLAU</v>
      </c>
      <c r="B439" s="12" t="str">
        <f>IF(ISBLANK(A434),"",LEFT(B438,27)&amp;VALUE(RIGHT(B438,1)+1))</f>
        <v>DKR250911PROLAU_20C_sample_6</v>
      </c>
      <c r="C439" s="13" t="str">
        <f t="shared" ref="C439:D439" si="511">C438</f>
        <v>Protea laurifolia</v>
      </c>
      <c r="D439" s="13" t="str">
        <f t="shared" si="511"/>
        <v>20C</v>
      </c>
      <c r="E439" s="14">
        <f>IF(ISBLANK(A434),"",E438+1)</f>
        <v>6</v>
      </c>
      <c r="F439" s="15">
        <f t="shared" si="508"/>
        <v>45912.76111</v>
      </c>
      <c r="G439" s="16">
        <v>1.021</v>
      </c>
    </row>
    <row r="440">
      <c r="A440" s="5" t="s">
        <v>8</v>
      </c>
      <c r="B440" s="6" t="str">
        <f>IF(ISBLANK(A440),"",VLOOKUP($A440,'Data Feed (20C)'!$A$1:$G$14,2,FALSE))</f>
        <v>DKF250911PROLOR_20C_sample_1</v>
      </c>
      <c r="C440" s="6" t="str">
        <f>IF(ISBLANK(A440),"",VLOOKUP($A440,'Data Feed (20C)'!$A$1:$G$14,3,FALSE))</f>
        <v>Protea lorifolia</v>
      </c>
      <c r="D440" s="6" t="str">
        <f>IF(ISBLANK(A440),"",VLOOKUP($A440,'Data Feed (20C)'!$A$1:$G$14,4,FALSE))</f>
        <v>20C</v>
      </c>
      <c r="E440" s="6">
        <f>IF(ISBLANK(A440),"",VLOOKUP($A440,'Data Feed (20C)'!$A$1:$G$14,7,FALSE))</f>
        <v>1</v>
      </c>
      <c r="F440" s="7">
        <v>45912.7625</v>
      </c>
      <c r="G440" s="8">
        <v>3.292</v>
      </c>
    </row>
    <row r="441">
      <c r="A441" s="9" t="str">
        <f t="shared" ref="A441:A445" si="513">A440</f>
        <v>PROLOR</v>
      </c>
      <c r="B441" s="9" t="str">
        <f>IF(ISBLANK(A440),"",LEFT(B440,27)&amp;VALUE(RIGHT(B440,1)+1))</f>
        <v>DKF250911PROLOR_20C_sample_2</v>
      </c>
      <c r="C441" s="6" t="str">
        <f t="shared" ref="C441:D441" si="512">C440</f>
        <v>Protea lorifolia</v>
      </c>
      <c r="D441" s="6" t="str">
        <f t="shared" si="512"/>
        <v>20C</v>
      </c>
      <c r="E441" s="10">
        <f>IF(ISBLANK(A440),"",E440+1)</f>
        <v>2</v>
      </c>
      <c r="F441" s="11">
        <f t="shared" ref="F441:F445" si="515">F440</f>
        <v>45912.7625</v>
      </c>
      <c r="G441" s="8">
        <v>3.754</v>
      </c>
    </row>
    <row r="442">
      <c r="A442" s="9" t="str">
        <f t="shared" si="513"/>
        <v>PROLOR</v>
      </c>
      <c r="B442" s="9" t="str">
        <f>IF(ISBLANK(A440),"",LEFT(B441,27)&amp;VALUE(RIGHT(B441,1)+1))</f>
        <v>DKF250911PROLOR_20C_sample_3</v>
      </c>
      <c r="C442" s="6" t="str">
        <f t="shared" ref="C442:D442" si="514">C441</f>
        <v>Protea lorifolia</v>
      </c>
      <c r="D442" s="6" t="str">
        <f t="shared" si="514"/>
        <v>20C</v>
      </c>
      <c r="E442" s="10">
        <f>IF(ISBLANK(A440),"",E441+1)</f>
        <v>3</v>
      </c>
      <c r="F442" s="11">
        <f t="shared" si="515"/>
        <v>45912.7625</v>
      </c>
      <c r="G442" s="8">
        <v>3.941</v>
      </c>
    </row>
    <row r="443">
      <c r="A443" s="9" t="str">
        <f t="shared" si="513"/>
        <v>PROLOR</v>
      </c>
      <c r="B443" s="9" t="str">
        <f>IF(ISBLANK(A440),"",LEFT(B442,27)&amp;VALUE(RIGHT(B442,1)+1))</f>
        <v>DKF250911PROLOR_20C_sample_4</v>
      </c>
      <c r="C443" s="6" t="str">
        <f t="shared" ref="C443:D443" si="516">C442</f>
        <v>Protea lorifolia</v>
      </c>
      <c r="D443" s="6" t="str">
        <f t="shared" si="516"/>
        <v>20C</v>
      </c>
      <c r="E443" s="10">
        <f>IF(ISBLANK(A440),"",E442+1)</f>
        <v>4</v>
      </c>
      <c r="F443" s="11">
        <f t="shared" si="515"/>
        <v>45912.7625</v>
      </c>
      <c r="G443" s="8">
        <v>3.124</v>
      </c>
    </row>
    <row r="444">
      <c r="A444" s="9" t="str">
        <f t="shared" si="513"/>
        <v>PROLOR</v>
      </c>
      <c r="B444" s="9" t="str">
        <f>IF(ISBLANK(A440),"",LEFT(B443,27)&amp;VALUE(RIGHT(B443,1)+1))</f>
        <v>DKF250911PROLOR_20C_sample_5</v>
      </c>
      <c r="C444" s="6" t="str">
        <f t="shared" ref="C444:D444" si="517">C443</f>
        <v>Protea lorifolia</v>
      </c>
      <c r="D444" s="6" t="str">
        <f t="shared" si="517"/>
        <v>20C</v>
      </c>
      <c r="E444" s="10">
        <f>IF(ISBLANK(A440),"",E443+1)</f>
        <v>5</v>
      </c>
      <c r="F444" s="11">
        <f t="shared" si="515"/>
        <v>45912.7625</v>
      </c>
      <c r="G444" s="8">
        <v>5.811</v>
      </c>
    </row>
    <row r="445">
      <c r="A445" s="12" t="str">
        <f t="shared" si="513"/>
        <v>PROLOR</v>
      </c>
      <c r="B445" s="12" t="str">
        <f>IF(ISBLANK(A440),"",LEFT(B444,27)&amp;VALUE(RIGHT(B444,1)+1))</f>
        <v>DKF250911PROLOR_20C_sample_6</v>
      </c>
      <c r="C445" s="13" t="str">
        <f t="shared" ref="C445:D445" si="518">C444</f>
        <v>Protea lorifolia</v>
      </c>
      <c r="D445" s="13" t="str">
        <f t="shared" si="518"/>
        <v>20C</v>
      </c>
      <c r="E445" s="14">
        <f>IF(ISBLANK(A440),"",E444+1)</f>
        <v>6</v>
      </c>
      <c r="F445" s="15">
        <f t="shared" si="515"/>
        <v>45912.7625</v>
      </c>
      <c r="G445" s="16">
        <v>4.747</v>
      </c>
    </row>
    <row r="446">
      <c r="A446" s="5" t="s">
        <v>13</v>
      </c>
      <c r="B446" s="6" t="str">
        <f>IF(ISBLANK(A446),"",VLOOKUP($A446,'Data Feed (20C)'!$A$1:$G$14,2,FALSE))</f>
        <v>DKR250911RUSMUL_20C_sample_1</v>
      </c>
      <c r="C446" s="6" t="str">
        <f>IF(ISBLANK(A446),"",VLOOKUP($A446,'Data Feed (20C)'!$A$1:$G$14,3,FALSE))</f>
        <v>Ruschia multiflora</v>
      </c>
      <c r="D446" s="6" t="str">
        <f>IF(ISBLANK(A446),"",VLOOKUP($A446,'Data Feed (20C)'!$A$1:$G$14,4,FALSE))</f>
        <v>20C</v>
      </c>
      <c r="E446" s="6">
        <f>IF(ISBLANK(A446),"",VLOOKUP($A446,'Data Feed (20C)'!$A$1:$G$14,7,FALSE))</f>
        <v>1</v>
      </c>
      <c r="F446" s="7">
        <v>45912.76527777778</v>
      </c>
      <c r="G446" s="8">
        <v>3.354</v>
      </c>
    </row>
    <row r="447">
      <c r="A447" s="9" t="str">
        <f t="shared" ref="A447:A451" si="520">A446</f>
        <v>RUSMUL</v>
      </c>
      <c r="B447" s="9" t="str">
        <f>IF(ISBLANK(A446),"",LEFT(B446,27)&amp;VALUE(RIGHT(B446,1)+1))</f>
        <v>DKR250911RUSMUL_20C_sample_2</v>
      </c>
      <c r="C447" s="6" t="str">
        <f t="shared" ref="C447:D447" si="519">C446</f>
        <v>Ruschia multiflora</v>
      </c>
      <c r="D447" s="6" t="str">
        <f t="shared" si="519"/>
        <v>20C</v>
      </c>
      <c r="E447" s="10">
        <f>IF(ISBLANK(A446),"",E446+1)</f>
        <v>2</v>
      </c>
      <c r="F447" s="11">
        <f t="shared" ref="F447:F451" si="522">F446</f>
        <v>45912.76528</v>
      </c>
      <c r="G447" s="8">
        <v>4.392</v>
      </c>
    </row>
    <row r="448">
      <c r="A448" s="9" t="str">
        <f t="shared" si="520"/>
        <v>RUSMUL</v>
      </c>
      <c r="B448" s="9" t="str">
        <f>IF(ISBLANK(A446),"",LEFT(B447,27)&amp;VALUE(RIGHT(B447,1)+1))</f>
        <v>DKR250911RUSMUL_20C_sample_3</v>
      </c>
      <c r="C448" s="6" t="str">
        <f t="shared" ref="C448:D448" si="521">C447</f>
        <v>Ruschia multiflora</v>
      </c>
      <c r="D448" s="6" t="str">
        <f t="shared" si="521"/>
        <v>20C</v>
      </c>
      <c r="E448" s="10">
        <f>IF(ISBLANK(A446),"",E447+1)</f>
        <v>3</v>
      </c>
      <c r="F448" s="11">
        <f t="shared" si="522"/>
        <v>45912.76528</v>
      </c>
      <c r="G448" s="8">
        <v>8.249</v>
      </c>
    </row>
    <row r="449">
      <c r="A449" s="9" t="str">
        <f t="shared" si="520"/>
        <v>RUSMUL</v>
      </c>
      <c r="B449" s="9" t="str">
        <f>IF(ISBLANK(A446),"",LEFT(B448,27)&amp;VALUE(RIGHT(B448,1)+1))</f>
        <v>DKR250911RUSMUL_20C_sample_4</v>
      </c>
      <c r="C449" s="6" t="str">
        <f t="shared" ref="C449:D449" si="523">C448</f>
        <v>Ruschia multiflora</v>
      </c>
      <c r="D449" s="6" t="str">
        <f t="shared" si="523"/>
        <v>20C</v>
      </c>
      <c r="E449" s="10">
        <f>IF(ISBLANK(A446),"",E448+1)</f>
        <v>4</v>
      </c>
      <c r="F449" s="11">
        <f t="shared" si="522"/>
        <v>45912.76528</v>
      </c>
      <c r="G449" s="8">
        <v>4.57</v>
      </c>
    </row>
    <row r="450">
      <c r="A450" s="9" t="str">
        <f t="shared" si="520"/>
        <v>RUSMUL</v>
      </c>
      <c r="B450" s="9" t="str">
        <f>IF(ISBLANK(A446),"",LEFT(B449,27)&amp;VALUE(RIGHT(B449,1)+1))</f>
        <v>DKR250911RUSMUL_20C_sample_5</v>
      </c>
      <c r="C450" s="6" t="str">
        <f t="shared" ref="C450:D450" si="524">C449</f>
        <v>Ruschia multiflora</v>
      </c>
      <c r="D450" s="6" t="str">
        <f t="shared" si="524"/>
        <v>20C</v>
      </c>
      <c r="E450" s="10">
        <f>IF(ISBLANK(A446),"",E449+1)</f>
        <v>5</v>
      </c>
      <c r="F450" s="11">
        <f t="shared" si="522"/>
        <v>45912.76528</v>
      </c>
      <c r="G450" s="8">
        <v>3.747</v>
      </c>
    </row>
    <row r="451">
      <c r="A451" s="12" t="str">
        <f t="shared" si="520"/>
        <v>RUSMUL</v>
      </c>
      <c r="B451" s="12" t="str">
        <f>IF(ISBLANK(A446),"",LEFT(B450,27)&amp;VALUE(RIGHT(B450,1)+1))</f>
        <v>DKR250911RUSMUL_20C_sample_6</v>
      </c>
      <c r="C451" s="13" t="str">
        <f t="shared" ref="C451:D451" si="525">C450</f>
        <v>Ruschia multiflora</v>
      </c>
      <c r="D451" s="13" t="str">
        <f t="shared" si="525"/>
        <v>20C</v>
      </c>
      <c r="E451" s="14">
        <f>IF(ISBLANK(A446),"",E450+1)</f>
        <v>6</v>
      </c>
      <c r="F451" s="15">
        <f t="shared" si="522"/>
        <v>45912.76528</v>
      </c>
      <c r="G451" s="16">
        <v>3.13</v>
      </c>
    </row>
    <row r="452">
      <c r="A452" s="5" t="s">
        <v>17</v>
      </c>
      <c r="B452" s="6" t="str">
        <f>IF(ISBLANK(A452),"",VLOOKUP($A452,'Data Feed (20C)'!$A$1:$G$14,2,FALSE))</f>
        <v>DKR250911OEDSQU_20C_sample_1</v>
      </c>
      <c r="C452" s="6" t="str">
        <f>IF(ISBLANK(A452),"",VLOOKUP($A452,'Data Feed (20C)'!$A$1:$G$14,3,FALSE))</f>
        <v>Oedera squarrosa</v>
      </c>
      <c r="D452" s="6" t="str">
        <f>IF(ISBLANK(A452),"",VLOOKUP($A452,'Data Feed (20C)'!$A$1:$G$14,4,FALSE))</f>
        <v>20C</v>
      </c>
      <c r="E452" s="6">
        <f>IF(ISBLANK(A452),"",VLOOKUP($A452,'Data Feed (20C)'!$A$1:$G$14,7,FALSE))</f>
        <v>1</v>
      </c>
      <c r="F452" s="7">
        <v>45912.768055555556</v>
      </c>
      <c r="G452" s="8">
        <v>1.413</v>
      </c>
    </row>
    <row r="453">
      <c r="A453" s="9" t="str">
        <f t="shared" ref="A453:A457" si="527">A452</f>
        <v>OEDSQU</v>
      </c>
      <c r="B453" s="9" t="str">
        <f>IF(ISBLANK(A452),"",LEFT(B452,27)&amp;VALUE(RIGHT(B452,1)+1))</f>
        <v>DKR250911OEDSQU_20C_sample_2</v>
      </c>
      <c r="C453" s="6" t="str">
        <f t="shared" ref="C453:D453" si="526">C452</f>
        <v>Oedera squarrosa</v>
      </c>
      <c r="D453" s="6" t="str">
        <f t="shared" si="526"/>
        <v>20C</v>
      </c>
      <c r="E453" s="10">
        <f>IF(ISBLANK(A452),"",E452+1)</f>
        <v>2</v>
      </c>
      <c r="F453" s="11">
        <f t="shared" ref="F453:F457" si="529">F452</f>
        <v>45912.76806</v>
      </c>
      <c r="G453" s="8">
        <v>1.167</v>
      </c>
    </row>
    <row r="454">
      <c r="A454" s="9" t="str">
        <f t="shared" si="527"/>
        <v>OEDSQU</v>
      </c>
      <c r="B454" s="9" t="str">
        <f>IF(ISBLANK(A452),"",LEFT(B453,27)&amp;VALUE(RIGHT(B453,1)+1))</f>
        <v>DKR250911OEDSQU_20C_sample_3</v>
      </c>
      <c r="C454" s="6" t="str">
        <f t="shared" ref="C454:D454" si="528">C453</f>
        <v>Oedera squarrosa</v>
      </c>
      <c r="D454" s="6" t="str">
        <f t="shared" si="528"/>
        <v>20C</v>
      </c>
      <c r="E454" s="10">
        <f>IF(ISBLANK(A452),"",E453+1)</f>
        <v>3</v>
      </c>
      <c r="F454" s="11">
        <f t="shared" si="529"/>
        <v>45912.76806</v>
      </c>
      <c r="G454" s="8">
        <v>1.595</v>
      </c>
    </row>
    <row r="455">
      <c r="A455" s="9" t="str">
        <f t="shared" si="527"/>
        <v>OEDSQU</v>
      </c>
      <c r="B455" s="9" t="str">
        <f>IF(ISBLANK(A452),"",LEFT(B454,27)&amp;VALUE(RIGHT(B454,1)+1))</f>
        <v>DKR250911OEDSQU_20C_sample_4</v>
      </c>
      <c r="C455" s="6" t="str">
        <f t="shared" ref="C455:D455" si="530">C454</f>
        <v>Oedera squarrosa</v>
      </c>
      <c r="D455" s="6" t="str">
        <f t="shared" si="530"/>
        <v>20C</v>
      </c>
      <c r="E455" s="10">
        <f>IF(ISBLANK(A452),"",E454+1)</f>
        <v>4</v>
      </c>
      <c r="F455" s="11">
        <f t="shared" si="529"/>
        <v>45912.76806</v>
      </c>
      <c r="G455" s="8">
        <v>1.616</v>
      </c>
    </row>
    <row r="456">
      <c r="A456" s="9" t="str">
        <f t="shared" si="527"/>
        <v>OEDSQU</v>
      </c>
      <c r="B456" s="9" t="str">
        <f>IF(ISBLANK(A452),"",LEFT(B455,27)&amp;VALUE(RIGHT(B455,1)+1))</f>
        <v>DKR250911OEDSQU_20C_sample_5</v>
      </c>
      <c r="C456" s="6" t="str">
        <f t="shared" ref="C456:D456" si="531">C455</f>
        <v>Oedera squarrosa</v>
      </c>
      <c r="D456" s="6" t="str">
        <f t="shared" si="531"/>
        <v>20C</v>
      </c>
      <c r="E456" s="10">
        <f>IF(ISBLANK(A452),"",E455+1)</f>
        <v>5</v>
      </c>
      <c r="F456" s="11">
        <f t="shared" si="529"/>
        <v>45912.76806</v>
      </c>
      <c r="G456" s="8">
        <v>0.755</v>
      </c>
    </row>
    <row r="457">
      <c r="A457" s="12" t="str">
        <f t="shared" si="527"/>
        <v>OEDSQU</v>
      </c>
      <c r="B457" s="12" t="str">
        <f>IF(ISBLANK(A452),"",LEFT(B456,27)&amp;VALUE(RIGHT(B456,1)+1))</f>
        <v>DKR250911OEDSQU_20C_sample_6</v>
      </c>
      <c r="C457" s="13" t="str">
        <f t="shared" ref="C457:D457" si="532">C456</f>
        <v>Oedera squarrosa</v>
      </c>
      <c r="D457" s="13" t="str">
        <f t="shared" si="532"/>
        <v>20C</v>
      </c>
      <c r="E457" s="14">
        <f>IF(ISBLANK(A452),"",E456+1)</f>
        <v>6</v>
      </c>
      <c r="F457" s="15">
        <f t="shared" si="529"/>
        <v>45912.76806</v>
      </c>
      <c r="G457" s="16">
        <v>0.314</v>
      </c>
    </row>
    <row r="458">
      <c r="A458" s="5" t="s">
        <v>11</v>
      </c>
      <c r="B458" s="6" t="str">
        <f>IF(ISBLANK(A458),"",VLOOKUP($A458,'Data Feed (20C)'!$A$1:$G$14,2,FALSE))</f>
        <v>DKF250911SELDOL_20C_sample_1</v>
      </c>
      <c r="C458" s="6" t="str">
        <f>IF(ISBLANK(A458),"",VLOOKUP($A458,'Data Feed (20C)'!$A$1:$G$14,3,FALSE))</f>
        <v>Selago dolosa</v>
      </c>
      <c r="D458" s="6" t="str">
        <f>IF(ISBLANK(A458),"",VLOOKUP($A458,'Data Feed (20C)'!$A$1:$G$14,4,FALSE))</f>
        <v>20C</v>
      </c>
      <c r="E458" s="6">
        <f>IF(ISBLANK(A458),"",VLOOKUP($A458,'Data Feed (20C)'!$A$1:$G$14,7,FALSE))</f>
        <v>1</v>
      </c>
      <c r="F458" s="7">
        <v>45912.770833333336</v>
      </c>
      <c r="G458" s="8">
        <v>1.498</v>
      </c>
    </row>
    <row r="459">
      <c r="A459" s="9" t="str">
        <f t="shared" ref="A459:A463" si="534">A458</f>
        <v>SELDOL</v>
      </c>
      <c r="B459" s="9" t="str">
        <f>IF(ISBLANK(A458),"",LEFT(B458,27)&amp;VALUE(RIGHT(B458,1)+1))</f>
        <v>DKF250911SELDOL_20C_sample_2</v>
      </c>
      <c r="C459" s="6" t="str">
        <f t="shared" ref="C459:D459" si="533">C458</f>
        <v>Selago dolosa</v>
      </c>
      <c r="D459" s="6" t="str">
        <f t="shared" si="533"/>
        <v>20C</v>
      </c>
      <c r="E459" s="10">
        <f>IF(ISBLANK(A458),"",E458+1)</f>
        <v>2</v>
      </c>
      <c r="F459" s="11">
        <f t="shared" ref="F459:F463" si="536">F458</f>
        <v>45912.77083</v>
      </c>
      <c r="G459" s="8">
        <v>2.025</v>
      </c>
    </row>
    <row r="460">
      <c r="A460" s="9" t="str">
        <f t="shared" si="534"/>
        <v>SELDOL</v>
      </c>
      <c r="B460" s="9" t="str">
        <f>IF(ISBLANK(A458),"",LEFT(B459,27)&amp;VALUE(RIGHT(B459,1)+1))</f>
        <v>DKF250911SELDOL_20C_sample_3</v>
      </c>
      <c r="C460" s="6" t="str">
        <f t="shared" ref="C460:D460" si="535">C459</f>
        <v>Selago dolosa</v>
      </c>
      <c r="D460" s="6" t="str">
        <f t="shared" si="535"/>
        <v>20C</v>
      </c>
      <c r="E460" s="10">
        <f>IF(ISBLANK(A458),"",E459+1)</f>
        <v>3</v>
      </c>
      <c r="F460" s="11">
        <f t="shared" si="536"/>
        <v>45912.77083</v>
      </c>
      <c r="G460" s="8">
        <v>1.935</v>
      </c>
    </row>
    <row r="461">
      <c r="A461" s="9" t="str">
        <f t="shared" si="534"/>
        <v>SELDOL</v>
      </c>
      <c r="B461" s="9" t="str">
        <f>IF(ISBLANK(A458),"",LEFT(B460,27)&amp;VALUE(RIGHT(B460,1)+1))</f>
        <v>DKF250911SELDOL_20C_sample_4</v>
      </c>
      <c r="C461" s="6" t="str">
        <f t="shared" ref="C461:D461" si="537">C460</f>
        <v>Selago dolosa</v>
      </c>
      <c r="D461" s="6" t="str">
        <f t="shared" si="537"/>
        <v>20C</v>
      </c>
      <c r="E461" s="10">
        <f>IF(ISBLANK(A458),"",E460+1)</f>
        <v>4</v>
      </c>
      <c r="F461" s="11">
        <f t="shared" si="536"/>
        <v>45912.77083</v>
      </c>
      <c r="G461" s="8">
        <v>1.991</v>
      </c>
    </row>
    <row r="462">
      <c r="A462" s="9" t="str">
        <f t="shared" si="534"/>
        <v>SELDOL</v>
      </c>
      <c r="B462" s="9" t="str">
        <f>IF(ISBLANK(A458),"",LEFT(B461,27)&amp;VALUE(RIGHT(B461,1)+1))</f>
        <v>DKF250911SELDOL_20C_sample_5</v>
      </c>
      <c r="C462" s="6" t="str">
        <f t="shared" ref="C462:D462" si="538">C461</f>
        <v>Selago dolosa</v>
      </c>
      <c r="D462" s="6" t="str">
        <f t="shared" si="538"/>
        <v>20C</v>
      </c>
      <c r="E462" s="10">
        <f>IF(ISBLANK(A458),"",E461+1)</f>
        <v>5</v>
      </c>
      <c r="F462" s="11">
        <f t="shared" si="536"/>
        <v>45912.77083</v>
      </c>
      <c r="G462" s="8"/>
    </row>
    <row r="463">
      <c r="A463" s="12" t="str">
        <f t="shared" si="534"/>
        <v>SELDOL</v>
      </c>
      <c r="B463" s="12" t="str">
        <f>IF(ISBLANK(A458),"",LEFT(B462,27)&amp;VALUE(RIGHT(B462,1)+1))</f>
        <v>DKF250911SELDOL_20C_sample_6</v>
      </c>
      <c r="C463" s="13" t="str">
        <f t="shared" ref="C463:D463" si="539">C462</f>
        <v>Selago dolosa</v>
      </c>
      <c r="D463" s="13" t="str">
        <f t="shared" si="539"/>
        <v>20C</v>
      </c>
      <c r="E463" s="14">
        <f>IF(ISBLANK(A458),"",E462+1)</f>
        <v>6</v>
      </c>
      <c r="F463" s="15">
        <f t="shared" si="536"/>
        <v>45912.77083</v>
      </c>
      <c r="G463" s="16">
        <v>1.261</v>
      </c>
    </row>
    <row r="464">
      <c r="A464" s="5" t="s">
        <v>18</v>
      </c>
      <c r="B464" s="6" t="str">
        <f>IF(ISBLANK(A464),"",VLOOKUP($A464,'Data Feed (20C)'!$A$1:$G$14,2,FALSE))</f>
        <v>DKR250911WAHNOD_20C_sample_1</v>
      </c>
      <c r="C464" s="6" t="str">
        <f>IF(ISBLANK(A464),"",VLOOKUP($A464,'Data Feed (20C)'!$A$1:$G$14,3,FALSE))</f>
        <v>Wahlenbergia nodosa</v>
      </c>
      <c r="D464" s="6" t="str">
        <f>IF(ISBLANK(A464),"",VLOOKUP($A464,'Data Feed (20C)'!$A$1:$G$14,4,FALSE))</f>
        <v>20C</v>
      </c>
      <c r="E464" s="6">
        <f>IF(ISBLANK(A464),"",VLOOKUP($A464,'Data Feed (20C)'!$A$1:$G$14,7,FALSE))</f>
        <v>1</v>
      </c>
      <c r="F464" s="7">
        <v>45912.77361111111</v>
      </c>
      <c r="G464" s="8">
        <v>0.372</v>
      </c>
    </row>
    <row r="465">
      <c r="A465" s="9" t="str">
        <f t="shared" ref="A465:A469" si="541">A464</f>
        <v>WAHNOD</v>
      </c>
      <c r="B465" s="9" t="str">
        <f>IF(ISBLANK(A464),"",LEFT(B464,27)&amp;VALUE(RIGHT(B464,1)+1))</f>
        <v>DKR250911WAHNOD_20C_sample_2</v>
      </c>
      <c r="C465" s="6" t="str">
        <f t="shared" ref="C465:D465" si="540">C464</f>
        <v>Wahlenbergia nodosa</v>
      </c>
      <c r="D465" s="6" t="str">
        <f t="shared" si="540"/>
        <v>20C</v>
      </c>
      <c r="E465" s="10">
        <f>IF(ISBLANK(A464),"",E464+1)</f>
        <v>2</v>
      </c>
      <c r="F465" s="11">
        <f t="shared" ref="F465:F469" si="543">F464</f>
        <v>45912.77361</v>
      </c>
      <c r="G465" s="8">
        <v>0.212</v>
      </c>
    </row>
    <row r="466">
      <c r="A466" s="9" t="str">
        <f t="shared" si="541"/>
        <v>WAHNOD</v>
      </c>
      <c r="B466" s="9" t="str">
        <f>IF(ISBLANK(A464),"",LEFT(B465,27)&amp;VALUE(RIGHT(B465,1)+1))</f>
        <v>DKR250911WAHNOD_20C_sample_3</v>
      </c>
      <c r="C466" s="6" t="str">
        <f t="shared" ref="C466:D466" si="542">C465</f>
        <v>Wahlenbergia nodosa</v>
      </c>
      <c r="D466" s="6" t="str">
        <f t="shared" si="542"/>
        <v>20C</v>
      </c>
      <c r="E466" s="10">
        <f>IF(ISBLANK(A464),"",E465+1)</f>
        <v>3</v>
      </c>
      <c r="F466" s="11">
        <f t="shared" si="543"/>
        <v>45912.77361</v>
      </c>
      <c r="G466" s="8">
        <v>0.17</v>
      </c>
    </row>
    <row r="467">
      <c r="A467" s="9" t="str">
        <f t="shared" si="541"/>
        <v>WAHNOD</v>
      </c>
      <c r="B467" s="9" t="str">
        <f>IF(ISBLANK(A464),"",LEFT(B466,27)&amp;VALUE(RIGHT(B466,1)+1))</f>
        <v>DKR250911WAHNOD_20C_sample_4</v>
      </c>
      <c r="C467" s="6" t="str">
        <f t="shared" ref="C467:D467" si="544">C466</f>
        <v>Wahlenbergia nodosa</v>
      </c>
      <c r="D467" s="6" t="str">
        <f t="shared" si="544"/>
        <v>20C</v>
      </c>
      <c r="E467" s="10">
        <f>IF(ISBLANK(A464),"",E466+1)</f>
        <v>4</v>
      </c>
      <c r="F467" s="11">
        <f t="shared" si="543"/>
        <v>45912.77361</v>
      </c>
      <c r="G467" s="8">
        <v>0.753</v>
      </c>
    </row>
    <row r="468">
      <c r="A468" s="9" t="str">
        <f t="shared" si="541"/>
        <v>WAHNOD</v>
      </c>
      <c r="B468" s="9" t="str">
        <f>IF(ISBLANK(A464),"",LEFT(B467,27)&amp;VALUE(RIGHT(B467,1)+1))</f>
        <v>DKR250911WAHNOD_20C_sample_5</v>
      </c>
      <c r="C468" s="6" t="str">
        <f t="shared" ref="C468:D468" si="545">C467</f>
        <v>Wahlenbergia nodosa</v>
      </c>
      <c r="D468" s="6" t="str">
        <f t="shared" si="545"/>
        <v>20C</v>
      </c>
      <c r="E468" s="10">
        <f>IF(ISBLANK(A464),"",E467+1)</f>
        <v>5</v>
      </c>
      <c r="F468" s="11">
        <f t="shared" si="543"/>
        <v>45912.77361</v>
      </c>
      <c r="G468" s="8">
        <v>0.434</v>
      </c>
    </row>
    <row r="469">
      <c r="A469" s="12" t="str">
        <f t="shared" si="541"/>
        <v>WAHNOD</v>
      </c>
      <c r="B469" s="12" t="str">
        <f>IF(ISBLANK(A464),"",LEFT(B468,27)&amp;VALUE(RIGHT(B468,1)+1))</f>
        <v>DKR250911WAHNOD_20C_sample_6</v>
      </c>
      <c r="C469" s="13" t="str">
        <f t="shared" ref="C469:D469" si="546">C468</f>
        <v>Wahlenbergia nodosa</v>
      </c>
      <c r="D469" s="13" t="str">
        <f t="shared" si="546"/>
        <v>20C</v>
      </c>
      <c r="E469" s="14">
        <f>IF(ISBLANK(A464),"",E468+1)</f>
        <v>6</v>
      </c>
      <c r="F469" s="15">
        <f t="shared" si="543"/>
        <v>45912.77361</v>
      </c>
      <c r="G469" s="16">
        <v>0.463</v>
      </c>
    </row>
    <row r="470">
      <c r="A470" s="5" t="s">
        <v>12</v>
      </c>
      <c r="B470" s="6" t="str">
        <f>IF(ISBLANK(A470),"",VLOOKUP($A470,'Data Feed (20C)'!$A$1:$G$14,2,FALSE))</f>
        <v>DKF250911AGACAP_20C_sample_1</v>
      </c>
      <c r="C470" s="6" t="str">
        <f>IF(ISBLANK(A470),"",VLOOKUP($A470,'Data Feed (20C)'!$A$1:$G$14,3,FALSE))</f>
        <v>Agathosma capensis</v>
      </c>
      <c r="D470" s="6" t="str">
        <f>IF(ISBLANK(A470),"",VLOOKUP($A470,'Data Feed (20C)'!$A$1:$G$14,4,FALSE))</f>
        <v>20C</v>
      </c>
      <c r="E470" s="6">
        <f>IF(ISBLANK(A470),"",VLOOKUP($A470,'Data Feed (20C)'!$A$1:$G$14,7,FALSE))</f>
        <v>1</v>
      </c>
      <c r="F470" s="7">
        <v>45912.81319444445</v>
      </c>
      <c r="G470" s="8">
        <v>4.961</v>
      </c>
    </row>
    <row r="471">
      <c r="A471" s="9" t="str">
        <f t="shared" ref="A471:A475" si="548">A470</f>
        <v>AGACAP</v>
      </c>
      <c r="B471" s="9" t="str">
        <f>IF(ISBLANK(A470),"",LEFT(B470,27)&amp;VALUE(RIGHT(B470,1)+1))</f>
        <v>DKF250911AGACAP_20C_sample_2</v>
      </c>
      <c r="C471" s="6" t="str">
        <f t="shared" ref="C471:D471" si="547">C470</f>
        <v>Agathosma capensis</v>
      </c>
      <c r="D471" s="6" t="str">
        <f t="shared" si="547"/>
        <v>20C</v>
      </c>
      <c r="E471" s="10">
        <f>IF(ISBLANK(A470),"",E470+1)</f>
        <v>2</v>
      </c>
      <c r="F471" s="11">
        <f t="shared" ref="F471:F475" si="550">F470</f>
        <v>45912.81319</v>
      </c>
      <c r="G471" s="8">
        <v>1.814</v>
      </c>
    </row>
    <row r="472">
      <c r="A472" s="9" t="str">
        <f t="shared" si="548"/>
        <v>AGACAP</v>
      </c>
      <c r="B472" s="9" t="str">
        <f>IF(ISBLANK(A470),"",LEFT(B471,27)&amp;VALUE(RIGHT(B471,1)+1))</f>
        <v>DKF250911AGACAP_20C_sample_3</v>
      </c>
      <c r="C472" s="6" t="str">
        <f t="shared" ref="C472:D472" si="549">C471</f>
        <v>Agathosma capensis</v>
      </c>
      <c r="D472" s="6" t="str">
        <f t="shared" si="549"/>
        <v>20C</v>
      </c>
      <c r="E472" s="10">
        <f>IF(ISBLANK(A470),"",E471+1)</f>
        <v>3</v>
      </c>
      <c r="F472" s="11">
        <f t="shared" si="550"/>
        <v>45912.81319</v>
      </c>
      <c r="G472" s="8">
        <v>2.349</v>
      </c>
    </row>
    <row r="473">
      <c r="A473" s="9" t="str">
        <f t="shared" si="548"/>
        <v>AGACAP</v>
      </c>
      <c r="B473" s="9" t="str">
        <f>IF(ISBLANK(A470),"",LEFT(B472,27)&amp;VALUE(RIGHT(B472,1)+1))</f>
        <v>DKF250911AGACAP_20C_sample_4</v>
      </c>
      <c r="C473" s="6" t="str">
        <f t="shared" ref="C473:D473" si="551">C472</f>
        <v>Agathosma capensis</v>
      </c>
      <c r="D473" s="6" t="str">
        <f t="shared" si="551"/>
        <v>20C</v>
      </c>
      <c r="E473" s="10">
        <f>IF(ISBLANK(A470),"",E472+1)</f>
        <v>4</v>
      </c>
      <c r="F473" s="11">
        <f t="shared" si="550"/>
        <v>45912.81319</v>
      </c>
      <c r="G473" s="8">
        <v>1.596</v>
      </c>
    </row>
    <row r="474">
      <c r="A474" s="9" t="str">
        <f t="shared" si="548"/>
        <v>AGACAP</v>
      </c>
      <c r="B474" s="9" t="str">
        <f>IF(ISBLANK(A470),"",LEFT(B473,27)&amp;VALUE(RIGHT(B473,1)+1))</f>
        <v>DKF250911AGACAP_20C_sample_5</v>
      </c>
      <c r="C474" s="6" t="str">
        <f t="shared" ref="C474:D474" si="552">C473</f>
        <v>Agathosma capensis</v>
      </c>
      <c r="D474" s="6" t="str">
        <f t="shared" si="552"/>
        <v>20C</v>
      </c>
      <c r="E474" s="10">
        <f>IF(ISBLANK(A470),"",E473+1)</f>
        <v>5</v>
      </c>
      <c r="F474" s="11">
        <f t="shared" si="550"/>
        <v>45912.81319</v>
      </c>
      <c r="G474" s="8">
        <v>0.672</v>
      </c>
    </row>
    <row r="475">
      <c r="A475" s="12" t="str">
        <f t="shared" si="548"/>
        <v>AGACAP</v>
      </c>
      <c r="B475" s="12" t="str">
        <f>IF(ISBLANK(A470),"",LEFT(B474,27)&amp;VALUE(RIGHT(B474,1)+1))</f>
        <v>DKF250911AGACAP_20C_sample_6</v>
      </c>
      <c r="C475" s="13" t="str">
        <f t="shared" ref="C475:D475" si="553">C474</f>
        <v>Agathosma capensis</v>
      </c>
      <c r="D475" s="13" t="str">
        <f t="shared" si="553"/>
        <v>20C</v>
      </c>
      <c r="E475" s="14">
        <f>IF(ISBLANK(A470),"",E474+1)</f>
        <v>6</v>
      </c>
      <c r="F475" s="15">
        <f t="shared" si="550"/>
        <v>45912.81319</v>
      </c>
      <c r="G475" s="16">
        <v>1.81</v>
      </c>
    </row>
    <row r="476">
      <c r="A476" s="5" t="s">
        <v>14</v>
      </c>
      <c r="B476" s="6" t="str">
        <f>IF(ISBLANK(A476),"",VLOOKUP($A476,'Data Feed (20C)'!$A$1:$G$14,2,FALSE))</f>
        <v>DKF250911ASPSHA_20C_sample_1</v>
      </c>
      <c r="C476" s="6" t="str">
        <f>IF(ISBLANK(A476),"",VLOOKUP($A476,'Data Feed (20C)'!$A$1:$G$14,3,FALSE))</f>
        <v>Aspalathus shawii</v>
      </c>
      <c r="D476" s="6" t="str">
        <f>IF(ISBLANK(A476),"",VLOOKUP($A476,'Data Feed (20C)'!$A$1:$G$14,4,FALSE))</f>
        <v>20C</v>
      </c>
      <c r="E476" s="6">
        <f>IF(ISBLANK(A476),"",VLOOKUP($A476,'Data Feed (20C)'!$A$1:$G$14,7,FALSE))</f>
        <v>1</v>
      </c>
      <c r="F476" s="7">
        <v>45912.81527777778</v>
      </c>
      <c r="G476" s="8">
        <v>14.732</v>
      </c>
    </row>
    <row r="477">
      <c r="A477" s="9" t="str">
        <f t="shared" ref="A477:A481" si="555">A476</f>
        <v>ASPSHA</v>
      </c>
      <c r="B477" s="9" t="str">
        <f>IF(ISBLANK(A476),"",LEFT(B476,27)&amp;VALUE(RIGHT(B476,1)+1))</f>
        <v>DKF250911ASPSHA_20C_sample_2</v>
      </c>
      <c r="C477" s="6" t="str">
        <f t="shared" ref="C477:D477" si="554">C476</f>
        <v>Aspalathus shawii</v>
      </c>
      <c r="D477" s="6" t="str">
        <f t="shared" si="554"/>
        <v>20C</v>
      </c>
      <c r="E477" s="10">
        <f>IF(ISBLANK(A476),"",E476+1)</f>
        <v>2</v>
      </c>
      <c r="F477" s="11">
        <f t="shared" ref="F477:F481" si="557">F476</f>
        <v>45912.81528</v>
      </c>
      <c r="G477" s="8">
        <v>10.257</v>
      </c>
    </row>
    <row r="478">
      <c r="A478" s="9" t="str">
        <f t="shared" si="555"/>
        <v>ASPSHA</v>
      </c>
      <c r="B478" s="9" t="str">
        <f>IF(ISBLANK(A476),"",LEFT(B477,27)&amp;VALUE(RIGHT(B477,1)+1))</f>
        <v>DKF250911ASPSHA_20C_sample_3</v>
      </c>
      <c r="C478" s="6" t="str">
        <f t="shared" ref="C478:D478" si="556">C477</f>
        <v>Aspalathus shawii</v>
      </c>
      <c r="D478" s="6" t="str">
        <f t="shared" si="556"/>
        <v>20C</v>
      </c>
      <c r="E478" s="10">
        <f>IF(ISBLANK(A476),"",E477+1)</f>
        <v>3</v>
      </c>
      <c r="F478" s="11">
        <f t="shared" si="557"/>
        <v>45912.81528</v>
      </c>
      <c r="G478" s="8">
        <v>5.769</v>
      </c>
    </row>
    <row r="479">
      <c r="A479" s="9" t="str">
        <f t="shared" si="555"/>
        <v>ASPSHA</v>
      </c>
      <c r="B479" s="9" t="str">
        <f>IF(ISBLANK(A476),"",LEFT(B478,27)&amp;VALUE(RIGHT(B478,1)+1))</f>
        <v>DKF250911ASPSHA_20C_sample_4</v>
      </c>
      <c r="C479" s="6" t="str">
        <f t="shared" ref="C479:D479" si="558">C478</f>
        <v>Aspalathus shawii</v>
      </c>
      <c r="D479" s="6" t="str">
        <f t="shared" si="558"/>
        <v>20C</v>
      </c>
      <c r="E479" s="10">
        <f>IF(ISBLANK(A476),"",E478+1)</f>
        <v>4</v>
      </c>
      <c r="F479" s="11">
        <f t="shared" si="557"/>
        <v>45912.81528</v>
      </c>
      <c r="G479" s="8">
        <v>14.219</v>
      </c>
    </row>
    <row r="480">
      <c r="A480" s="9" t="str">
        <f t="shared" si="555"/>
        <v>ASPSHA</v>
      </c>
      <c r="B480" s="9" t="str">
        <f>IF(ISBLANK(A476),"",LEFT(B479,27)&amp;VALUE(RIGHT(B479,1)+1))</f>
        <v>DKF250911ASPSHA_20C_sample_5</v>
      </c>
      <c r="C480" s="6" t="str">
        <f t="shared" ref="C480:D480" si="559">C479</f>
        <v>Aspalathus shawii</v>
      </c>
      <c r="D480" s="6" t="str">
        <f t="shared" si="559"/>
        <v>20C</v>
      </c>
      <c r="E480" s="10">
        <f>IF(ISBLANK(A476),"",E479+1)</f>
        <v>5</v>
      </c>
      <c r="F480" s="11">
        <f t="shared" si="557"/>
        <v>45912.81528</v>
      </c>
      <c r="G480" s="8">
        <v>4.331</v>
      </c>
    </row>
    <row r="481">
      <c r="A481" s="12" t="str">
        <f t="shared" si="555"/>
        <v>ASPSHA</v>
      </c>
      <c r="B481" s="12" t="str">
        <f>IF(ISBLANK(A476),"",LEFT(B480,27)&amp;VALUE(RIGHT(B480,1)+1))</f>
        <v>DKF250911ASPSHA_20C_sample_6</v>
      </c>
      <c r="C481" s="13" t="str">
        <f t="shared" ref="C481:D481" si="560">C480</f>
        <v>Aspalathus shawii</v>
      </c>
      <c r="D481" s="13" t="str">
        <f t="shared" si="560"/>
        <v>20C</v>
      </c>
      <c r="E481" s="14">
        <f>IF(ISBLANK(A476),"",E480+1)</f>
        <v>6</v>
      </c>
      <c r="F481" s="15">
        <f t="shared" si="557"/>
        <v>45912.81528</v>
      </c>
      <c r="G481" s="16">
        <v>11.889</v>
      </c>
    </row>
    <row r="482">
      <c r="A482" s="5" t="s">
        <v>19</v>
      </c>
      <c r="B482" s="6" t="str">
        <f>IF(ISBLANK(A482),"",VLOOKUP($A482,'Data Feed (20C)'!$A$1:$G$14,2,FALSE))</f>
        <v>DKR250911CLURUB_20C_sample_1</v>
      </c>
      <c r="C482" s="6" t="str">
        <f>IF(ISBLANK(A482),"",VLOOKUP($A482,'Data Feed (20C)'!$A$1:$G$14,3,FALSE))</f>
        <v>Clutia rubricaulis</v>
      </c>
      <c r="D482" s="6" t="str">
        <f>IF(ISBLANK(A482),"",VLOOKUP($A482,'Data Feed (20C)'!$A$1:$G$14,4,FALSE))</f>
        <v>20C</v>
      </c>
      <c r="E482" s="6">
        <f>IF(ISBLANK(A482),"",VLOOKUP($A482,'Data Feed (20C)'!$A$1:$G$14,7,FALSE))</f>
        <v>1</v>
      </c>
      <c r="F482" s="7">
        <v>45912.81736111111</v>
      </c>
      <c r="G482" s="8">
        <v>0.461</v>
      </c>
    </row>
    <row r="483">
      <c r="A483" s="9" t="str">
        <f t="shared" ref="A483:A487" si="562">A482</f>
        <v>CLURUB</v>
      </c>
      <c r="B483" s="9" t="str">
        <f>IF(ISBLANK(A482),"",LEFT(B482,27)&amp;VALUE(RIGHT(B482,1)+1))</f>
        <v>DKR250911CLURUB_20C_sample_2</v>
      </c>
      <c r="C483" s="6" t="str">
        <f t="shared" ref="C483:D483" si="561">C482</f>
        <v>Clutia rubricaulis</v>
      </c>
      <c r="D483" s="6" t="str">
        <f t="shared" si="561"/>
        <v>20C</v>
      </c>
      <c r="E483" s="10">
        <f>IF(ISBLANK(A482),"",E482+1)</f>
        <v>2</v>
      </c>
      <c r="F483" s="11">
        <f t="shared" ref="F483:F487" si="564">F482</f>
        <v>45912.81736</v>
      </c>
      <c r="G483" s="8">
        <v>0.37</v>
      </c>
    </row>
    <row r="484">
      <c r="A484" s="9" t="str">
        <f t="shared" si="562"/>
        <v>CLURUB</v>
      </c>
      <c r="B484" s="9" t="str">
        <f>IF(ISBLANK(A482),"",LEFT(B483,27)&amp;VALUE(RIGHT(B483,1)+1))</f>
        <v>DKR250911CLURUB_20C_sample_3</v>
      </c>
      <c r="C484" s="6" t="str">
        <f t="shared" ref="C484:D484" si="563">C483</f>
        <v>Clutia rubricaulis</v>
      </c>
      <c r="D484" s="6" t="str">
        <f t="shared" si="563"/>
        <v>20C</v>
      </c>
      <c r="E484" s="10">
        <f>IF(ISBLANK(A482),"",E483+1)</f>
        <v>3</v>
      </c>
      <c r="F484" s="11">
        <f t="shared" si="564"/>
        <v>45912.81736</v>
      </c>
      <c r="G484" s="8">
        <v>0.483</v>
      </c>
    </row>
    <row r="485">
      <c r="A485" s="9" t="str">
        <f t="shared" si="562"/>
        <v>CLURUB</v>
      </c>
      <c r="B485" s="9" t="str">
        <f>IF(ISBLANK(A482),"",LEFT(B484,27)&amp;VALUE(RIGHT(B484,1)+1))</f>
        <v>DKR250911CLURUB_20C_sample_4</v>
      </c>
      <c r="C485" s="6" t="str">
        <f t="shared" ref="C485:D485" si="565">C484</f>
        <v>Clutia rubricaulis</v>
      </c>
      <c r="D485" s="6" t="str">
        <f t="shared" si="565"/>
        <v>20C</v>
      </c>
      <c r="E485" s="10">
        <f>IF(ISBLANK(A482),"",E484+1)</f>
        <v>4</v>
      </c>
      <c r="F485" s="11">
        <f t="shared" si="564"/>
        <v>45912.81736</v>
      </c>
      <c r="G485" s="8">
        <v>0.236</v>
      </c>
    </row>
    <row r="486">
      <c r="A486" s="9" t="str">
        <f t="shared" si="562"/>
        <v>CLURUB</v>
      </c>
      <c r="B486" s="9" t="str">
        <f>IF(ISBLANK(A482),"",LEFT(B485,27)&amp;VALUE(RIGHT(B485,1)+1))</f>
        <v>DKR250911CLURUB_20C_sample_5</v>
      </c>
      <c r="C486" s="6" t="str">
        <f t="shared" ref="C486:D486" si="566">C485</f>
        <v>Clutia rubricaulis</v>
      </c>
      <c r="D486" s="6" t="str">
        <f t="shared" si="566"/>
        <v>20C</v>
      </c>
      <c r="E486" s="10">
        <f>IF(ISBLANK(A482),"",E485+1)</f>
        <v>5</v>
      </c>
      <c r="F486" s="11">
        <f t="shared" si="564"/>
        <v>45912.81736</v>
      </c>
      <c r="G486" s="8">
        <v>0.484</v>
      </c>
    </row>
    <row r="487">
      <c r="A487" s="12" t="str">
        <f t="shared" si="562"/>
        <v>CLURUB</v>
      </c>
      <c r="B487" s="12" t="str">
        <f>IF(ISBLANK(A482),"",LEFT(B486,27)&amp;VALUE(RIGHT(B486,1)+1))</f>
        <v>DKR250911CLURUB_20C_sample_6</v>
      </c>
      <c r="C487" s="13" t="str">
        <f t="shared" ref="C487:D487" si="567">C486</f>
        <v>Clutia rubricaulis</v>
      </c>
      <c r="D487" s="13" t="str">
        <f t="shared" si="567"/>
        <v>20C</v>
      </c>
      <c r="E487" s="14">
        <f>IF(ISBLANK(A482),"",E486+1)</f>
        <v>6</v>
      </c>
      <c r="F487" s="15">
        <f t="shared" si="564"/>
        <v>45912.81736</v>
      </c>
      <c r="G487" s="16">
        <v>0.409</v>
      </c>
    </row>
    <row r="488">
      <c r="A488" s="5" t="s">
        <v>15</v>
      </c>
      <c r="B488" s="6" t="str">
        <f>IF(ISBLANK(A488),"",VLOOKUP($A488,'Data Feed (20C)'!$A$1:$G$14,2,FALSE))</f>
        <v>DKR250911ELYRHI_20C_sample_1</v>
      </c>
      <c r="C488" s="6" t="str">
        <f>IF(ISBLANK(A488),"",VLOOKUP($A488,'Data Feed (20C)'!$A$1:$G$14,3,FALSE))</f>
        <v>Elytropappus rhinocerotis</v>
      </c>
      <c r="D488" s="6" t="str">
        <f>IF(ISBLANK(A488),"",VLOOKUP($A488,'Data Feed (20C)'!$A$1:$G$14,4,FALSE))</f>
        <v>20C</v>
      </c>
      <c r="E488" s="6">
        <f>IF(ISBLANK(A488),"",VLOOKUP($A488,'Data Feed (20C)'!$A$1:$G$14,7,FALSE))</f>
        <v>1</v>
      </c>
      <c r="F488" s="7">
        <v>45912.819444444445</v>
      </c>
      <c r="G488" s="8">
        <v>3.717</v>
      </c>
    </row>
    <row r="489">
      <c r="A489" s="9" t="str">
        <f t="shared" ref="A489:A493" si="569">A488</f>
        <v>ELYRHI</v>
      </c>
      <c r="B489" s="9" t="str">
        <f>IF(ISBLANK(A488),"",LEFT(B488,27)&amp;VALUE(RIGHT(B488,1)+1))</f>
        <v>DKR250911ELYRHI_20C_sample_2</v>
      </c>
      <c r="C489" s="6" t="str">
        <f t="shared" ref="C489:D489" si="568">C488</f>
        <v>Elytropappus rhinocerotis</v>
      </c>
      <c r="D489" s="6" t="str">
        <f t="shared" si="568"/>
        <v>20C</v>
      </c>
      <c r="E489" s="10">
        <f>IF(ISBLANK(A488),"",E488+1)</f>
        <v>2</v>
      </c>
      <c r="F489" s="11">
        <f t="shared" ref="F489:F493" si="571">F488</f>
        <v>45912.81944</v>
      </c>
      <c r="G489" s="8">
        <v>4.075</v>
      </c>
    </row>
    <row r="490">
      <c r="A490" s="9" t="str">
        <f t="shared" si="569"/>
        <v>ELYRHI</v>
      </c>
      <c r="B490" s="9" t="str">
        <f>IF(ISBLANK(A488),"",LEFT(B489,27)&amp;VALUE(RIGHT(B489,1)+1))</f>
        <v>DKR250911ELYRHI_20C_sample_3</v>
      </c>
      <c r="C490" s="6" t="str">
        <f t="shared" ref="C490:D490" si="570">C489</f>
        <v>Elytropappus rhinocerotis</v>
      </c>
      <c r="D490" s="6" t="str">
        <f t="shared" si="570"/>
        <v>20C</v>
      </c>
      <c r="E490" s="10">
        <f>IF(ISBLANK(A488),"",E489+1)</f>
        <v>3</v>
      </c>
      <c r="F490" s="11">
        <f t="shared" si="571"/>
        <v>45912.81944</v>
      </c>
      <c r="G490" s="8">
        <v>6.776</v>
      </c>
    </row>
    <row r="491">
      <c r="A491" s="9" t="str">
        <f t="shared" si="569"/>
        <v>ELYRHI</v>
      </c>
      <c r="B491" s="9" t="str">
        <f>IF(ISBLANK(A488),"",LEFT(B490,27)&amp;VALUE(RIGHT(B490,1)+1))</f>
        <v>DKR250911ELYRHI_20C_sample_4</v>
      </c>
      <c r="C491" s="6" t="str">
        <f t="shared" ref="C491:D491" si="572">C490</f>
        <v>Elytropappus rhinocerotis</v>
      </c>
      <c r="D491" s="6" t="str">
        <f t="shared" si="572"/>
        <v>20C</v>
      </c>
      <c r="E491" s="10">
        <f>IF(ISBLANK(A488),"",E490+1)</f>
        <v>4</v>
      </c>
      <c r="F491" s="11">
        <f t="shared" si="571"/>
        <v>45912.81944</v>
      </c>
      <c r="G491" s="8">
        <v>4.027</v>
      </c>
    </row>
    <row r="492">
      <c r="A492" s="9" t="str">
        <f t="shared" si="569"/>
        <v>ELYRHI</v>
      </c>
      <c r="B492" s="9" t="str">
        <f>IF(ISBLANK(A488),"",LEFT(B491,27)&amp;VALUE(RIGHT(B491,1)+1))</f>
        <v>DKR250911ELYRHI_20C_sample_5</v>
      </c>
      <c r="C492" s="6" t="str">
        <f t="shared" ref="C492:D492" si="573">C491</f>
        <v>Elytropappus rhinocerotis</v>
      </c>
      <c r="D492" s="6" t="str">
        <f t="shared" si="573"/>
        <v>20C</v>
      </c>
      <c r="E492" s="10">
        <f>IF(ISBLANK(A488),"",E491+1)</f>
        <v>5</v>
      </c>
      <c r="F492" s="11">
        <f t="shared" si="571"/>
        <v>45912.81944</v>
      </c>
      <c r="G492" s="8">
        <v>2.599</v>
      </c>
    </row>
    <row r="493">
      <c r="A493" s="12" t="str">
        <f t="shared" si="569"/>
        <v>ELYRHI</v>
      </c>
      <c r="B493" s="12" t="str">
        <f>IF(ISBLANK(A488),"",LEFT(B492,27)&amp;VALUE(RIGHT(B492,1)+1))</f>
        <v>DKR250911ELYRHI_20C_sample_6</v>
      </c>
      <c r="C493" s="13" t="str">
        <f t="shared" ref="C493:D493" si="574">C492</f>
        <v>Elytropappus rhinocerotis</v>
      </c>
      <c r="D493" s="13" t="str">
        <f t="shared" si="574"/>
        <v>20C</v>
      </c>
      <c r="E493" s="14">
        <f>IF(ISBLANK(A488),"",E492+1)</f>
        <v>6</v>
      </c>
      <c r="F493" s="15">
        <f t="shared" si="571"/>
        <v>45912.81944</v>
      </c>
      <c r="G493" s="16">
        <v>2.18</v>
      </c>
    </row>
    <row r="494">
      <c r="A494" s="5" t="s">
        <v>10</v>
      </c>
      <c r="B494" s="6" t="str">
        <f>IF(ISBLANK(A494),"",VLOOKUP($A494,'Data Feed (20C)'!$A$1:$G$14,2,FALSE))</f>
        <v>DKF250911LOBDEC_20C_sample_1</v>
      </c>
      <c r="C494" s="6" t="str">
        <f>IF(ISBLANK(A494),"",VLOOKUP($A494,'Data Feed (20C)'!$A$1:$G$14,3,FALSE))</f>
        <v>Lobostemon decorus</v>
      </c>
      <c r="D494" s="6" t="str">
        <f>IF(ISBLANK(A494),"",VLOOKUP($A494,'Data Feed (20C)'!$A$1:$G$14,4,FALSE))</f>
        <v>20C</v>
      </c>
      <c r="E494" s="6">
        <f>IF(ISBLANK(A494),"",VLOOKUP($A494,'Data Feed (20C)'!$A$1:$G$14,7,FALSE))</f>
        <v>1</v>
      </c>
      <c r="F494" s="7">
        <v>45912.82152777778</v>
      </c>
      <c r="G494" s="8">
        <v>9.965</v>
      </c>
    </row>
    <row r="495">
      <c r="A495" s="9" t="str">
        <f t="shared" ref="A495:A499" si="576">A494</f>
        <v>LOBDEC</v>
      </c>
      <c r="B495" s="9" t="str">
        <f>IF(ISBLANK(A494),"",LEFT(B494,27)&amp;VALUE(RIGHT(B494,1)+1))</f>
        <v>DKF250911LOBDEC_20C_sample_2</v>
      </c>
      <c r="C495" s="6" t="str">
        <f t="shared" ref="C495:D495" si="575">C494</f>
        <v>Lobostemon decorus</v>
      </c>
      <c r="D495" s="6" t="str">
        <f t="shared" si="575"/>
        <v>20C</v>
      </c>
      <c r="E495" s="10">
        <f>IF(ISBLANK(A494),"",E494+1)</f>
        <v>2</v>
      </c>
      <c r="F495" s="11">
        <f t="shared" ref="F495:F499" si="578">F494</f>
        <v>45912.82153</v>
      </c>
      <c r="G495" s="8">
        <v>7.682</v>
      </c>
    </row>
    <row r="496">
      <c r="A496" s="9" t="str">
        <f t="shared" si="576"/>
        <v>LOBDEC</v>
      </c>
      <c r="B496" s="9" t="str">
        <f>IF(ISBLANK(A494),"",LEFT(B495,27)&amp;VALUE(RIGHT(B495,1)+1))</f>
        <v>DKF250911LOBDEC_20C_sample_3</v>
      </c>
      <c r="C496" s="6" t="str">
        <f t="shared" ref="C496:D496" si="577">C495</f>
        <v>Lobostemon decorus</v>
      </c>
      <c r="D496" s="6" t="str">
        <f t="shared" si="577"/>
        <v>20C</v>
      </c>
      <c r="E496" s="10">
        <f>IF(ISBLANK(A494),"",E495+1)</f>
        <v>3</v>
      </c>
      <c r="F496" s="11">
        <f t="shared" si="578"/>
        <v>45912.82153</v>
      </c>
      <c r="G496" s="8">
        <v>10.867</v>
      </c>
    </row>
    <row r="497">
      <c r="A497" s="9" t="str">
        <f t="shared" si="576"/>
        <v>LOBDEC</v>
      </c>
      <c r="B497" s="9" t="str">
        <f>IF(ISBLANK(A494),"",LEFT(B496,27)&amp;VALUE(RIGHT(B496,1)+1))</f>
        <v>DKF250911LOBDEC_20C_sample_4</v>
      </c>
      <c r="C497" s="6" t="str">
        <f t="shared" ref="C497:D497" si="579">C496</f>
        <v>Lobostemon decorus</v>
      </c>
      <c r="D497" s="6" t="str">
        <f t="shared" si="579"/>
        <v>20C</v>
      </c>
      <c r="E497" s="10">
        <f>IF(ISBLANK(A494),"",E496+1)</f>
        <v>4</v>
      </c>
      <c r="F497" s="11">
        <f t="shared" si="578"/>
        <v>45912.82153</v>
      </c>
      <c r="G497" s="8">
        <v>7.481</v>
      </c>
    </row>
    <row r="498">
      <c r="A498" s="9" t="str">
        <f t="shared" si="576"/>
        <v>LOBDEC</v>
      </c>
      <c r="B498" s="9" t="str">
        <f>IF(ISBLANK(A494),"",LEFT(B497,27)&amp;VALUE(RIGHT(B497,1)+1))</f>
        <v>DKF250911LOBDEC_20C_sample_5</v>
      </c>
      <c r="C498" s="6" t="str">
        <f t="shared" ref="C498:D498" si="580">C497</f>
        <v>Lobostemon decorus</v>
      </c>
      <c r="D498" s="6" t="str">
        <f t="shared" si="580"/>
        <v>20C</v>
      </c>
      <c r="E498" s="10">
        <f>IF(ISBLANK(A494),"",E497+1)</f>
        <v>5</v>
      </c>
      <c r="F498" s="11">
        <f t="shared" si="578"/>
        <v>45912.82153</v>
      </c>
      <c r="G498" s="8">
        <v>5.086</v>
      </c>
    </row>
    <row r="499">
      <c r="A499" s="12" t="str">
        <f t="shared" si="576"/>
        <v>LOBDEC</v>
      </c>
      <c r="B499" s="12" t="str">
        <f>IF(ISBLANK(A494),"",LEFT(B498,27)&amp;VALUE(RIGHT(B498,1)+1))</f>
        <v>DKF250911LOBDEC_20C_sample_6</v>
      </c>
      <c r="C499" s="13" t="str">
        <f t="shared" ref="C499:D499" si="581">C498</f>
        <v>Lobostemon decorus</v>
      </c>
      <c r="D499" s="13" t="str">
        <f t="shared" si="581"/>
        <v>20C</v>
      </c>
      <c r="E499" s="14">
        <f>IF(ISBLANK(A494),"",E498+1)</f>
        <v>6</v>
      </c>
      <c r="F499" s="15">
        <f t="shared" si="578"/>
        <v>45912.82153</v>
      </c>
      <c r="G499" s="16">
        <v>5.077</v>
      </c>
    </row>
    <row r="500">
      <c r="A500" s="5" t="s">
        <v>16</v>
      </c>
      <c r="B500" s="6" t="str">
        <f>IF(ISBLANK(A500),"",VLOOKUP($A500,'Data Feed (20C)'!$A$1:$G$14,2,FALSE))</f>
        <v>DKR250911MICPOL_20C_sample_1</v>
      </c>
      <c r="C500" s="6" t="str">
        <f>IF(ISBLANK(A500),"",VLOOKUP($A500,'Data Feed (20C)'!$A$1:$G$14,3,FALSE))</f>
        <v>Microdon polygaloides</v>
      </c>
      <c r="D500" s="6" t="str">
        <f>IF(ISBLANK(A500),"",VLOOKUP($A500,'Data Feed (20C)'!$A$1:$G$14,4,FALSE))</f>
        <v>20C</v>
      </c>
      <c r="E500" s="6">
        <f>IF(ISBLANK(A500),"",VLOOKUP($A500,'Data Feed (20C)'!$A$1:$G$14,7,FALSE))</f>
        <v>1</v>
      </c>
      <c r="F500" s="7">
        <v>45912.825</v>
      </c>
      <c r="G500" s="8">
        <v>1.737</v>
      </c>
    </row>
    <row r="501">
      <c r="A501" s="9" t="str">
        <f t="shared" ref="A501:A505" si="583">A500</f>
        <v>MICPOL</v>
      </c>
      <c r="B501" s="9" t="str">
        <f>IF(ISBLANK(A500),"",LEFT(B500,27)&amp;VALUE(RIGHT(B500,1)+1))</f>
        <v>DKR250911MICPOL_20C_sample_2</v>
      </c>
      <c r="C501" s="6" t="str">
        <f t="shared" ref="C501:D501" si="582">C500</f>
        <v>Microdon polygaloides</v>
      </c>
      <c r="D501" s="6" t="str">
        <f t="shared" si="582"/>
        <v>20C</v>
      </c>
      <c r="E501" s="10">
        <f>IF(ISBLANK(A500),"",E500+1)</f>
        <v>2</v>
      </c>
      <c r="F501" s="11">
        <f t="shared" ref="F501:F505" si="585">F500</f>
        <v>45912.825</v>
      </c>
      <c r="G501" s="8">
        <v>1.067</v>
      </c>
    </row>
    <row r="502">
      <c r="A502" s="9" t="str">
        <f t="shared" si="583"/>
        <v>MICPOL</v>
      </c>
      <c r="B502" s="9" t="str">
        <f>IF(ISBLANK(A500),"",LEFT(B501,27)&amp;VALUE(RIGHT(B501,1)+1))</f>
        <v>DKR250911MICPOL_20C_sample_3</v>
      </c>
      <c r="C502" s="6" t="str">
        <f t="shared" ref="C502:D502" si="584">C501</f>
        <v>Microdon polygaloides</v>
      </c>
      <c r="D502" s="6" t="str">
        <f t="shared" si="584"/>
        <v>20C</v>
      </c>
      <c r="E502" s="10">
        <f>IF(ISBLANK(A500),"",E501+1)</f>
        <v>3</v>
      </c>
      <c r="F502" s="11">
        <f t="shared" si="585"/>
        <v>45912.825</v>
      </c>
      <c r="G502" s="8">
        <v>0.445</v>
      </c>
    </row>
    <row r="503">
      <c r="A503" s="9" t="str">
        <f t="shared" si="583"/>
        <v>MICPOL</v>
      </c>
      <c r="B503" s="9" t="str">
        <f>IF(ISBLANK(A500),"",LEFT(B502,27)&amp;VALUE(RIGHT(B502,1)+1))</f>
        <v>DKR250911MICPOL_20C_sample_4</v>
      </c>
      <c r="C503" s="6" t="str">
        <f t="shared" ref="C503:D503" si="586">C502</f>
        <v>Microdon polygaloides</v>
      </c>
      <c r="D503" s="6" t="str">
        <f t="shared" si="586"/>
        <v>20C</v>
      </c>
      <c r="E503" s="10">
        <f>IF(ISBLANK(A500),"",E502+1)</f>
        <v>4</v>
      </c>
      <c r="F503" s="11">
        <f t="shared" si="585"/>
        <v>45912.825</v>
      </c>
      <c r="G503" s="8">
        <v>0.209</v>
      </c>
    </row>
    <row r="504">
      <c r="A504" s="9" t="str">
        <f t="shared" si="583"/>
        <v>MICPOL</v>
      </c>
      <c r="B504" s="9" t="str">
        <f>IF(ISBLANK(A500),"",LEFT(B503,27)&amp;VALUE(RIGHT(B503,1)+1))</f>
        <v>DKR250911MICPOL_20C_sample_5</v>
      </c>
      <c r="C504" s="6" t="str">
        <f t="shared" ref="C504:D504" si="587">C503</f>
        <v>Microdon polygaloides</v>
      </c>
      <c r="D504" s="6" t="str">
        <f t="shared" si="587"/>
        <v>20C</v>
      </c>
      <c r="E504" s="10">
        <f>IF(ISBLANK(A500),"",E503+1)</f>
        <v>5</v>
      </c>
      <c r="F504" s="11">
        <f t="shared" si="585"/>
        <v>45912.825</v>
      </c>
      <c r="G504" s="8">
        <v>0.32</v>
      </c>
    </row>
    <row r="505">
      <c r="A505" s="12" t="str">
        <f t="shared" si="583"/>
        <v>MICPOL</v>
      </c>
      <c r="B505" s="12" t="str">
        <f>IF(ISBLANK(A500),"",LEFT(B504,27)&amp;VALUE(RIGHT(B504,1)+1))</f>
        <v>DKR250911MICPOL_20C_sample_6</v>
      </c>
      <c r="C505" s="13" t="str">
        <f t="shared" ref="C505:D505" si="588">C504</f>
        <v>Microdon polygaloides</v>
      </c>
      <c r="D505" s="13" t="str">
        <f t="shared" si="588"/>
        <v>20C</v>
      </c>
      <c r="E505" s="14">
        <f>IF(ISBLANK(A500),"",E504+1)</f>
        <v>6</v>
      </c>
      <c r="F505" s="15">
        <f t="shared" si="585"/>
        <v>45912.825</v>
      </c>
      <c r="G505" s="16">
        <v>0.284</v>
      </c>
    </row>
    <row r="506">
      <c r="A506" s="5" t="s">
        <v>17</v>
      </c>
      <c r="B506" s="6" t="str">
        <f>IF(ISBLANK(A506),"",VLOOKUP($A506,'Data Feed (20C)'!$A$1:$G$14,2,FALSE))</f>
        <v>DKR250911OEDSQU_20C_sample_1</v>
      </c>
      <c r="C506" s="6" t="str">
        <f>IF(ISBLANK(A506),"",VLOOKUP($A506,'Data Feed (20C)'!$A$1:$G$14,3,FALSE))</f>
        <v>Oedera squarrosa</v>
      </c>
      <c r="D506" s="6" t="str">
        <f>IF(ISBLANK(A506),"",VLOOKUP($A506,'Data Feed (20C)'!$A$1:$G$14,4,FALSE))</f>
        <v>20C</v>
      </c>
      <c r="E506" s="6">
        <f>IF(ISBLANK(A506),"",VLOOKUP($A506,'Data Feed (20C)'!$A$1:$G$14,7,FALSE))</f>
        <v>1</v>
      </c>
      <c r="F506" s="7">
        <v>45912.82708333333</v>
      </c>
      <c r="G506" s="8">
        <v>1.377</v>
      </c>
    </row>
    <row r="507">
      <c r="A507" s="9" t="str">
        <f t="shared" ref="A507:A511" si="590">A506</f>
        <v>OEDSQU</v>
      </c>
      <c r="B507" s="9" t="str">
        <f>IF(ISBLANK(A506),"",LEFT(B506,27)&amp;VALUE(RIGHT(B506,1)+1))</f>
        <v>DKR250911OEDSQU_20C_sample_2</v>
      </c>
      <c r="C507" s="6" t="str">
        <f t="shared" ref="C507:D507" si="589">C506</f>
        <v>Oedera squarrosa</v>
      </c>
      <c r="D507" s="6" t="str">
        <f t="shared" si="589"/>
        <v>20C</v>
      </c>
      <c r="E507" s="10">
        <f>IF(ISBLANK(A506),"",E506+1)</f>
        <v>2</v>
      </c>
      <c r="F507" s="11">
        <f t="shared" ref="F507:F511" si="592">F506</f>
        <v>45912.82708</v>
      </c>
      <c r="G507" s="8">
        <v>1.138</v>
      </c>
    </row>
    <row r="508">
      <c r="A508" s="9" t="str">
        <f t="shared" si="590"/>
        <v>OEDSQU</v>
      </c>
      <c r="B508" s="9" t="str">
        <f>IF(ISBLANK(A506),"",LEFT(B507,27)&amp;VALUE(RIGHT(B507,1)+1))</f>
        <v>DKR250911OEDSQU_20C_sample_3</v>
      </c>
      <c r="C508" s="6" t="str">
        <f t="shared" ref="C508:D508" si="591">C507</f>
        <v>Oedera squarrosa</v>
      </c>
      <c r="D508" s="6" t="str">
        <f t="shared" si="591"/>
        <v>20C</v>
      </c>
      <c r="E508" s="10">
        <f>IF(ISBLANK(A506),"",E507+1)</f>
        <v>3</v>
      </c>
      <c r="F508" s="11">
        <f t="shared" si="592"/>
        <v>45912.82708</v>
      </c>
      <c r="G508" s="8">
        <v>1.567</v>
      </c>
    </row>
    <row r="509">
      <c r="A509" s="9" t="str">
        <f t="shared" si="590"/>
        <v>OEDSQU</v>
      </c>
      <c r="B509" s="9" t="str">
        <f>IF(ISBLANK(A506),"",LEFT(B508,27)&amp;VALUE(RIGHT(B508,1)+1))</f>
        <v>DKR250911OEDSQU_20C_sample_4</v>
      </c>
      <c r="C509" s="6" t="str">
        <f t="shared" ref="C509:D509" si="593">C508</f>
        <v>Oedera squarrosa</v>
      </c>
      <c r="D509" s="6" t="str">
        <f t="shared" si="593"/>
        <v>20C</v>
      </c>
      <c r="E509" s="10">
        <f>IF(ISBLANK(A506),"",E508+1)</f>
        <v>4</v>
      </c>
      <c r="F509" s="11">
        <f t="shared" si="592"/>
        <v>45912.82708</v>
      </c>
      <c r="G509" s="8">
        <v>1.575</v>
      </c>
    </row>
    <row r="510">
      <c r="A510" s="9" t="str">
        <f t="shared" si="590"/>
        <v>OEDSQU</v>
      </c>
      <c r="B510" s="9" t="str">
        <f>IF(ISBLANK(A506),"",LEFT(B509,27)&amp;VALUE(RIGHT(B509,1)+1))</f>
        <v>DKR250911OEDSQU_20C_sample_5</v>
      </c>
      <c r="C510" s="6" t="str">
        <f t="shared" ref="C510:D510" si="594">C509</f>
        <v>Oedera squarrosa</v>
      </c>
      <c r="D510" s="6" t="str">
        <f t="shared" si="594"/>
        <v>20C</v>
      </c>
      <c r="E510" s="10">
        <f>IF(ISBLANK(A506),"",E509+1)</f>
        <v>5</v>
      </c>
      <c r="F510" s="11">
        <f t="shared" si="592"/>
        <v>45912.82708</v>
      </c>
      <c r="G510" s="8">
        <v>0.733</v>
      </c>
    </row>
    <row r="511">
      <c r="A511" s="12" t="str">
        <f t="shared" si="590"/>
        <v>OEDSQU</v>
      </c>
      <c r="B511" s="12" t="str">
        <f>IF(ISBLANK(A506),"",LEFT(B510,27)&amp;VALUE(RIGHT(B510,1)+1))</f>
        <v>DKR250911OEDSQU_20C_sample_6</v>
      </c>
      <c r="C511" s="13" t="str">
        <f t="shared" ref="C511:D511" si="595">C510</f>
        <v>Oedera squarrosa</v>
      </c>
      <c r="D511" s="13" t="str">
        <f t="shared" si="595"/>
        <v>20C</v>
      </c>
      <c r="E511" s="14">
        <f>IF(ISBLANK(A506),"",E510+1)</f>
        <v>6</v>
      </c>
      <c r="F511" s="15">
        <f t="shared" si="592"/>
        <v>45912.82708</v>
      </c>
      <c r="G511" s="16">
        <v>0.303</v>
      </c>
    </row>
    <row r="512">
      <c r="A512" s="5" t="s">
        <v>7</v>
      </c>
      <c r="B512" s="6" t="str">
        <f>IF(ISBLANK(A512),"",VLOOKUP($A512,'Data Feed (20C)'!$A$1:$G$14,2,FALSE))</f>
        <v>DKR250911PASOBT_20C_sample_1</v>
      </c>
      <c r="C512" s="6" t="str">
        <f>IF(ISBLANK(A512),"",VLOOKUP($A512,'Data Feed (20C)'!$A$1:$G$14,3,FALSE))</f>
        <v>Passerina obtusifolia</v>
      </c>
      <c r="D512" s="6" t="str">
        <f>IF(ISBLANK(A512),"",VLOOKUP($A512,'Data Feed (20C)'!$A$1:$G$14,4,FALSE))</f>
        <v>20C</v>
      </c>
      <c r="E512" s="6">
        <f>IF(ISBLANK(A512),"",VLOOKUP($A512,'Data Feed (20C)'!$A$1:$G$14,7,FALSE))</f>
        <v>1</v>
      </c>
      <c r="F512" s="7">
        <v>45912.82847222222</v>
      </c>
      <c r="G512" s="8">
        <v>3.133</v>
      </c>
    </row>
    <row r="513">
      <c r="A513" s="9" t="str">
        <f t="shared" ref="A513:A517" si="597">A512</f>
        <v>PASOBT</v>
      </c>
      <c r="B513" s="9" t="str">
        <f>IF(ISBLANK(A512),"",LEFT(B512,27)&amp;VALUE(RIGHT(B512,1)+1))</f>
        <v>DKR250911PASOBT_20C_sample_2</v>
      </c>
      <c r="C513" s="6" t="str">
        <f t="shared" ref="C513:D513" si="596">C512</f>
        <v>Passerina obtusifolia</v>
      </c>
      <c r="D513" s="6" t="str">
        <f t="shared" si="596"/>
        <v>20C</v>
      </c>
      <c r="E513" s="10">
        <f>IF(ISBLANK(A512),"",E512+1)</f>
        <v>2</v>
      </c>
      <c r="F513" s="11">
        <f t="shared" ref="F513:F517" si="599">F512</f>
        <v>45912.82847</v>
      </c>
      <c r="G513" s="8">
        <v>4.31</v>
      </c>
    </row>
    <row r="514">
      <c r="A514" s="9" t="str">
        <f t="shared" si="597"/>
        <v>PASOBT</v>
      </c>
      <c r="B514" s="9" t="str">
        <f>IF(ISBLANK(A512),"",LEFT(B513,27)&amp;VALUE(RIGHT(B513,1)+1))</f>
        <v>DKR250911PASOBT_20C_sample_3</v>
      </c>
      <c r="C514" s="6" t="str">
        <f t="shared" ref="C514:D514" si="598">C513</f>
        <v>Passerina obtusifolia</v>
      </c>
      <c r="D514" s="6" t="str">
        <f t="shared" si="598"/>
        <v>20C</v>
      </c>
      <c r="E514" s="10">
        <f>IF(ISBLANK(A512),"",E513+1)</f>
        <v>3</v>
      </c>
      <c r="F514" s="11">
        <f t="shared" si="599"/>
        <v>45912.82847</v>
      </c>
      <c r="G514" s="8">
        <v>1.496</v>
      </c>
    </row>
    <row r="515">
      <c r="A515" s="9" t="str">
        <f t="shared" si="597"/>
        <v>PASOBT</v>
      </c>
      <c r="B515" s="9" t="str">
        <f>IF(ISBLANK(A512),"",LEFT(B514,27)&amp;VALUE(RIGHT(B514,1)+1))</f>
        <v>DKR250911PASOBT_20C_sample_4</v>
      </c>
      <c r="C515" s="6" t="str">
        <f t="shared" ref="C515:D515" si="600">C514</f>
        <v>Passerina obtusifolia</v>
      </c>
      <c r="D515" s="6" t="str">
        <f t="shared" si="600"/>
        <v>20C</v>
      </c>
      <c r="E515" s="10">
        <f>IF(ISBLANK(A512),"",E514+1)</f>
        <v>4</v>
      </c>
      <c r="F515" s="11">
        <f t="shared" si="599"/>
        <v>45912.82847</v>
      </c>
      <c r="G515" s="8">
        <v>2.125</v>
      </c>
    </row>
    <row r="516">
      <c r="A516" s="9" t="str">
        <f t="shared" si="597"/>
        <v>PASOBT</v>
      </c>
      <c r="B516" s="9" t="str">
        <f>IF(ISBLANK(A512),"",LEFT(B515,27)&amp;VALUE(RIGHT(B515,1)+1))</f>
        <v>DKR250911PASOBT_20C_sample_5</v>
      </c>
      <c r="C516" s="6" t="str">
        <f t="shared" ref="C516:D516" si="601">C515</f>
        <v>Passerina obtusifolia</v>
      </c>
      <c r="D516" s="6" t="str">
        <f t="shared" si="601"/>
        <v>20C</v>
      </c>
      <c r="E516" s="10">
        <f>IF(ISBLANK(A512),"",E515+1)</f>
        <v>5</v>
      </c>
      <c r="F516" s="11">
        <f t="shared" si="599"/>
        <v>45912.82847</v>
      </c>
      <c r="G516" s="8">
        <v>1.737</v>
      </c>
    </row>
    <row r="517">
      <c r="A517" s="12" t="str">
        <f t="shared" si="597"/>
        <v>PASOBT</v>
      </c>
      <c r="B517" s="12" t="str">
        <f>IF(ISBLANK(A512),"",LEFT(B516,27)&amp;VALUE(RIGHT(B516,1)+1))</f>
        <v>DKR250911PASOBT_20C_sample_6</v>
      </c>
      <c r="C517" s="13" t="str">
        <f t="shared" ref="C517:D517" si="602">C516</f>
        <v>Passerina obtusifolia</v>
      </c>
      <c r="D517" s="13" t="str">
        <f t="shared" si="602"/>
        <v>20C</v>
      </c>
      <c r="E517" s="14">
        <f>IF(ISBLANK(A512),"",E516+1)</f>
        <v>6</v>
      </c>
      <c r="F517" s="15">
        <f t="shared" si="599"/>
        <v>45912.82847</v>
      </c>
      <c r="G517" s="16">
        <v>2.927</v>
      </c>
    </row>
    <row r="518">
      <c r="A518" s="5" t="s">
        <v>9</v>
      </c>
      <c r="B518" s="6" t="str">
        <f>IF(ISBLANK(A518),"",VLOOKUP($A518,'Data Feed (20C)'!$A$1:$G$14,2,FALSE))</f>
        <v>DKR250911PROLAU_20C_sample_1</v>
      </c>
      <c r="C518" s="6" t="str">
        <f>IF(ISBLANK(A518),"",VLOOKUP($A518,'Data Feed (20C)'!$A$1:$G$14,3,FALSE))</f>
        <v>Protea laurifolia</v>
      </c>
      <c r="D518" s="6" t="str">
        <f>IF(ISBLANK(A518),"",VLOOKUP($A518,'Data Feed (20C)'!$A$1:$G$14,4,FALSE))</f>
        <v>20C</v>
      </c>
      <c r="E518" s="6">
        <f>IF(ISBLANK(A518),"",VLOOKUP($A518,'Data Feed (20C)'!$A$1:$G$14,7,FALSE))</f>
        <v>1</v>
      </c>
      <c r="F518" s="7">
        <v>45912.830555555556</v>
      </c>
      <c r="G518" s="8">
        <v>1.042</v>
      </c>
    </row>
    <row r="519">
      <c r="A519" s="9" t="str">
        <f t="shared" ref="A519:A523" si="604">A518</f>
        <v>PROLAU</v>
      </c>
      <c r="B519" s="9" t="str">
        <f>IF(ISBLANK(A518),"",LEFT(B518,27)&amp;VALUE(RIGHT(B518,1)+1))</f>
        <v>DKR250911PROLAU_20C_sample_2</v>
      </c>
      <c r="C519" s="6" t="str">
        <f t="shared" ref="C519:D519" si="603">C518</f>
        <v>Protea laurifolia</v>
      </c>
      <c r="D519" s="6" t="str">
        <f t="shared" si="603"/>
        <v>20C</v>
      </c>
      <c r="E519" s="10">
        <f>IF(ISBLANK(A518),"",E518+1)</f>
        <v>2</v>
      </c>
      <c r="F519" s="11">
        <f t="shared" ref="F519:F523" si="606">F518</f>
        <v>45912.83056</v>
      </c>
      <c r="G519" s="8">
        <v>1.254</v>
      </c>
    </row>
    <row r="520">
      <c r="A520" s="9" t="str">
        <f t="shared" si="604"/>
        <v>PROLAU</v>
      </c>
      <c r="B520" s="9" t="str">
        <f>IF(ISBLANK(A518),"",LEFT(B519,27)&amp;VALUE(RIGHT(B519,1)+1))</f>
        <v>DKR250911PROLAU_20C_sample_3</v>
      </c>
      <c r="C520" s="6" t="str">
        <f t="shared" ref="C520:D520" si="605">C519</f>
        <v>Protea laurifolia</v>
      </c>
      <c r="D520" s="6" t="str">
        <f t="shared" si="605"/>
        <v>20C</v>
      </c>
      <c r="E520" s="10">
        <f>IF(ISBLANK(A518),"",E519+1)</f>
        <v>3</v>
      </c>
      <c r="F520" s="11">
        <f t="shared" si="606"/>
        <v>45912.83056</v>
      </c>
      <c r="G520" s="8">
        <v>1.139</v>
      </c>
    </row>
    <row r="521">
      <c r="A521" s="9" t="str">
        <f t="shared" si="604"/>
        <v>PROLAU</v>
      </c>
      <c r="B521" s="9" t="str">
        <f>IF(ISBLANK(A518),"",LEFT(B520,27)&amp;VALUE(RIGHT(B520,1)+1))</f>
        <v>DKR250911PROLAU_20C_sample_4</v>
      </c>
      <c r="C521" s="6" t="str">
        <f t="shared" ref="C521:D521" si="607">C520</f>
        <v>Protea laurifolia</v>
      </c>
      <c r="D521" s="6" t="str">
        <f t="shared" si="607"/>
        <v>20C</v>
      </c>
      <c r="E521" s="10">
        <f>IF(ISBLANK(A518),"",E520+1)</f>
        <v>4</v>
      </c>
      <c r="F521" s="11">
        <f t="shared" si="606"/>
        <v>45912.83056</v>
      </c>
      <c r="G521" s="8">
        <v>0.549</v>
      </c>
    </row>
    <row r="522">
      <c r="A522" s="9" t="str">
        <f t="shared" si="604"/>
        <v>PROLAU</v>
      </c>
      <c r="B522" s="9" t="str">
        <f>IF(ISBLANK(A518),"",LEFT(B521,27)&amp;VALUE(RIGHT(B521,1)+1))</f>
        <v>DKR250911PROLAU_20C_sample_5</v>
      </c>
      <c r="C522" s="6" t="str">
        <f t="shared" ref="C522:D522" si="608">C521</f>
        <v>Protea laurifolia</v>
      </c>
      <c r="D522" s="6" t="str">
        <f t="shared" si="608"/>
        <v>20C</v>
      </c>
      <c r="E522" s="10">
        <f>IF(ISBLANK(A518),"",E521+1)</f>
        <v>5</v>
      </c>
      <c r="F522" s="11">
        <f t="shared" si="606"/>
        <v>45912.83056</v>
      </c>
      <c r="G522" s="8">
        <v>0.962</v>
      </c>
    </row>
    <row r="523">
      <c r="A523" s="12" t="str">
        <f t="shared" si="604"/>
        <v>PROLAU</v>
      </c>
      <c r="B523" s="12" t="str">
        <f>IF(ISBLANK(A518),"",LEFT(B522,27)&amp;VALUE(RIGHT(B522,1)+1))</f>
        <v>DKR250911PROLAU_20C_sample_6</v>
      </c>
      <c r="C523" s="13" t="str">
        <f t="shared" ref="C523:D523" si="609">C522</f>
        <v>Protea laurifolia</v>
      </c>
      <c r="D523" s="13" t="str">
        <f t="shared" si="609"/>
        <v>20C</v>
      </c>
      <c r="E523" s="14">
        <f>IF(ISBLANK(A518),"",E522+1)</f>
        <v>6</v>
      </c>
      <c r="F523" s="15">
        <f t="shared" si="606"/>
        <v>45912.83056</v>
      </c>
      <c r="G523" s="16">
        <v>1.009</v>
      </c>
    </row>
    <row r="524">
      <c r="A524" s="5" t="s">
        <v>8</v>
      </c>
      <c r="B524" s="6" t="str">
        <f>IF(ISBLANK(A524),"",VLOOKUP($A524,'Data Feed (20C)'!$A$1:$G$14,2,FALSE))</f>
        <v>DKF250911PROLOR_20C_sample_1</v>
      </c>
      <c r="C524" s="6" t="str">
        <f>IF(ISBLANK(A524),"",VLOOKUP($A524,'Data Feed (20C)'!$A$1:$G$14,3,FALSE))</f>
        <v>Protea lorifolia</v>
      </c>
      <c r="D524" s="6" t="str">
        <f>IF(ISBLANK(A524),"",VLOOKUP($A524,'Data Feed (20C)'!$A$1:$G$14,4,FALSE))</f>
        <v>20C</v>
      </c>
      <c r="E524" s="6">
        <f>IF(ISBLANK(A524),"",VLOOKUP($A524,'Data Feed (20C)'!$A$1:$G$14,7,FALSE))</f>
        <v>1</v>
      </c>
      <c r="F524" s="7">
        <v>45912.83194444444</v>
      </c>
      <c r="G524" s="8">
        <v>3.3</v>
      </c>
    </row>
    <row r="525">
      <c r="A525" s="9" t="str">
        <f t="shared" ref="A525:A529" si="611">A524</f>
        <v>PROLOR</v>
      </c>
      <c r="B525" s="9" t="str">
        <f>IF(ISBLANK(A524),"",LEFT(B524,27)&amp;VALUE(RIGHT(B524,1)+1))</f>
        <v>DKF250911PROLOR_20C_sample_2</v>
      </c>
      <c r="C525" s="6" t="str">
        <f t="shared" ref="C525:D525" si="610">C524</f>
        <v>Protea lorifolia</v>
      </c>
      <c r="D525" s="6" t="str">
        <f t="shared" si="610"/>
        <v>20C</v>
      </c>
      <c r="E525" s="10">
        <f>IF(ISBLANK(A524),"",E524+1)</f>
        <v>2</v>
      </c>
      <c r="F525" s="11">
        <f t="shared" ref="F525:F529" si="613">F524</f>
        <v>45912.83194</v>
      </c>
      <c r="G525" s="8">
        <v>3.753</v>
      </c>
    </row>
    <row r="526">
      <c r="A526" s="9" t="str">
        <f t="shared" si="611"/>
        <v>PROLOR</v>
      </c>
      <c r="B526" s="9" t="str">
        <f>IF(ISBLANK(A524),"",LEFT(B525,27)&amp;VALUE(RIGHT(B525,1)+1))</f>
        <v>DKF250911PROLOR_20C_sample_3</v>
      </c>
      <c r="C526" s="6" t="str">
        <f t="shared" ref="C526:D526" si="612">C525</f>
        <v>Protea lorifolia</v>
      </c>
      <c r="D526" s="6" t="str">
        <f t="shared" si="612"/>
        <v>20C</v>
      </c>
      <c r="E526" s="10">
        <f>IF(ISBLANK(A524),"",E525+1)</f>
        <v>3</v>
      </c>
      <c r="F526" s="11">
        <f t="shared" si="613"/>
        <v>45912.83194</v>
      </c>
      <c r="G526" s="8">
        <v>3.933</v>
      </c>
    </row>
    <row r="527">
      <c r="A527" s="9" t="str">
        <f t="shared" si="611"/>
        <v>PROLOR</v>
      </c>
      <c r="B527" s="9" t="str">
        <f>IF(ISBLANK(A524),"",LEFT(B526,27)&amp;VALUE(RIGHT(B526,1)+1))</f>
        <v>DKF250911PROLOR_20C_sample_4</v>
      </c>
      <c r="C527" s="6" t="str">
        <f t="shared" ref="C527:D527" si="614">C526</f>
        <v>Protea lorifolia</v>
      </c>
      <c r="D527" s="6" t="str">
        <f t="shared" si="614"/>
        <v>20C</v>
      </c>
      <c r="E527" s="10">
        <f>IF(ISBLANK(A524),"",E526+1)</f>
        <v>4</v>
      </c>
      <c r="F527" s="11">
        <f t="shared" si="613"/>
        <v>45912.83194</v>
      </c>
      <c r="G527" s="8">
        <v>3.121</v>
      </c>
    </row>
    <row r="528">
      <c r="A528" s="9" t="str">
        <f t="shared" si="611"/>
        <v>PROLOR</v>
      </c>
      <c r="B528" s="9" t="str">
        <f>IF(ISBLANK(A524),"",LEFT(B527,27)&amp;VALUE(RIGHT(B527,1)+1))</f>
        <v>DKF250911PROLOR_20C_sample_5</v>
      </c>
      <c r="C528" s="6" t="str">
        <f t="shared" ref="C528:D528" si="615">C527</f>
        <v>Protea lorifolia</v>
      </c>
      <c r="D528" s="6" t="str">
        <f t="shared" si="615"/>
        <v>20C</v>
      </c>
      <c r="E528" s="10">
        <f>IF(ISBLANK(A524),"",E527+1)</f>
        <v>5</v>
      </c>
      <c r="F528" s="11">
        <f t="shared" si="613"/>
        <v>45912.83194</v>
      </c>
      <c r="G528" s="8">
        <v>5.811</v>
      </c>
    </row>
    <row r="529">
      <c r="A529" s="12" t="str">
        <f t="shared" si="611"/>
        <v>PROLOR</v>
      </c>
      <c r="B529" s="12" t="str">
        <f>IF(ISBLANK(A524),"",LEFT(B528,27)&amp;VALUE(RIGHT(B528,1)+1))</f>
        <v>DKF250911PROLOR_20C_sample_6</v>
      </c>
      <c r="C529" s="13" t="str">
        <f t="shared" ref="C529:D529" si="616">C528</f>
        <v>Protea lorifolia</v>
      </c>
      <c r="D529" s="13" t="str">
        <f t="shared" si="616"/>
        <v>20C</v>
      </c>
      <c r="E529" s="14">
        <f>IF(ISBLANK(A524),"",E528+1)</f>
        <v>6</v>
      </c>
      <c r="F529" s="15">
        <f t="shared" si="613"/>
        <v>45912.83194</v>
      </c>
      <c r="G529" s="16">
        <v>4.737</v>
      </c>
    </row>
    <row r="530">
      <c r="A530" s="5" t="s">
        <v>13</v>
      </c>
      <c r="B530" s="6" t="str">
        <f>IF(ISBLANK(A530),"",VLOOKUP($A530,'Data Feed (20C)'!$A$1:$G$14,2,FALSE))</f>
        <v>DKR250911RUSMUL_20C_sample_1</v>
      </c>
      <c r="C530" s="6" t="str">
        <f>IF(ISBLANK(A530),"",VLOOKUP($A530,'Data Feed (20C)'!$A$1:$G$14,3,FALSE))</f>
        <v>Ruschia multiflora</v>
      </c>
      <c r="D530" s="6" t="str">
        <f>IF(ISBLANK(A530),"",VLOOKUP($A530,'Data Feed (20C)'!$A$1:$G$14,4,FALSE))</f>
        <v>20C</v>
      </c>
      <c r="E530" s="6">
        <f>IF(ISBLANK(A530),"",VLOOKUP($A530,'Data Feed (20C)'!$A$1:$G$14,7,FALSE))</f>
        <v>1</v>
      </c>
      <c r="F530" s="7">
        <v>45912.83472222222</v>
      </c>
      <c r="G530" s="8">
        <v>3.336</v>
      </c>
    </row>
    <row r="531">
      <c r="A531" s="9" t="str">
        <f t="shared" ref="A531:A535" si="618">A530</f>
        <v>RUSMUL</v>
      </c>
      <c r="B531" s="9" t="str">
        <f>IF(ISBLANK(A530),"",LEFT(B530,27)&amp;VALUE(RIGHT(B530,1)+1))</f>
        <v>DKR250911RUSMUL_20C_sample_2</v>
      </c>
      <c r="C531" s="6" t="str">
        <f t="shared" ref="C531:D531" si="617">C530</f>
        <v>Ruschia multiflora</v>
      </c>
      <c r="D531" s="6" t="str">
        <f t="shared" si="617"/>
        <v>20C</v>
      </c>
      <c r="E531" s="10">
        <f>IF(ISBLANK(A530),"",E530+1)</f>
        <v>2</v>
      </c>
      <c r="F531" s="11">
        <f t="shared" ref="F531:F535" si="620">F530</f>
        <v>45912.83472</v>
      </c>
      <c r="G531" s="8">
        <v>4.358</v>
      </c>
    </row>
    <row r="532">
      <c r="A532" s="9" t="str">
        <f t="shared" si="618"/>
        <v>RUSMUL</v>
      </c>
      <c r="B532" s="9" t="str">
        <f>IF(ISBLANK(A530),"",LEFT(B531,27)&amp;VALUE(RIGHT(B531,1)+1))</f>
        <v>DKR250911RUSMUL_20C_sample_3</v>
      </c>
      <c r="C532" s="6" t="str">
        <f t="shared" ref="C532:D532" si="619">C531</f>
        <v>Ruschia multiflora</v>
      </c>
      <c r="D532" s="6" t="str">
        <f t="shared" si="619"/>
        <v>20C</v>
      </c>
      <c r="E532" s="10">
        <f>IF(ISBLANK(A530),"",E531+1)</f>
        <v>3</v>
      </c>
      <c r="F532" s="11">
        <f t="shared" si="620"/>
        <v>45912.83472</v>
      </c>
      <c r="G532" s="8">
        <v>8.218</v>
      </c>
    </row>
    <row r="533">
      <c r="A533" s="9" t="str">
        <f t="shared" si="618"/>
        <v>RUSMUL</v>
      </c>
      <c r="B533" s="9" t="str">
        <f>IF(ISBLANK(A530),"",LEFT(B532,27)&amp;VALUE(RIGHT(B532,1)+1))</f>
        <v>DKR250911RUSMUL_20C_sample_4</v>
      </c>
      <c r="C533" s="6" t="str">
        <f t="shared" ref="C533:D533" si="621">C532</f>
        <v>Ruschia multiflora</v>
      </c>
      <c r="D533" s="6" t="str">
        <f t="shared" si="621"/>
        <v>20C</v>
      </c>
      <c r="E533" s="10">
        <f>IF(ISBLANK(A530),"",E532+1)</f>
        <v>4</v>
      </c>
      <c r="F533" s="11">
        <f t="shared" si="620"/>
        <v>45912.83472</v>
      </c>
      <c r="G533" s="8">
        <v>4.537</v>
      </c>
    </row>
    <row r="534">
      <c r="A534" s="9" t="str">
        <f t="shared" si="618"/>
        <v>RUSMUL</v>
      </c>
      <c r="B534" s="9" t="str">
        <f>IF(ISBLANK(A530),"",LEFT(B533,27)&amp;VALUE(RIGHT(B533,1)+1))</f>
        <v>DKR250911RUSMUL_20C_sample_5</v>
      </c>
      <c r="C534" s="6" t="str">
        <f t="shared" ref="C534:D534" si="622">C533</f>
        <v>Ruschia multiflora</v>
      </c>
      <c r="D534" s="6" t="str">
        <f t="shared" si="622"/>
        <v>20C</v>
      </c>
      <c r="E534" s="10">
        <f>IF(ISBLANK(A530),"",E533+1)</f>
        <v>5</v>
      </c>
      <c r="F534" s="11">
        <f t="shared" si="620"/>
        <v>45912.83472</v>
      </c>
      <c r="G534" s="8">
        <v>3.727</v>
      </c>
    </row>
    <row r="535">
      <c r="A535" s="12" t="str">
        <f t="shared" si="618"/>
        <v>RUSMUL</v>
      </c>
      <c r="B535" s="12" t="str">
        <f>IF(ISBLANK(A530),"",LEFT(B534,27)&amp;VALUE(RIGHT(B534,1)+1))</f>
        <v>DKR250911RUSMUL_20C_sample_6</v>
      </c>
      <c r="C535" s="13" t="str">
        <f t="shared" ref="C535:D535" si="623">C534</f>
        <v>Ruschia multiflora</v>
      </c>
      <c r="D535" s="13" t="str">
        <f t="shared" si="623"/>
        <v>20C</v>
      </c>
      <c r="E535" s="14">
        <f>IF(ISBLANK(A530),"",E534+1)</f>
        <v>6</v>
      </c>
      <c r="F535" s="15">
        <f t="shared" si="620"/>
        <v>45912.83472</v>
      </c>
      <c r="G535" s="16">
        <v>3.112</v>
      </c>
    </row>
    <row r="536">
      <c r="A536" s="5" t="s">
        <v>11</v>
      </c>
      <c r="B536" s="6" t="str">
        <f>IF(ISBLANK(A536),"",VLOOKUP($A536,'Data Feed (20C)'!$A$1:$G$14,2,FALSE))</f>
        <v>DKF250911SELDOL_20C_sample_1</v>
      </c>
      <c r="C536" s="6" t="str">
        <f>IF(ISBLANK(A536),"",VLOOKUP($A536,'Data Feed (20C)'!$A$1:$G$14,3,FALSE))</f>
        <v>Selago dolosa</v>
      </c>
      <c r="D536" s="6" t="str">
        <f>IF(ISBLANK(A536),"",VLOOKUP($A536,'Data Feed (20C)'!$A$1:$G$14,4,FALSE))</f>
        <v>20C</v>
      </c>
      <c r="E536" s="6">
        <f>IF(ISBLANK(A536),"",VLOOKUP($A536,'Data Feed (20C)'!$A$1:$G$14,7,FALSE))</f>
        <v>1</v>
      </c>
      <c r="F536" s="7">
        <v>45912.836805555555</v>
      </c>
      <c r="G536" s="8">
        <v>1.465</v>
      </c>
    </row>
    <row r="537">
      <c r="A537" s="9" t="str">
        <f t="shared" ref="A537:A541" si="625">A536</f>
        <v>SELDOL</v>
      </c>
      <c r="B537" s="9" t="str">
        <f>IF(ISBLANK(A536),"",LEFT(B536,27)&amp;VALUE(RIGHT(B536,1)+1))</f>
        <v>DKF250911SELDOL_20C_sample_2</v>
      </c>
      <c r="C537" s="6" t="str">
        <f t="shared" ref="C537:D537" si="624">C536</f>
        <v>Selago dolosa</v>
      </c>
      <c r="D537" s="6" t="str">
        <f t="shared" si="624"/>
        <v>20C</v>
      </c>
      <c r="E537" s="10">
        <f>IF(ISBLANK(A536),"",E536+1)</f>
        <v>2</v>
      </c>
      <c r="F537" s="11">
        <f t="shared" ref="F537:F541" si="627">F536</f>
        <v>45912.83681</v>
      </c>
      <c r="G537" s="8">
        <v>1.982</v>
      </c>
    </row>
    <row r="538">
      <c r="A538" s="9" t="str">
        <f t="shared" si="625"/>
        <v>SELDOL</v>
      </c>
      <c r="B538" s="9" t="str">
        <f>IF(ISBLANK(A536),"",LEFT(B537,27)&amp;VALUE(RIGHT(B537,1)+1))</f>
        <v>DKF250911SELDOL_20C_sample_3</v>
      </c>
      <c r="C538" s="6" t="str">
        <f t="shared" ref="C538:D538" si="626">C537</f>
        <v>Selago dolosa</v>
      </c>
      <c r="D538" s="6" t="str">
        <f t="shared" si="626"/>
        <v>20C</v>
      </c>
      <c r="E538" s="10">
        <f>IF(ISBLANK(A536),"",E537+1)</f>
        <v>3</v>
      </c>
      <c r="F538" s="11">
        <f t="shared" si="627"/>
        <v>45912.83681</v>
      </c>
      <c r="G538" s="8">
        <v>1.884</v>
      </c>
    </row>
    <row r="539">
      <c r="A539" s="9" t="str">
        <f t="shared" si="625"/>
        <v>SELDOL</v>
      </c>
      <c r="B539" s="9" t="str">
        <f>IF(ISBLANK(A536),"",LEFT(B538,27)&amp;VALUE(RIGHT(B538,1)+1))</f>
        <v>DKF250911SELDOL_20C_sample_4</v>
      </c>
      <c r="C539" s="6" t="str">
        <f t="shared" ref="C539:D539" si="628">C538</f>
        <v>Selago dolosa</v>
      </c>
      <c r="D539" s="6" t="str">
        <f t="shared" si="628"/>
        <v>20C</v>
      </c>
      <c r="E539" s="10">
        <f>IF(ISBLANK(A536),"",E538+1)</f>
        <v>4</v>
      </c>
      <c r="F539" s="11">
        <f t="shared" si="627"/>
        <v>45912.83681</v>
      </c>
      <c r="G539" s="8">
        <v>1.944</v>
      </c>
    </row>
    <row r="540">
      <c r="A540" s="9" t="str">
        <f t="shared" si="625"/>
        <v>SELDOL</v>
      </c>
      <c r="B540" s="9" t="str">
        <f>IF(ISBLANK(A536),"",LEFT(B539,27)&amp;VALUE(RIGHT(B539,1)+1))</f>
        <v>DKF250911SELDOL_20C_sample_5</v>
      </c>
      <c r="C540" s="6" t="str">
        <f t="shared" ref="C540:D540" si="629">C539</f>
        <v>Selago dolosa</v>
      </c>
      <c r="D540" s="6" t="str">
        <f t="shared" si="629"/>
        <v>20C</v>
      </c>
      <c r="E540" s="10">
        <f>IF(ISBLANK(A536),"",E539+1)</f>
        <v>5</v>
      </c>
      <c r="F540" s="11">
        <f t="shared" si="627"/>
        <v>45912.83681</v>
      </c>
      <c r="G540" s="8"/>
    </row>
    <row r="541">
      <c r="A541" s="12" t="str">
        <f t="shared" si="625"/>
        <v>SELDOL</v>
      </c>
      <c r="B541" s="12" t="str">
        <f>IF(ISBLANK(A536),"",LEFT(B540,27)&amp;VALUE(RIGHT(B540,1)+1))</f>
        <v>DKF250911SELDOL_20C_sample_6</v>
      </c>
      <c r="C541" s="13" t="str">
        <f t="shared" ref="C541:D541" si="630">C540</f>
        <v>Selago dolosa</v>
      </c>
      <c r="D541" s="13" t="str">
        <f t="shared" si="630"/>
        <v>20C</v>
      </c>
      <c r="E541" s="14">
        <f>IF(ISBLANK(A536),"",E540+1)</f>
        <v>6</v>
      </c>
      <c r="F541" s="15">
        <f t="shared" si="627"/>
        <v>45912.83681</v>
      </c>
      <c r="G541" s="16">
        <v>1.231</v>
      </c>
    </row>
    <row r="542">
      <c r="A542" s="5" t="s">
        <v>18</v>
      </c>
      <c r="B542" s="6" t="str">
        <f>IF(ISBLANK(A542),"",VLOOKUP($A542,'Data Feed (20C)'!$A$1:$G$14,2,FALSE))</f>
        <v>DKR250911WAHNOD_20C_sample_1</v>
      </c>
      <c r="C542" s="6" t="str">
        <f>IF(ISBLANK(A542),"",VLOOKUP($A542,'Data Feed (20C)'!$A$1:$G$14,3,FALSE))</f>
        <v>Wahlenbergia nodosa</v>
      </c>
      <c r="D542" s="6" t="str">
        <f>IF(ISBLANK(A542),"",VLOOKUP($A542,'Data Feed (20C)'!$A$1:$G$14,4,FALSE))</f>
        <v>20C</v>
      </c>
      <c r="E542" s="6">
        <f>IF(ISBLANK(A542),"",VLOOKUP($A542,'Data Feed (20C)'!$A$1:$G$14,7,FALSE))</f>
        <v>1</v>
      </c>
      <c r="F542" s="7">
        <v>45912.83888888889</v>
      </c>
      <c r="G542" s="8">
        <v>0.357</v>
      </c>
    </row>
    <row r="543">
      <c r="A543" s="9" t="str">
        <f t="shared" ref="A543:A547" si="632">A542</f>
        <v>WAHNOD</v>
      </c>
      <c r="B543" s="9" t="str">
        <f>IF(ISBLANK(A542),"",LEFT(B542,27)&amp;VALUE(RIGHT(B542,1)+1))</f>
        <v>DKR250911WAHNOD_20C_sample_2</v>
      </c>
      <c r="C543" s="6" t="str">
        <f t="shared" ref="C543:D543" si="631">C542</f>
        <v>Wahlenbergia nodosa</v>
      </c>
      <c r="D543" s="6" t="str">
        <f t="shared" si="631"/>
        <v>20C</v>
      </c>
      <c r="E543" s="10">
        <f>IF(ISBLANK(A542),"",E542+1)</f>
        <v>2</v>
      </c>
      <c r="F543" s="11">
        <f t="shared" ref="F543:F547" si="634">F542</f>
        <v>45912.83889</v>
      </c>
      <c r="G543" s="8">
        <v>0.193</v>
      </c>
    </row>
    <row r="544">
      <c r="A544" s="9" t="str">
        <f t="shared" si="632"/>
        <v>WAHNOD</v>
      </c>
      <c r="B544" s="9" t="str">
        <f>IF(ISBLANK(A542),"",LEFT(B543,27)&amp;VALUE(RIGHT(B543,1)+1))</f>
        <v>DKR250911WAHNOD_20C_sample_3</v>
      </c>
      <c r="C544" s="6" t="str">
        <f t="shared" ref="C544:D544" si="633">C543</f>
        <v>Wahlenbergia nodosa</v>
      </c>
      <c r="D544" s="6" t="str">
        <f t="shared" si="633"/>
        <v>20C</v>
      </c>
      <c r="E544" s="10">
        <f>IF(ISBLANK(A542),"",E543+1)</f>
        <v>3</v>
      </c>
      <c r="F544" s="11">
        <f t="shared" si="634"/>
        <v>45912.83889</v>
      </c>
      <c r="G544" s="8">
        <v>0.163</v>
      </c>
    </row>
    <row r="545">
      <c r="A545" s="9" t="str">
        <f t="shared" si="632"/>
        <v>WAHNOD</v>
      </c>
      <c r="B545" s="9" t="str">
        <f>IF(ISBLANK(A542),"",LEFT(B544,27)&amp;VALUE(RIGHT(B544,1)+1))</f>
        <v>DKR250911WAHNOD_20C_sample_4</v>
      </c>
      <c r="C545" s="6" t="str">
        <f t="shared" ref="C545:D545" si="635">C544</f>
        <v>Wahlenbergia nodosa</v>
      </c>
      <c r="D545" s="6" t="str">
        <f t="shared" si="635"/>
        <v>20C</v>
      </c>
      <c r="E545" s="10">
        <f>IF(ISBLANK(A542),"",E544+1)</f>
        <v>4</v>
      </c>
      <c r="F545" s="11">
        <f t="shared" si="634"/>
        <v>45912.83889</v>
      </c>
      <c r="G545" s="8">
        <v>0.736</v>
      </c>
    </row>
    <row r="546">
      <c r="A546" s="9" t="str">
        <f t="shared" si="632"/>
        <v>WAHNOD</v>
      </c>
      <c r="B546" s="9" t="str">
        <f>IF(ISBLANK(A542),"",LEFT(B545,27)&amp;VALUE(RIGHT(B545,1)+1))</f>
        <v>DKR250911WAHNOD_20C_sample_5</v>
      </c>
      <c r="C546" s="6" t="str">
        <f t="shared" ref="C546:D546" si="636">C545</f>
        <v>Wahlenbergia nodosa</v>
      </c>
      <c r="D546" s="6" t="str">
        <f t="shared" si="636"/>
        <v>20C</v>
      </c>
      <c r="E546" s="10">
        <f>IF(ISBLANK(A542),"",E545+1)</f>
        <v>5</v>
      </c>
      <c r="F546" s="11">
        <f t="shared" si="634"/>
        <v>45912.83889</v>
      </c>
      <c r="G546" s="8">
        <v>0.41</v>
      </c>
    </row>
    <row r="547">
      <c r="A547" s="12" t="str">
        <f t="shared" si="632"/>
        <v>WAHNOD</v>
      </c>
      <c r="B547" s="12" t="str">
        <f>IF(ISBLANK(A542),"",LEFT(B546,27)&amp;VALUE(RIGHT(B546,1)+1))</f>
        <v>DKR250911WAHNOD_20C_sample_6</v>
      </c>
      <c r="C547" s="13" t="str">
        <f t="shared" ref="C547:D547" si="637">C546</f>
        <v>Wahlenbergia nodosa</v>
      </c>
      <c r="D547" s="13" t="str">
        <f t="shared" si="637"/>
        <v>20C</v>
      </c>
      <c r="E547" s="14">
        <f>IF(ISBLANK(A542),"",E546+1)</f>
        <v>6</v>
      </c>
      <c r="F547" s="15">
        <f t="shared" si="634"/>
        <v>45912.83889</v>
      </c>
      <c r="G547" s="16">
        <v>0.445</v>
      </c>
    </row>
    <row r="548">
      <c r="A548" s="5" t="s">
        <v>12</v>
      </c>
      <c r="B548" s="6" t="str">
        <f>IF(ISBLANK(A548),"",VLOOKUP($A548,'Data Feed (20C)'!$A$1:$G$14,2,FALSE))</f>
        <v>DKF250911AGACAP_20C_sample_1</v>
      </c>
      <c r="C548" s="6" t="str">
        <f>IF(ISBLANK(A548),"",VLOOKUP($A548,'Data Feed (20C)'!$A$1:$G$14,3,FALSE))</f>
        <v>Agathosma capensis</v>
      </c>
      <c r="D548" s="6" t="str">
        <f>IF(ISBLANK(A548),"",VLOOKUP($A548,'Data Feed (20C)'!$A$1:$G$14,4,FALSE))</f>
        <v>20C</v>
      </c>
      <c r="E548" s="6">
        <f>IF(ISBLANK(A548),"",VLOOKUP($A548,'Data Feed (20C)'!$A$1:$G$14,7,FALSE))</f>
        <v>1</v>
      </c>
      <c r="F548" s="7">
        <v>45912.90416666667</v>
      </c>
      <c r="G548" s="8">
        <v>4.791</v>
      </c>
    </row>
    <row r="549">
      <c r="A549" s="9" t="str">
        <f t="shared" ref="A549:A553" si="639">A548</f>
        <v>AGACAP</v>
      </c>
      <c r="B549" s="9" t="str">
        <f>IF(ISBLANK(A548),"",LEFT(B548,27)&amp;VALUE(RIGHT(B548,1)+1))</f>
        <v>DKF250911AGACAP_20C_sample_2</v>
      </c>
      <c r="C549" s="6" t="str">
        <f t="shared" ref="C549:D549" si="638">C548</f>
        <v>Agathosma capensis</v>
      </c>
      <c r="D549" s="6" t="str">
        <f t="shared" si="638"/>
        <v>20C</v>
      </c>
      <c r="E549" s="10">
        <f>IF(ISBLANK(A548),"",E548+1)</f>
        <v>2</v>
      </c>
      <c r="F549" s="11">
        <f t="shared" ref="F549:F553" si="641">F548</f>
        <v>45912.90417</v>
      </c>
      <c r="G549" s="8">
        <v>1.765</v>
      </c>
    </row>
    <row r="550">
      <c r="A550" s="9" t="str">
        <f t="shared" si="639"/>
        <v>AGACAP</v>
      </c>
      <c r="B550" s="9" t="str">
        <f>IF(ISBLANK(A548),"",LEFT(B549,27)&amp;VALUE(RIGHT(B549,1)+1))</f>
        <v>DKF250911AGACAP_20C_sample_3</v>
      </c>
      <c r="C550" s="6" t="str">
        <f t="shared" ref="C550:D550" si="640">C549</f>
        <v>Agathosma capensis</v>
      </c>
      <c r="D550" s="6" t="str">
        <f t="shared" si="640"/>
        <v>20C</v>
      </c>
      <c r="E550" s="10">
        <f>IF(ISBLANK(A548),"",E549+1)</f>
        <v>3</v>
      </c>
      <c r="F550" s="11">
        <f t="shared" si="641"/>
        <v>45912.90417</v>
      </c>
      <c r="G550" s="8">
        <v>2.243</v>
      </c>
    </row>
    <row r="551">
      <c r="A551" s="9" t="str">
        <f t="shared" si="639"/>
        <v>AGACAP</v>
      </c>
      <c r="B551" s="9" t="str">
        <f>IF(ISBLANK(A548),"",LEFT(B550,27)&amp;VALUE(RIGHT(B550,1)+1))</f>
        <v>DKF250911AGACAP_20C_sample_4</v>
      </c>
      <c r="C551" s="6" t="str">
        <f t="shared" ref="C551:D551" si="642">C550</f>
        <v>Agathosma capensis</v>
      </c>
      <c r="D551" s="6" t="str">
        <f t="shared" si="642"/>
        <v>20C</v>
      </c>
      <c r="E551" s="10">
        <f>IF(ISBLANK(A548),"",E550+1)</f>
        <v>4</v>
      </c>
      <c r="F551" s="11">
        <f t="shared" si="641"/>
        <v>45912.90417</v>
      </c>
      <c r="G551" s="8">
        <v>1.533</v>
      </c>
    </row>
    <row r="552">
      <c r="A552" s="9" t="str">
        <f t="shared" si="639"/>
        <v>AGACAP</v>
      </c>
      <c r="B552" s="9" t="str">
        <f>IF(ISBLANK(A548),"",LEFT(B551,27)&amp;VALUE(RIGHT(B551,1)+1))</f>
        <v>DKF250911AGACAP_20C_sample_5</v>
      </c>
      <c r="C552" s="6" t="str">
        <f t="shared" ref="C552:D552" si="643">C551</f>
        <v>Agathosma capensis</v>
      </c>
      <c r="D552" s="6" t="str">
        <f t="shared" si="643"/>
        <v>20C</v>
      </c>
      <c r="E552" s="10">
        <f>IF(ISBLANK(A548),"",E551+1)</f>
        <v>5</v>
      </c>
      <c r="F552" s="11">
        <f t="shared" si="641"/>
        <v>45912.90417</v>
      </c>
      <c r="G552" s="8">
        <v>0.646</v>
      </c>
    </row>
    <row r="553">
      <c r="A553" s="12" t="str">
        <f t="shared" si="639"/>
        <v>AGACAP</v>
      </c>
      <c r="B553" s="12" t="str">
        <f>IF(ISBLANK(A548),"",LEFT(B552,27)&amp;VALUE(RIGHT(B552,1)+1))</f>
        <v>DKF250911AGACAP_20C_sample_6</v>
      </c>
      <c r="C553" s="13" t="str">
        <f t="shared" ref="C553:D553" si="644">C552</f>
        <v>Agathosma capensis</v>
      </c>
      <c r="D553" s="13" t="str">
        <f t="shared" si="644"/>
        <v>20C</v>
      </c>
      <c r="E553" s="14">
        <f>IF(ISBLANK(A548),"",E552+1)</f>
        <v>6</v>
      </c>
      <c r="F553" s="15">
        <f t="shared" si="641"/>
        <v>45912.90417</v>
      </c>
      <c r="G553" s="16">
        <v>1.738</v>
      </c>
    </row>
    <row r="554">
      <c r="A554" s="5" t="s">
        <v>14</v>
      </c>
      <c r="B554" s="6" t="str">
        <f>IF(ISBLANK(A554),"",VLOOKUP($A554,'Data Feed (20C)'!$A$1:$G$14,2,FALSE))</f>
        <v>DKF250911ASPSHA_20C_sample_1</v>
      </c>
      <c r="C554" s="6" t="str">
        <f>IF(ISBLANK(A554),"",VLOOKUP($A554,'Data Feed (20C)'!$A$1:$G$14,3,FALSE))</f>
        <v>Aspalathus shawii</v>
      </c>
      <c r="D554" s="6" t="str">
        <f>IF(ISBLANK(A554),"",VLOOKUP($A554,'Data Feed (20C)'!$A$1:$G$14,4,FALSE))</f>
        <v>20C</v>
      </c>
      <c r="E554" s="6">
        <f>IF(ISBLANK(A554),"",VLOOKUP($A554,'Data Feed (20C)'!$A$1:$G$14,7,FALSE))</f>
        <v>1</v>
      </c>
      <c r="F554" s="7">
        <v>45912.90555555555</v>
      </c>
      <c r="G554" s="8">
        <v>14.506</v>
      </c>
    </row>
    <row r="555">
      <c r="A555" s="9" t="str">
        <f t="shared" ref="A555:A559" si="646">A554</f>
        <v>ASPSHA</v>
      </c>
      <c r="B555" s="9" t="str">
        <f>IF(ISBLANK(A554),"",LEFT(B554,27)&amp;VALUE(RIGHT(B554,1)+1))</f>
        <v>DKF250911ASPSHA_20C_sample_2</v>
      </c>
      <c r="C555" s="6" t="str">
        <f t="shared" ref="C555:D555" si="645">C554</f>
        <v>Aspalathus shawii</v>
      </c>
      <c r="D555" s="6" t="str">
        <f t="shared" si="645"/>
        <v>20C</v>
      </c>
      <c r="E555" s="10">
        <f>IF(ISBLANK(A554),"",E554+1)</f>
        <v>2</v>
      </c>
      <c r="F555" s="11">
        <f t="shared" ref="F555:F559" si="648">F554</f>
        <v>45912.90556</v>
      </c>
      <c r="G555" s="8">
        <v>10.091</v>
      </c>
    </row>
    <row r="556">
      <c r="A556" s="9" t="str">
        <f t="shared" si="646"/>
        <v>ASPSHA</v>
      </c>
      <c r="B556" s="9" t="str">
        <f>IF(ISBLANK(A554),"",LEFT(B555,27)&amp;VALUE(RIGHT(B555,1)+1))</f>
        <v>DKF250911ASPSHA_20C_sample_3</v>
      </c>
      <c r="C556" s="6" t="str">
        <f t="shared" ref="C556:D556" si="647">C555</f>
        <v>Aspalathus shawii</v>
      </c>
      <c r="D556" s="6" t="str">
        <f t="shared" si="647"/>
        <v>20C</v>
      </c>
      <c r="E556" s="10">
        <f>IF(ISBLANK(A554),"",E555+1)</f>
        <v>3</v>
      </c>
      <c r="F556" s="11">
        <f t="shared" si="648"/>
        <v>45912.90556</v>
      </c>
      <c r="G556" s="8">
        <v>5.685</v>
      </c>
    </row>
    <row r="557">
      <c r="A557" s="9" t="str">
        <f t="shared" si="646"/>
        <v>ASPSHA</v>
      </c>
      <c r="B557" s="9" t="str">
        <f>IF(ISBLANK(A554),"",LEFT(B556,27)&amp;VALUE(RIGHT(B556,1)+1))</f>
        <v>DKF250911ASPSHA_20C_sample_4</v>
      </c>
      <c r="C557" s="6" t="str">
        <f t="shared" ref="C557:D557" si="649">C556</f>
        <v>Aspalathus shawii</v>
      </c>
      <c r="D557" s="6" t="str">
        <f t="shared" si="649"/>
        <v>20C</v>
      </c>
      <c r="E557" s="10">
        <f>IF(ISBLANK(A554),"",E556+1)</f>
        <v>4</v>
      </c>
      <c r="F557" s="11">
        <f t="shared" si="648"/>
        <v>45912.90556</v>
      </c>
      <c r="G557" s="8">
        <v>13.998</v>
      </c>
    </row>
    <row r="558">
      <c r="A558" s="9" t="str">
        <f t="shared" si="646"/>
        <v>ASPSHA</v>
      </c>
      <c r="B558" s="9" t="str">
        <f>IF(ISBLANK(A554),"",LEFT(B557,27)&amp;VALUE(RIGHT(B557,1)+1))</f>
        <v>DKF250911ASPSHA_20C_sample_5</v>
      </c>
      <c r="C558" s="6" t="str">
        <f t="shared" ref="C558:D558" si="650">C557</f>
        <v>Aspalathus shawii</v>
      </c>
      <c r="D558" s="6" t="str">
        <f t="shared" si="650"/>
        <v>20C</v>
      </c>
      <c r="E558" s="10">
        <f>IF(ISBLANK(A554),"",E557+1)</f>
        <v>5</v>
      </c>
      <c r="F558" s="11">
        <f t="shared" si="648"/>
        <v>45912.90556</v>
      </c>
      <c r="G558" s="8">
        <v>4.245</v>
      </c>
    </row>
    <row r="559">
      <c r="A559" s="12" t="str">
        <f t="shared" si="646"/>
        <v>ASPSHA</v>
      </c>
      <c r="B559" s="12" t="str">
        <f>IF(ISBLANK(A554),"",LEFT(B558,27)&amp;VALUE(RIGHT(B558,1)+1))</f>
        <v>DKF250911ASPSHA_20C_sample_6</v>
      </c>
      <c r="C559" s="13" t="str">
        <f t="shared" ref="C559:D559" si="651">C558</f>
        <v>Aspalathus shawii</v>
      </c>
      <c r="D559" s="13" t="str">
        <f t="shared" si="651"/>
        <v>20C</v>
      </c>
      <c r="E559" s="14">
        <f>IF(ISBLANK(A554),"",E558+1)</f>
        <v>6</v>
      </c>
      <c r="F559" s="15">
        <f t="shared" si="648"/>
        <v>45912.90556</v>
      </c>
      <c r="G559" s="16">
        <v>11.726</v>
      </c>
    </row>
    <row r="560">
      <c r="A560" s="5" t="s">
        <v>19</v>
      </c>
      <c r="B560" s="6" t="str">
        <f>IF(ISBLANK(A560),"",VLOOKUP($A560,'Data Feed (20C)'!$A$1:$G$14,2,FALSE))</f>
        <v>DKR250911CLURUB_20C_sample_1</v>
      </c>
      <c r="C560" s="6" t="str">
        <f>IF(ISBLANK(A560),"",VLOOKUP($A560,'Data Feed (20C)'!$A$1:$G$14,3,FALSE))</f>
        <v>Clutia rubricaulis</v>
      </c>
      <c r="D560" s="6" t="str">
        <f>IF(ISBLANK(A560),"",VLOOKUP($A560,'Data Feed (20C)'!$A$1:$G$14,4,FALSE))</f>
        <v>20C</v>
      </c>
      <c r="E560" s="6">
        <f>IF(ISBLANK(A560),"",VLOOKUP($A560,'Data Feed (20C)'!$A$1:$G$14,7,FALSE))</f>
        <v>1</v>
      </c>
      <c r="F560" s="7">
        <v>45912.90833333333</v>
      </c>
      <c r="G560" s="8">
        <v>0.422</v>
      </c>
    </row>
    <row r="561">
      <c r="A561" s="9" t="str">
        <f t="shared" ref="A561:A565" si="653">A560</f>
        <v>CLURUB</v>
      </c>
      <c r="B561" s="9" t="str">
        <f>IF(ISBLANK(A560),"",LEFT(B560,27)&amp;VALUE(RIGHT(B560,1)+1))</f>
        <v>DKR250911CLURUB_20C_sample_2</v>
      </c>
      <c r="C561" s="6" t="str">
        <f t="shared" ref="C561:D561" si="652">C560</f>
        <v>Clutia rubricaulis</v>
      </c>
      <c r="D561" s="6" t="str">
        <f t="shared" si="652"/>
        <v>20C</v>
      </c>
      <c r="E561" s="10">
        <f>IF(ISBLANK(A560),"",E560+1)</f>
        <v>2</v>
      </c>
      <c r="F561" s="11">
        <f t="shared" ref="F561:F565" si="655">F560</f>
        <v>45912.90833</v>
      </c>
      <c r="G561" s="8">
        <v>0.35</v>
      </c>
    </row>
    <row r="562">
      <c r="A562" s="9" t="str">
        <f t="shared" si="653"/>
        <v>CLURUB</v>
      </c>
      <c r="B562" s="9" t="str">
        <f>IF(ISBLANK(A560),"",LEFT(B561,27)&amp;VALUE(RIGHT(B561,1)+1))</f>
        <v>DKR250911CLURUB_20C_sample_3</v>
      </c>
      <c r="C562" s="6" t="str">
        <f t="shared" ref="C562:D562" si="654">C561</f>
        <v>Clutia rubricaulis</v>
      </c>
      <c r="D562" s="6" t="str">
        <f t="shared" si="654"/>
        <v>20C</v>
      </c>
      <c r="E562" s="10">
        <f>IF(ISBLANK(A560),"",E561+1)</f>
        <v>3</v>
      </c>
      <c r="F562" s="11">
        <f t="shared" si="655"/>
        <v>45912.90833</v>
      </c>
      <c r="G562" s="8">
        <v>0.459</v>
      </c>
    </row>
    <row r="563">
      <c r="A563" s="9" t="str">
        <f t="shared" si="653"/>
        <v>CLURUB</v>
      </c>
      <c r="B563" s="9" t="str">
        <f>IF(ISBLANK(A560),"",LEFT(B562,27)&amp;VALUE(RIGHT(B562,1)+1))</f>
        <v>DKR250911CLURUB_20C_sample_4</v>
      </c>
      <c r="C563" s="6" t="str">
        <f t="shared" ref="C563:D563" si="656">C562</f>
        <v>Clutia rubricaulis</v>
      </c>
      <c r="D563" s="6" t="str">
        <f t="shared" si="656"/>
        <v>20C</v>
      </c>
      <c r="E563" s="10">
        <f>IF(ISBLANK(A560),"",E562+1)</f>
        <v>4</v>
      </c>
      <c r="F563" s="11">
        <f t="shared" si="655"/>
        <v>45912.90833</v>
      </c>
      <c r="G563" s="8">
        <v>0.231</v>
      </c>
    </row>
    <row r="564">
      <c r="A564" s="9" t="str">
        <f t="shared" si="653"/>
        <v>CLURUB</v>
      </c>
      <c r="B564" s="9" t="str">
        <f>IF(ISBLANK(A560),"",LEFT(B563,27)&amp;VALUE(RIGHT(B563,1)+1))</f>
        <v>DKR250911CLURUB_20C_sample_5</v>
      </c>
      <c r="C564" s="6" t="str">
        <f t="shared" ref="C564:D564" si="657">C563</f>
        <v>Clutia rubricaulis</v>
      </c>
      <c r="D564" s="6" t="str">
        <f t="shared" si="657"/>
        <v>20C</v>
      </c>
      <c r="E564" s="10">
        <f>IF(ISBLANK(A560),"",E563+1)</f>
        <v>5</v>
      </c>
      <c r="F564" s="11">
        <f t="shared" si="655"/>
        <v>45912.90833</v>
      </c>
      <c r="G564" s="8">
        <v>0.456</v>
      </c>
    </row>
    <row r="565">
      <c r="A565" s="12" t="str">
        <f t="shared" si="653"/>
        <v>CLURUB</v>
      </c>
      <c r="B565" s="12" t="str">
        <f>IF(ISBLANK(A560),"",LEFT(B564,27)&amp;VALUE(RIGHT(B564,1)+1))</f>
        <v>DKR250911CLURUB_20C_sample_6</v>
      </c>
      <c r="C565" s="13" t="str">
        <f t="shared" ref="C565:D565" si="658">C564</f>
        <v>Clutia rubricaulis</v>
      </c>
      <c r="D565" s="13" t="str">
        <f t="shared" si="658"/>
        <v>20C</v>
      </c>
      <c r="E565" s="14">
        <f>IF(ISBLANK(A560),"",E564+1)</f>
        <v>6</v>
      </c>
      <c r="F565" s="15">
        <f t="shared" si="655"/>
        <v>45912.90833</v>
      </c>
      <c r="G565" s="16">
        <v>0.372</v>
      </c>
    </row>
    <row r="566">
      <c r="A566" s="5" t="s">
        <v>15</v>
      </c>
      <c r="B566" s="6" t="str">
        <f>IF(ISBLANK(A566),"",VLOOKUP($A566,'Data Feed (20C)'!$A$1:$G$14,2,FALSE))</f>
        <v>DKR250911ELYRHI_20C_sample_1</v>
      </c>
      <c r="C566" s="6" t="str">
        <f>IF(ISBLANK(A566),"",VLOOKUP($A566,'Data Feed (20C)'!$A$1:$G$14,3,FALSE))</f>
        <v>Elytropappus rhinocerotis</v>
      </c>
      <c r="D566" s="6" t="str">
        <f>IF(ISBLANK(A566),"",VLOOKUP($A566,'Data Feed (20C)'!$A$1:$G$14,4,FALSE))</f>
        <v>20C</v>
      </c>
      <c r="E566" s="6">
        <f>IF(ISBLANK(A566),"",VLOOKUP($A566,'Data Feed (20C)'!$A$1:$G$14,7,FALSE))</f>
        <v>1</v>
      </c>
      <c r="F566" s="7">
        <v>45912.90972222222</v>
      </c>
      <c r="G566" s="8">
        <v>3.627</v>
      </c>
    </row>
    <row r="567">
      <c r="A567" s="9" t="str">
        <f t="shared" ref="A567:A571" si="660">A566</f>
        <v>ELYRHI</v>
      </c>
      <c r="B567" s="9" t="str">
        <f>IF(ISBLANK(A566),"",LEFT(B566,27)&amp;VALUE(RIGHT(B566,1)+1))</f>
        <v>DKR250911ELYRHI_20C_sample_2</v>
      </c>
      <c r="C567" s="6" t="str">
        <f t="shared" ref="C567:D567" si="659">C566</f>
        <v>Elytropappus rhinocerotis</v>
      </c>
      <c r="D567" s="6" t="str">
        <f t="shared" si="659"/>
        <v>20C</v>
      </c>
      <c r="E567" s="10">
        <f>IF(ISBLANK(A566),"",E566+1)</f>
        <v>2</v>
      </c>
      <c r="F567" s="11">
        <f t="shared" ref="F567:F571" si="662">F566</f>
        <v>45912.90972</v>
      </c>
      <c r="G567" s="8">
        <v>3.941</v>
      </c>
    </row>
    <row r="568">
      <c r="A568" s="9" t="str">
        <f t="shared" si="660"/>
        <v>ELYRHI</v>
      </c>
      <c r="B568" s="9" t="str">
        <f>IF(ISBLANK(A566),"",LEFT(B567,27)&amp;VALUE(RIGHT(B567,1)+1))</f>
        <v>DKR250911ELYRHI_20C_sample_3</v>
      </c>
      <c r="C568" s="6" t="str">
        <f t="shared" ref="C568:D568" si="661">C567</f>
        <v>Elytropappus rhinocerotis</v>
      </c>
      <c r="D568" s="6" t="str">
        <f t="shared" si="661"/>
        <v>20C</v>
      </c>
      <c r="E568" s="10">
        <f>IF(ISBLANK(A566),"",E567+1)</f>
        <v>3</v>
      </c>
      <c r="F568" s="11">
        <f t="shared" si="662"/>
        <v>45912.90972</v>
      </c>
      <c r="G568" s="8">
        <v>6.571</v>
      </c>
    </row>
    <row r="569">
      <c r="A569" s="9" t="str">
        <f t="shared" si="660"/>
        <v>ELYRHI</v>
      </c>
      <c r="B569" s="9" t="str">
        <f>IF(ISBLANK(A566),"",LEFT(B568,27)&amp;VALUE(RIGHT(B568,1)+1))</f>
        <v>DKR250911ELYRHI_20C_sample_4</v>
      </c>
      <c r="C569" s="6" t="str">
        <f t="shared" ref="C569:D569" si="663">C568</f>
        <v>Elytropappus rhinocerotis</v>
      </c>
      <c r="D569" s="6" t="str">
        <f t="shared" si="663"/>
        <v>20C</v>
      </c>
      <c r="E569" s="10">
        <f>IF(ISBLANK(A566),"",E568+1)</f>
        <v>4</v>
      </c>
      <c r="F569" s="11">
        <f t="shared" si="662"/>
        <v>45912.90972</v>
      </c>
      <c r="G569" s="8">
        <v>3.925</v>
      </c>
    </row>
    <row r="570">
      <c r="A570" s="9" t="str">
        <f t="shared" si="660"/>
        <v>ELYRHI</v>
      </c>
      <c r="B570" s="9" t="str">
        <f>IF(ISBLANK(A566),"",LEFT(B569,27)&amp;VALUE(RIGHT(B569,1)+1))</f>
        <v>DKR250911ELYRHI_20C_sample_5</v>
      </c>
      <c r="C570" s="6" t="str">
        <f t="shared" ref="C570:D570" si="664">C569</f>
        <v>Elytropappus rhinocerotis</v>
      </c>
      <c r="D570" s="6" t="str">
        <f t="shared" si="664"/>
        <v>20C</v>
      </c>
      <c r="E570" s="10">
        <f>IF(ISBLANK(A566),"",E569+1)</f>
        <v>5</v>
      </c>
      <c r="F570" s="11">
        <f t="shared" si="662"/>
        <v>45912.90972</v>
      </c>
      <c r="G570" s="8">
        <v>2.543</v>
      </c>
    </row>
    <row r="571">
      <c r="A571" s="12" t="str">
        <f t="shared" si="660"/>
        <v>ELYRHI</v>
      </c>
      <c r="B571" s="12" t="str">
        <f>IF(ISBLANK(A566),"",LEFT(B570,27)&amp;VALUE(RIGHT(B570,1)+1))</f>
        <v>DKR250911ELYRHI_20C_sample_6</v>
      </c>
      <c r="C571" s="13" t="str">
        <f t="shared" ref="C571:D571" si="665">C570</f>
        <v>Elytropappus rhinocerotis</v>
      </c>
      <c r="D571" s="13" t="str">
        <f t="shared" si="665"/>
        <v>20C</v>
      </c>
      <c r="E571" s="14">
        <f>IF(ISBLANK(A566),"",E570+1)</f>
        <v>6</v>
      </c>
      <c r="F571" s="15">
        <f t="shared" si="662"/>
        <v>45912.90972</v>
      </c>
      <c r="G571" s="16">
        <v>2.119</v>
      </c>
    </row>
    <row r="572">
      <c r="A572" s="5" t="s">
        <v>10</v>
      </c>
      <c r="B572" s="6" t="str">
        <f>IF(ISBLANK(A572),"",VLOOKUP($A572,'Data Feed (20C)'!$A$1:$G$14,2,FALSE))</f>
        <v>DKF250911LOBDEC_20C_sample_1</v>
      </c>
      <c r="C572" s="6" t="str">
        <f>IF(ISBLANK(A572),"",VLOOKUP($A572,'Data Feed (20C)'!$A$1:$G$14,3,FALSE))</f>
        <v>Lobostemon decorus</v>
      </c>
      <c r="D572" s="6" t="str">
        <f>IF(ISBLANK(A572),"",VLOOKUP($A572,'Data Feed (20C)'!$A$1:$G$14,4,FALSE))</f>
        <v>20C</v>
      </c>
      <c r="E572" s="6">
        <f>IF(ISBLANK(A572),"",VLOOKUP($A572,'Data Feed (20C)'!$A$1:$G$14,7,FALSE))</f>
        <v>1</v>
      </c>
      <c r="F572" s="7">
        <v>45912.91180555556</v>
      </c>
      <c r="G572" s="8">
        <v>9.735</v>
      </c>
    </row>
    <row r="573">
      <c r="A573" s="9" t="str">
        <f t="shared" ref="A573:A577" si="667">A572</f>
        <v>LOBDEC</v>
      </c>
      <c r="B573" s="9" t="str">
        <f>IF(ISBLANK(A572),"",LEFT(B572,27)&amp;VALUE(RIGHT(B572,1)+1))</f>
        <v>DKF250911LOBDEC_20C_sample_2</v>
      </c>
      <c r="C573" s="6" t="str">
        <f t="shared" ref="C573:D573" si="666">C572</f>
        <v>Lobostemon decorus</v>
      </c>
      <c r="D573" s="6" t="str">
        <f t="shared" si="666"/>
        <v>20C</v>
      </c>
      <c r="E573" s="10">
        <f>IF(ISBLANK(A572),"",E572+1)</f>
        <v>2</v>
      </c>
      <c r="F573" s="11">
        <f t="shared" ref="F573:F577" si="669">F572</f>
        <v>45912.91181</v>
      </c>
      <c r="G573" s="8">
        <v>7.228</v>
      </c>
    </row>
    <row r="574">
      <c r="A574" s="9" t="str">
        <f t="shared" si="667"/>
        <v>LOBDEC</v>
      </c>
      <c r="B574" s="9" t="str">
        <f>IF(ISBLANK(A572),"",LEFT(B573,27)&amp;VALUE(RIGHT(B573,1)+1))</f>
        <v>DKF250911LOBDEC_20C_sample_3</v>
      </c>
      <c r="C574" s="6" t="str">
        <f t="shared" ref="C574:D574" si="668">C573</f>
        <v>Lobostemon decorus</v>
      </c>
      <c r="D574" s="6" t="str">
        <f t="shared" si="668"/>
        <v>20C</v>
      </c>
      <c r="E574" s="10">
        <f>IF(ISBLANK(A572),"",E573+1)</f>
        <v>3</v>
      </c>
      <c r="F574" s="11">
        <f t="shared" si="669"/>
        <v>45912.91181</v>
      </c>
      <c r="G574" s="8">
        <v>10.447</v>
      </c>
    </row>
    <row r="575">
      <c r="A575" s="9" t="str">
        <f t="shared" si="667"/>
        <v>LOBDEC</v>
      </c>
      <c r="B575" s="9" t="str">
        <f>IF(ISBLANK(A572),"",LEFT(B574,27)&amp;VALUE(RIGHT(B574,1)+1))</f>
        <v>DKF250911LOBDEC_20C_sample_4</v>
      </c>
      <c r="C575" s="6" t="str">
        <f t="shared" ref="C575:D575" si="670">C574</f>
        <v>Lobostemon decorus</v>
      </c>
      <c r="D575" s="6" t="str">
        <f t="shared" si="670"/>
        <v>20C</v>
      </c>
      <c r="E575" s="10">
        <f>IF(ISBLANK(A572),"",E574+1)</f>
        <v>4</v>
      </c>
      <c r="F575" s="11">
        <f t="shared" si="669"/>
        <v>45912.91181</v>
      </c>
      <c r="G575" s="8">
        <v>7.148</v>
      </c>
    </row>
    <row r="576">
      <c r="A576" s="9" t="str">
        <f t="shared" si="667"/>
        <v>LOBDEC</v>
      </c>
      <c r="B576" s="9" t="str">
        <f>IF(ISBLANK(A572),"",LEFT(B575,27)&amp;VALUE(RIGHT(B575,1)+1))</f>
        <v>DKF250911LOBDEC_20C_sample_5</v>
      </c>
      <c r="C576" s="6" t="str">
        <f t="shared" ref="C576:D576" si="671">C575</f>
        <v>Lobostemon decorus</v>
      </c>
      <c r="D576" s="6" t="str">
        <f t="shared" si="671"/>
        <v>20C</v>
      </c>
      <c r="E576" s="10">
        <f>IF(ISBLANK(A572),"",E575+1)</f>
        <v>5</v>
      </c>
      <c r="F576" s="11">
        <f t="shared" si="669"/>
        <v>45912.91181</v>
      </c>
      <c r="G576" s="8">
        <v>4.902</v>
      </c>
    </row>
    <row r="577">
      <c r="A577" s="12" t="str">
        <f t="shared" si="667"/>
        <v>LOBDEC</v>
      </c>
      <c r="B577" s="12" t="str">
        <f>IF(ISBLANK(A572),"",LEFT(B576,27)&amp;VALUE(RIGHT(B576,1)+1))</f>
        <v>DKF250911LOBDEC_20C_sample_6</v>
      </c>
      <c r="C577" s="13" t="str">
        <f t="shared" ref="C577:D577" si="672">C576</f>
        <v>Lobostemon decorus</v>
      </c>
      <c r="D577" s="13" t="str">
        <f t="shared" si="672"/>
        <v>20C</v>
      </c>
      <c r="E577" s="14">
        <f>IF(ISBLANK(A572),"",E576+1)</f>
        <v>6</v>
      </c>
      <c r="F577" s="15">
        <f t="shared" si="669"/>
        <v>45912.91181</v>
      </c>
      <c r="G577" s="16">
        <v>4.837</v>
      </c>
    </row>
    <row r="578">
      <c r="A578" s="5" t="s">
        <v>16</v>
      </c>
      <c r="B578" s="6" t="str">
        <f>IF(ISBLANK(A578),"",VLOOKUP($A578,'Data Feed (20C)'!$A$1:$G$14,2,FALSE))</f>
        <v>DKR250911MICPOL_20C_sample_1</v>
      </c>
      <c r="C578" s="6" t="str">
        <f>IF(ISBLANK(A578),"",VLOOKUP($A578,'Data Feed (20C)'!$A$1:$G$14,3,FALSE))</f>
        <v>Microdon polygaloides</v>
      </c>
      <c r="D578" s="6" t="str">
        <f>IF(ISBLANK(A578),"",VLOOKUP($A578,'Data Feed (20C)'!$A$1:$G$14,4,FALSE))</f>
        <v>20C</v>
      </c>
      <c r="E578" s="6">
        <f>IF(ISBLANK(A578),"",VLOOKUP($A578,'Data Feed (20C)'!$A$1:$G$14,7,FALSE))</f>
        <v>1</v>
      </c>
      <c r="F578" s="7">
        <v>45912.915972222225</v>
      </c>
      <c r="G578" s="8">
        <v>1.669</v>
      </c>
    </row>
    <row r="579">
      <c r="A579" s="9" t="str">
        <f t="shared" ref="A579:A583" si="674">A578</f>
        <v>MICPOL</v>
      </c>
      <c r="B579" s="9" t="str">
        <f>IF(ISBLANK(A578),"",LEFT(B578,27)&amp;VALUE(RIGHT(B578,1)+1))</f>
        <v>DKR250911MICPOL_20C_sample_2</v>
      </c>
      <c r="C579" s="6" t="str">
        <f t="shared" ref="C579:D579" si="673">C578</f>
        <v>Microdon polygaloides</v>
      </c>
      <c r="D579" s="6" t="str">
        <f t="shared" si="673"/>
        <v>20C</v>
      </c>
      <c r="E579" s="10">
        <f>IF(ISBLANK(A578),"",E578+1)</f>
        <v>2</v>
      </c>
      <c r="F579" s="11">
        <f t="shared" ref="F579:F583" si="676">F578</f>
        <v>45912.91597</v>
      </c>
      <c r="G579" s="8">
        <v>1.006</v>
      </c>
    </row>
    <row r="580">
      <c r="A580" s="9" t="str">
        <f t="shared" si="674"/>
        <v>MICPOL</v>
      </c>
      <c r="B580" s="9" t="str">
        <f>IF(ISBLANK(A578),"",LEFT(B579,27)&amp;VALUE(RIGHT(B579,1)+1))</f>
        <v>DKR250911MICPOL_20C_sample_3</v>
      </c>
      <c r="C580" s="6" t="str">
        <f t="shared" ref="C580:D580" si="675">C579</f>
        <v>Microdon polygaloides</v>
      </c>
      <c r="D580" s="6" t="str">
        <f t="shared" si="675"/>
        <v>20C</v>
      </c>
      <c r="E580" s="10">
        <f>IF(ISBLANK(A578),"",E579+1)</f>
        <v>3</v>
      </c>
      <c r="F580" s="11">
        <f t="shared" si="676"/>
        <v>45912.91597</v>
      </c>
      <c r="G580" s="8">
        <v>0.416</v>
      </c>
    </row>
    <row r="581">
      <c r="A581" s="9" t="str">
        <f t="shared" si="674"/>
        <v>MICPOL</v>
      </c>
      <c r="B581" s="9" t="str">
        <f>IF(ISBLANK(A578),"",LEFT(B580,27)&amp;VALUE(RIGHT(B580,1)+1))</f>
        <v>DKR250911MICPOL_20C_sample_4</v>
      </c>
      <c r="C581" s="6" t="str">
        <f t="shared" ref="C581:D581" si="677">C580</f>
        <v>Microdon polygaloides</v>
      </c>
      <c r="D581" s="6" t="str">
        <f t="shared" si="677"/>
        <v>20C</v>
      </c>
      <c r="E581" s="10">
        <f>IF(ISBLANK(A578),"",E580+1)</f>
        <v>4</v>
      </c>
      <c r="F581" s="11">
        <f t="shared" si="676"/>
        <v>45912.91597</v>
      </c>
      <c r="G581" s="8">
        <v>0.2</v>
      </c>
    </row>
    <row r="582">
      <c r="A582" s="9" t="str">
        <f t="shared" si="674"/>
        <v>MICPOL</v>
      </c>
      <c r="B582" s="9" t="str">
        <f>IF(ISBLANK(A578),"",LEFT(B581,27)&amp;VALUE(RIGHT(B581,1)+1))</f>
        <v>DKR250911MICPOL_20C_sample_5</v>
      </c>
      <c r="C582" s="6" t="str">
        <f t="shared" ref="C582:D582" si="678">C581</f>
        <v>Microdon polygaloides</v>
      </c>
      <c r="D582" s="6" t="str">
        <f t="shared" si="678"/>
        <v>20C</v>
      </c>
      <c r="E582" s="10">
        <f>IF(ISBLANK(A578),"",E581+1)</f>
        <v>5</v>
      </c>
      <c r="F582" s="11">
        <f t="shared" si="676"/>
        <v>45912.91597</v>
      </c>
      <c r="G582" s="8">
        <v>0.304</v>
      </c>
    </row>
    <row r="583">
      <c r="A583" s="12" t="str">
        <f t="shared" si="674"/>
        <v>MICPOL</v>
      </c>
      <c r="B583" s="12" t="str">
        <f>IF(ISBLANK(A578),"",LEFT(B582,27)&amp;VALUE(RIGHT(B582,1)+1))</f>
        <v>DKR250911MICPOL_20C_sample_6</v>
      </c>
      <c r="C583" s="13" t="str">
        <f t="shared" ref="C583:D583" si="679">C582</f>
        <v>Microdon polygaloides</v>
      </c>
      <c r="D583" s="13" t="str">
        <f t="shared" si="679"/>
        <v>20C</v>
      </c>
      <c r="E583" s="14">
        <f>IF(ISBLANK(A578),"",E582+1)</f>
        <v>6</v>
      </c>
      <c r="F583" s="15">
        <f t="shared" si="676"/>
        <v>45912.91597</v>
      </c>
      <c r="G583" s="16">
        <v>0.264</v>
      </c>
    </row>
    <row r="584">
      <c r="A584" s="5" t="s">
        <v>17</v>
      </c>
      <c r="B584" s="6" t="str">
        <f>IF(ISBLANK(A584),"",VLOOKUP($A584,'Data Feed (20C)'!$A$1:$G$14,2,FALSE))</f>
        <v>DKR250911OEDSQU_20C_sample_1</v>
      </c>
      <c r="C584" s="6" t="str">
        <f>IF(ISBLANK(A584),"",VLOOKUP($A584,'Data Feed (20C)'!$A$1:$G$14,3,FALSE))</f>
        <v>Oedera squarrosa</v>
      </c>
      <c r="D584" s="6" t="str">
        <f>IF(ISBLANK(A584),"",VLOOKUP($A584,'Data Feed (20C)'!$A$1:$G$14,4,FALSE))</f>
        <v>20C</v>
      </c>
      <c r="E584" s="6">
        <f>IF(ISBLANK(A584),"",VLOOKUP($A584,'Data Feed (20C)'!$A$1:$G$14,7,FALSE))</f>
        <v>1</v>
      </c>
      <c r="F584" s="7">
        <v>45912.91875</v>
      </c>
      <c r="G584" s="8">
        <v>1.32</v>
      </c>
    </row>
    <row r="585">
      <c r="A585" s="9" t="str">
        <f t="shared" ref="A585:A589" si="681">A584</f>
        <v>OEDSQU</v>
      </c>
      <c r="B585" s="9" t="str">
        <f>IF(ISBLANK(A584),"",LEFT(B584,27)&amp;VALUE(RIGHT(B584,1)+1))</f>
        <v>DKR250911OEDSQU_20C_sample_2</v>
      </c>
      <c r="C585" s="6" t="str">
        <f t="shared" ref="C585:D585" si="680">C584</f>
        <v>Oedera squarrosa</v>
      </c>
      <c r="D585" s="6" t="str">
        <f t="shared" si="680"/>
        <v>20C</v>
      </c>
      <c r="E585" s="10">
        <f>IF(ISBLANK(A584),"",E584+1)</f>
        <v>2</v>
      </c>
      <c r="F585" s="11">
        <f t="shared" ref="F585:F589" si="683">F584</f>
        <v>45912.91875</v>
      </c>
      <c r="G585" s="8">
        <v>1.09</v>
      </c>
    </row>
    <row r="586">
      <c r="A586" s="9" t="str">
        <f t="shared" si="681"/>
        <v>OEDSQU</v>
      </c>
      <c r="B586" s="9" t="str">
        <f>IF(ISBLANK(A584),"",LEFT(B585,27)&amp;VALUE(RIGHT(B585,1)+1))</f>
        <v>DKR250911OEDSQU_20C_sample_3</v>
      </c>
      <c r="C586" s="6" t="str">
        <f t="shared" ref="C586:D586" si="682">C585</f>
        <v>Oedera squarrosa</v>
      </c>
      <c r="D586" s="6" t="str">
        <f t="shared" si="682"/>
        <v>20C</v>
      </c>
      <c r="E586" s="10">
        <f>IF(ISBLANK(A584),"",E585+1)</f>
        <v>3</v>
      </c>
      <c r="F586" s="11">
        <f t="shared" si="683"/>
        <v>45912.91875</v>
      </c>
      <c r="G586" s="8">
        <v>1.532</v>
      </c>
    </row>
    <row r="587">
      <c r="A587" s="9" t="str">
        <f t="shared" si="681"/>
        <v>OEDSQU</v>
      </c>
      <c r="B587" s="9" t="str">
        <f>IF(ISBLANK(A584),"",LEFT(B586,27)&amp;VALUE(RIGHT(B586,1)+1))</f>
        <v>DKR250911OEDSQU_20C_sample_4</v>
      </c>
      <c r="C587" s="6" t="str">
        <f t="shared" ref="C587:D587" si="684">C586</f>
        <v>Oedera squarrosa</v>
      </c>
      <c r="D587" s="6" t="str">
        <f t="shared" si="684"/>
        <v>20C</v>
      </c>
      <c r="E587" s="10">
        <f>IF(ISBLANK(A584),"",E586+1)</f>
        <v>4</v>
      </c>
      <c r="F587" s="11">
        <f t="shared" si="683"/>
        <v>45912.91875</v>
      </c>
      <c r="G587" s="8">
        <v>1.516</v>
      </c>
    </row>
    <row r="588">
      <c r="A588" s="9" t="str">
        <f t="shared" si="681"/>
        <v>OEDSQU</v>
      </c>
      <c r="B588" s="9" t="str">
        <f>IF(ISBLANK(A584),"",LEFT(B587,27)&amp;VALUE(RIGHT(B587,1)+1))</f>
        <v>DKR250911OEDSQU_20C_sample_5</v>
      </c>
      <c r="C588" s="6" t="str">
        <f t="shared" ref="C588:D588" si="685">C587</f>
        <v>Oedera squarrosa</v>
      </c>
      <c r="D588" s="6" t="str">
        <f t="shared" si="685"/>
        <v>20C</v>
      </c>
      <c r="E588" s="10">
        <f>IF(ISBLANK(A584),"",E587+1)</f>
        <v>5</v>
      </c>
      <c r="F588" s="11">
        <f t="shared" si="683"/>
        <v>45912.91875</v>
      </c>
      <c r="G588" s="8">
        <v>0.702</v>
      </c>
    </row>
    <row r="589">
      <c r="A589" s="12" t="str">
        <f t="shared" si="681"/>
        <v>OEDSQU</v>
      </c>
      <c r="B589" s="12" t="str">
        <f>IF(ISBLANK(A584),"",LEFT(B588,27)&amp;VALUE(RIGHT(B588,1)+1))</f>
        <v>DKR250911OEDSQU_20C_sample_6</v>
      </c>
      <c r="C589" s="13" t="str">
        <f t="shared" ref="C589:D589" si="686">C588</f>
        <v>Oedera squarrosa</v>
      </c>
      <c r="D589" s="13" t="str">
        <f t="shared" si="686"/>
        <v>20C</v>
      </c>
      <c r="E589" s="14">
        <f>IF(ISBLANK(A584),"",E588+1)</f>
        <v>6</v>
      </c>
      <c r="F589" s="15">
        <f t="shared" si="683"/>
        <v>45912.91875</v>
      </c>
      <c r="G589" s="16">
        <v>0.302</v>
      </c>
    </row>
    <row r="590">
      <c r="A590" s="5" t="s">
        <v>7</v>
      </c>
      <c r="B590" s="6" t="str">
        <f>IF(ISBLANK(A590),"",VLOOKUP($A590,'Data Feed (20C)'!$A$1:$G$14,2,FALSE))</f>
        <v>DKR250911PASOBT_20C_sample_1</v>
      </c>
      <c r="C590" s="6" t="str">
        <f>IF(ISBLANK(A590),"",VLOOKUP($A590,'Data Feed (20C)'!$A$1:$G$14,3,FALSE))</f>
        <v>Passerina obtusifolia</v>
      </c>
      <c r="D590" s="6" t="str">
        <f>IF(ISBLANK(A590),"",VLOOKUP($A590,'Data Feed (20C)'!$A$1:$G$14,4,FALSE))</f>
        <v>20C</v>
      </c>
      <c r="E590" s="6">
        <f>IF(ISBLANK(A590),"",VLOOKUP($A590,'Data Feed (20C)'!$A$1:$G$14,7,FALSE))</f>
        <v>1</v>
      </c>
      <c r="F590" s="7">
        <v>45912.92222222222</v>
      </c>
      <c r="G590" s="8">
        <v>3.085</v>
      </c>
    </row>
    <row r="591">
      <c r="A591" s="9" t="str">
        <f t="shared" ref="A591:A595" si="688">A590</f>
        <v>PASOBT</v>
      </c>
      <c r="B591" s="9" t="str">
        <f>IF(ISBLANK(A590),"",LEFT(B590,27)&amp;VALUE(RIGHT(B590,1)+1))</f>
        <v>DKR250911PASOBT_20C_sample_2</v>
      </c>
      <c r="C591" s="6" t="str">
        <f t="shared" ref="C591:D591" si="687">C590</f>
        <v>Passerina obtusifolia</v>
      </c>
      <c r="D591" s="6" t="str">
        <f t="shared" si="687"/>
        <v>20C</v>
      </c>
      <c r="E591" s="10">
        <f>IF(ISBLANK(A590),"",E590+1)</f>
        <v>2</v>
      </c>
      <c r="F591" s="11">
        <f t="shared" ref="F591:F595" si="690">F590</f>
        <v>45912.92222</v>
      </c>
      <c r="G591" s="8">
        <v>4.23</v>
      </c>
    </row>
    <row r="592">
      <c r="A592" s="9" t="str">
        <f t="shared" si="688"/>
        <v>PASOBT</v>
      </c>
      <c r="B592" s="9" t="str">
        <f>IF(ISBLANK(A590),"",LEFT(B591,27)&amp;VALUE(RIGHT(B591,1)+1))</f>
        <v>DKR250911PASOBT_20C_sample_3</v>
      </c>
      <c r="C592" s="6" t="str">
        <f t="shared" ref="C592:D592" si="689">C591</f>
        <v>Passerina obtusifolia</v>
      </c>
      <c r="D592" s="6" t="str">
        <f t="shared" si="689"/>
        <v>20C</v>
      </c>
      <c r="E592" s="10">
        <f>IF(ISBLANK(A590),"",E591+1)</f>
        <v>3</v>
      </c>
      <c r="F592" s="11">
        <f t="shared" si="690"/>
        <v>45912.92222</v>
      </c>
      <c r="G592" s="8">
        <v>1.469</v>
      </c>
    </row>
    <row r="593">
      <c r="A593" s="9" t="str">
        <f t="shared" si="688"/>
        <v>PASOBT</v>
      </c>
      <c r="B593" s="9" t="str">
        <f>IF(ISBLANK(A590),"",LEFT(B592,27)&amp;VALUE(RIGHT(B592,1)+1))</f>
        <v>DKR250911PASOBT_20C_sample_4</v>
      </c>
      <c r="C593" s="6" t="str">
        <f t="shared" ref="C593:D593" si="691">C592</f>
        <v>Passerina obtusifolia</v>
      </c>
      <c r="D593" s="6" t="str">
        <f t="shared" si="691"/>
        <v>20C</v>
      </c>
      <c r="E593" s="10">
        <f>IF(ISBLANK(A590),"",E592+1)</f>
        <v>4</v>
      </c>
      <c r="F593" s="11">
        <f t="shared" si="690"/>
        <v>45912.92222</v>
      </c>
      <c r="G593" s="8">
        <v>2.084</v>
      </c>
    </row>
    <row r="594">
      <c r="A594" s="9" t="str">
        <f t="shared" si="688"/>
        <v>PASOBT</v>
      </c>
      <c r="B594" s="9" t="str">
        <f>IF(ISBLANK(A590),"",LEFT(B593,27)&amp;VALUE(RIGHT(B593,1)+1))</f>
        <v>DKR250911PASOBT_20C_sample_5</v>
      </c>
      <c r="C594" s="6" t="str">
        <f t="shared" ref="C594:D594" si="692">C593</f>
        <v>Passerina obtusifolia</v>
      </c>
      <c r="D594" s="6" t="str">
        <f t="shared" si="692"/>
        <v>20C</v>
      </c>
      <c r="E594" s="10">
        <f>IF(ISBLANK(A590),"",E593+1)</f>
        <v>5</v>
      </c>
      <c r="F594" s="11">
        <f t="shared" si="690"/>
        <v>45912.92222</v>
      </c>
      <c r="G594" s="8">
        <v>1.712</v>
      </c>
    </row>
    <row r="595">
      <c r="A595" s="12" t="str">
        <f t="shared" si="688"/>
        <v>PASOBT</v>
      </c>
      <c r="B595" s="12" t="str">
        <f>IF(ISBLANK(A590),"",LEFT(B594,27)&amp;VALUE(RIGHT(B594,1)+1))</f>
        <v>DKR250911PASOBT_20C_sample_6</v>
      </c>
      <c r="C595" s="13" t="str">
        <f t="shared" ref="C595:D595" si="693">C594</f>
        <v>Passerina obtusifolia</v>
      </c>
      <c r="D595" s="13" t="str">
        <f t="shared" si="693"/>
        <v>20C</v>
      </c>
      <c r="E595" s="14">
        <f>IF(ISBLANK(A590),"",E594+1)</f>
        <v>6</v>
      </c>
      <c r="F595" s="15">
        <f t="shared" si="690"/>
        <v>45912.92222</v>
      </c>
      <c r="G595" s="16">
        <v>2.874</v>
      </c>
    </row>
    <row r="596">
      <c r="A596" s="5" t="s">
        <v>9</v>
      </c>
      <c r="B596" s="6" t="str">
        <f>IF(ISBLANK(A596),"",VLOOKUP($A596,'Data Feed (20C)'!$A$1:$G$14,2,FALSE))</f>
        <v>DKR250911PROLAU_20C_sample_1</v>
      </c>
      <c r="C596" s="6" t="str">
        <f>IF(ISBLANK(A596),"",VLOOKUP($A596,'Data Feed (20C)'!$A$1:$G$14,3,FALSE))</f>
        <v>Protea laurifolia</v>
      </c>
      <c r="D596" s="6" t="str">
        <f>IF(ISBLANK(A596),"",VLOOKUP($A596,'Data Feed (20C)'!$A$1:$G$14,4,FALSE))</f>
        <v>20C</v>
      </c>
      <c r="E596" s="6">
        <f>IF(ISBLANK(A596),"",VLOOKUP($A596,'Data Feed (20C)'!$A$1:$G$14,7,FALSE))</f>
        <v>1</v>
      </c>
      <c r="F596" s="7">
        <v>45912.92361111111</v>
      </c>
      <c r="G596" s="8">
        <v>1.027</v>
      </c>
    </row>
    <row r="597">
      <c r="A597" s="9" t="str">
        <f t="shared" ref="A597:A601" si="695">A596</f>
        <v>PROLAU</v>
      </c>
      <c r="B597" s="9" t="str">
        <f>IF(ISBLANK(A596),"",LEFT(B596,27)&amp;VALUE(RIGHT(B596,1)+1))</f>
        <v>DKR250911PROLAU_20C_sample_2</v>
      </c>
      <c r="C597" s="6" t="str">
        <f t="shared" ref="C597:D597" si="694">C596</f>
        <v>Protea laurifolia</v>
      </c>
      <c r="D597" s="6" t="str">
        <f t="shared" si="694"/>
        <v>20C</v>
      </c>
      <c r="E597" s="10">
        <f>IF(ISBLANK(A596),"",E596+1)</f>
        <v>2</v>
      </c>
      <c r="F597" s="11">
        <f t="shared" ref="F597:F601" si="697">F596</f>
        <v>45912.92361</v>
      </c>
      <c r="G597" s="8">
        <v>1.239</v>
      </c>
    </row>
    <row r="598">
      <c r="A598" s="9" t="str">
        <f t="shared" si="695"/>
        <v>PROLAU</v>
      </c>
      <c r="B598" s="9" t="str">
        <f>IF(ISBLANK(A596),"",LEFT(B597,27)&amp;VALUE(RIGHT(B597,1)+1))</f>
        <v>DKR250911PROLAU_20C_sample_3</v>
      </c>
      <c r="C598" s="6" t="str">
        <f t="shared" ref="C598:D598" si="696">C597</f>
        <v>Protea laurifolia</v>
      </c>
      <c r="D598" s="6" t="str">
        <f t="shared" si="696"/>
        <v>20C</v>
      </c>
      <c r="E598" s="10">
        <f>IF(ISBLANK(A596),"",E597+1)</f>
        <v>3</v>
      </c>
      <c r="F598" s="11">
        <f t="shared" si="697"/>
        <v>45912.92361</v>
      </c>
      <c r="G598" s="8">
        <v>1.137</v>
      </c>
    </row>
    <row r="599">
      <c r="A599" s="9" t="str">
        <f t="shared" si="695"/>
        <v>PROLAU</v>
      </c>
      <c r="B599" s="9" t="str">
        <f>IF(ISBLANK(A596),"",LEFT(B598,27)&amp;VALUE(RIGHT(B598,1)+1))</f>
        <v>DKR250911PROLAU_20C_sample_4</v>
      </c>
      <c r="C599" s="6" t="str">
        <f t="shared" ref="C599:D599" si="698">C598</f>
        <v>Protea laurifolia</v>
      </c>
      <c r="D599" s="6" t="str">
        <f t="shared" si="698"/>
        <v>20C</v>
      </c>
      <c r="E599" s="10">
        <f>IF(ISBLANK(A596),"",E598+1)</f>
        <v>4</v>
      </c>
      <c r="F599" s="11">
        <f t="shared" si="697"/>
        <v>45912.92361</v>
      </c>
      <c r="G599" s="8">
        <v>0.55</v>
      </c>
    </row>
    <row r="600">
      <c r="A600" s="9" t="str">
        <f t="shared" si="695"/>
        <v>PROLAU</v>
      </c>
      <c r="B600" s="9" t="str">
        <f>IF(ISBLANK(A596),"",LEFT(B599,27)&amp;VALUE(RIGHT(B599,1)+1))</f>
        <v>DKR250911PROLAU_20C_sample_5</v>
      </c>
      <c r="C600" s="6" t="str">
        <f t="shared" ref="C600:D600" si="699">C599</f>
        <v>Protea laurifolia</v>
      </c>
      <c r="D600" s="6" t="str">
        <f t="shared" si="699"/>
        <v>20C</v>
      </c>
      <c r="E600" s="10">
        <f>IF(ISBLANK(A596),"",E599+1)</f>
        <v>5</v>
      </c>
      <c r="F600" s="11">
        <f t="shared" si="697"/>
        <v>45912.92361</v>
      </c>
      <c r="G600" s="8">
        <v>0.961</v>
      </c>
    </row>
    <row r="601">
      <c r="A601" s="12" t="str">
        <f t="shared" si="695"/>
        <v>PROLAU</v>
      </c>
      <c r="B601" s="12" t="str">
        <f>IF(ISBLANK(A596),"",LEFT(B600,27)&amp;VALUE(RIGHT(B600,1)+1))</f>
        <v>DKR250911PROLAU_20C_sample_6</v>
      </c>
      <c r="C601" s="13" t="str">
        <f t="shared" ref="C601:D601" si="700">C600</f>
        <v>Protea laurifolia</v>
      </c>
      <c r="D601" s="13" t="str">
        <f t="shared" si="700"/>
        <v>20C</v>
      </c>
      <c r="E601" s="14">
        <f>IF(ISBLANK(A596),"",E600+1)</f>
        <v>6</v>
      </c>
      <c r="F601" s="15">
        <f t="shared" si="697"/>
        <v>45912.92361</v>
      </c>
      <c r="G601" s="16">
        <v>1.0</v>
      </c>
    </row>
    <row r="602">
      <c r="A602" s="5" t="s">
        <v>8</v>
      </c>
      <c r="B602" s="6" t="str">
        <f>IF(ISBLANK(A602),"",VLOOKUP($A602,'Data Feed (20C)'!$A$1:$G$14,2,FALSE))</f>
        <v>DKF250911PROLOR_20C_sample_1</v>
      </c>
      <c r="C602" s="6" t="str">
        <f>IF(ISBLANK(A602),"",VLOOKUP($A602,'Data Feed (20C)'!$A$1:$G$14,3,FALSE))</f>
        <v>Protea lorifolia</v>
      </c>
      <c r="D602" s="6" t="str">
        <f>IF(ISBLANK(A602),"",VLOOKUP($A602,'Data Feed (20C)'!$A$1:$G$14,4,FALSE))</f>
        <v>20C</v>
      </c>
      <c r="E602" s="6">
        <f>IF(ISBLANK(A602),"",VLOOKUP($A602,'Data Feed (20C)'!$A$1:$G$14,7,FALSE))</f>
        <v>1</v>
      </c>
      <c r="F602" s="7">
        <v>45912.92569444444</v>
      </c>
      <c r="G602" s="8">
        <v>3.29</v>
      </c>
    </row>
    <row r="603">
      <c r="A603" s="9" t="str">
        <f t="shared" ref="A603:A607" si="702">A602</f>
        <v>PROLOR</v>
      </c>
      <c r="B603" s="9" t="str">
        <f>IF(ISBLANK(A602),"",LEFT(B602,27)&amp;VALUE(RIGHT(B602,1)+1))</f>
        <v>DKF250911PROLOR_20C_sample_2</v>
      </c>
      <c r="C603" s="6" t="str">
        <f t="shared" ref="C603:D603" si="701">C602</f>
        <v>Protea lorifolia</v>
      </c>
      <c r="D603" s="6" t="str">
        <f t="shared" si="701"/>
        <v>20C</v>
      </c>
      <c r="E603" s="10">
        <f>IF(ISBLANK(A602),"",E602+1)</f>
        <v>2</v>
      </c>
      <c r="F603" s="11">
        <f t="shared" ref="F603:F607" si="704">F602</f>
        <v>45912.92569</v>
      </c>
      <c r="G603" s="8">
        <v>3.747</v>
      </c>
    </row>
    <row r="604">
      <c r="A604" s="9" t="str">
        <f t="shared" si="702"/>
        <v>PROLOR</v>
      </c>
      <c r="B604" s="9" t="str">
        <f>IF(ISBLANK(A602),"",LEFT(B603,27)&amp;VALUE(RIGHT(B603,1)+1))</f>
        <v>DKF250911PROLOR_20C_sample_3</v>
      </c>
      <c r="C604" s="6" t="str">
        <f t="shared" ref="C604:D604" si="703">C603</f>
        <v>Protea lorifolia</v>
      </c>
      <c r="D604" s="6" t="str">
        <f t="shared" si="703"/>
        <v>20C</v>
      </c>
      <c r="E604" s="10">
        <f>IF(ISBLANK(A602),"",E603+1)</f>
        <v>3</v>
      </c>
      <c r="F604" s="11">
        <f t="shared" si="704"/>
        <v>45912.92569</v>
      </c>
      <c r="G604" s="8">
        <v>3.933</v>
      </c>
    </row>
    <row r="605">
      <c r="A605" s="9" t="str">
        <f t="shared" si="702"/>
        <v>PROLOR</v>
      </c>
      <c r="B605" s="9" t="str">
        <f>IF(ISBLANK(A602),"",LEFT(B604,27)&amp;VALUE(RIGHT(B604,1)+1))</f>
        <v>DKF250911PROLOR_20C_sample_4</v>
      </c>
      <c r="C605" s="6" t="str">
        <f t="shared" ref="C605:D605" si="705">C604</f>
        <v>Protea lorifolia</v>
      </c>
      <c r="D605" s="6" t="str">
        <f t="shared" si="705"/>
        <v>20C</v>
      </c>
      <c r="E605" s="10">
        <f>IF(ISBLANK(A602),"",E604+1)</f>
        <v>4</v>
      </c>
      <c r="F605" s="11">
        <f t="shared" si="704"/>
        <v>45912.92569</v>
      </c>
      <c r="G605" s="8">
        <v>3.11</v>
      </c>
    </row>
    <row r="606">
      <c r="A606" s="9" t="str">
        <f t="shared" si="702"/>
        <v>PROLOR</v>
      </c>
      <c r="B606" s="9" t="str">
        <f>IF(ISBLANK(A602),"",LEFT(B605,27)&amp;VALUE(RIGHT(B605,1)+1))</f>
        <v>DKF250911PROLOR_20C_sample_5</v>
      </c>
      <c r="C606" s="6" t="str">
        <f t="shared" ref="C606:D606" si="706">C605</f>
        <v>Protea lorifolia</v>
      </c>
      <c r="D606" s="6" t="str">
        <f t="shared" si="706"/>
        <v>20C</v>
      </c>
      <c r="E606" s="10">
        <f>IF(ISBLANK(A602),"",E605+1)</f>
        <v>5</v>
      </c>
      <c r="F606" s="11">
        <f t="shared" si="704"/>
        <v>45912.92569</v>
      </c>
      <c r="G606" s="8">
        <v>5.8</v>
      </c>
    </row>
    <row r="607">
      <c r="A607" s="12" t="str">
        <f t="shared" si="702"/>
        <v>PROLOR</v>
      </c>
      <c r="B607" s="12" t="str">
        <f>IF(ISBLANK(A602),"",LEFT(B606,27)&amp;VALUE(RIGHT(B606,1)+1))</f>
        <v>DKF250911PROLOR_20C_sample_6</v>
      </c>
      <c r="C607" s="13" t="str">
        <f t="shared" ref="C607:D607" si="707">C606</f>
        <v>Protea lorifolia</v>
      </c>
      <c r="D607" s="13" t="str">
        <f t="shared" si="707"/>
        <v>20C</v>
      </c>
      <c r="E607" s="14">
        <f>IF(ISBLANK(A602),"",E606+1)</f>
        <v>6</v>
      </c>
      <c r="F607" s="15">
        <f t="shared" si="704"/>
        <v>45912.92569</v>
      </c>
      <c r="G607" s="16">
        <v>4.731</v>
      </c>
    </row>
    <row r="608">
      <c r="A608" s="5" t="s">
        <v>13</v>
      </c>
      <c r="B608" s="6" t="str">
        <f>IF(ISBLANK(A608),"",VLOOKUP($A608,'Data Feed (20C)'!$A$1:$G$14,2,FALSE))</f>
        <v>DKR250911RUSMUL_20C_sample_1</v>
      </c>
      <c r="C608" s="6" t="str">
        <f>IF(ISBLANK(A608),"",VLOOKUP($A608,'Data Feed (20C)'!$A$1:$G$14,3,FALSE))</f>
        <v>Ruschia multiflora</v>
      </c>
      <c r="D608" s="6" t="str">
        <f>IF(ISBLANK(A608),"",VLOOKUP($A608,'Data Feed (20C)'!$A$1:$G$14,4,FALSE))</f>
        <v>20C</v>
      </c>
      <c r="E608" s="6">
        <f>IF(ISBLANK(A608),"",VLOOKUP($A608,'Data Feed (20C)'!$A$1:$G$14,7,FALSE))</f>
        <v>1</v>
      </c>
      <c r="F608" s="7">
        <v>45912.927777777775</v>
      </c>
      <c r="G608" s="8">
        <v>3.312</v>
      </c>
    </row>
    <row r="609">
      <c r="A609" s="9" t="str">
        <f t="shared" ref="A609:A613" si="709">A608</f>
        <v>RUSMUL</v>
      </c>
      <c r="B609" s="9" t="str">
        <f>IF(ISBLANK(A608),"",LEFT(B608,27)&amp;VALUE(RIGHT(B608,1)+1))</f>
        <v>DKR250911RUSMUL_20C_sample_2</v>
      </c>
      <c r="C609" s="6" t="str">
        <f t="shared" ref="C609:D609" si="708">C608</f>
        <v>Ruschia multiflora</v>
      </c>
      <c r="D609" s="6" t="str">
        <f t="shared" si="708"/>
        <v>20C</v>
      </c>
      <c r="E609" s="10">
        <f>IF(ISBLANK(A608),"",E608+1)</f>
        <v>2</v>
      </c>
      <c r="F609" s="11">
        <f t="shared" ref="F609:F613" si="711">F608</f>
        <v>45912.92778</v>
      </c>
      <c r="G609" s="8">
        <v>4.294</v>
      </c>
    </row>
    <row r="610">
      <c r="A610" s="9" t="str">
        <f t="shared" si="709"/>
        <v>RUSMUL</v>
      </c>
      <c r="B610" s="9" t="str">
        <f>IF(ISBLANK(A608),"",LEFT(B609,27)&amp;VALUE(RIGHT(B609,1)+1))</f>
        <v>DKR250911RUSMUL_20C_sample_3</v>
      </c>
      <c r="C610" s="6" t="str">
        <f t="shared" ref="C610:D610" si="710">C609</f>
        <v>Ruschia multiflora</v>
      </c>
      <c r="D610" s="6" t="str">
        <f t="shared" si="710"/>
        <v>20C</v>
      </c>
      <c r="E610" s="10">
        <f>IF(ISBLANK(A608),"",E609+1)</f>
        <v>3</v>
      </c>
      <c r="F610" s="11">
        <f t="shared" si="711"/>
        <v>45912.92778</v>
      </c>
      <c r="G610" s="8">
        <v>8.168</v>
      </c>
    </row>
    <row r="611">
      <c r="A611" s="9" t="str">
        <f t="shared" si="709"/>
        <v>RUSMUL</v>
      </c>
      <c r="B611" s="9" t="str">
        <f>IF(ISBLANK(A608),"",LEFT(B610,27)&amp;VALUE(RIGHT(B610,1)+1))</f>
        <v>DKR250911RUSMUL_20C_sample_4</v>
      </c>
      <c r="C611" s="6" t="str">
        <f t="shared" ref="C611:D611" si="712">C610</f>
        <v>Ruschia multiflora</v>
      </c>
      <c r="D611" s="6" t="str">
        <f t="shared" si="712"/>
        <v>20C</v>
      </c>
      <c r="E611" s="10">
        <f>IF(ISBLANK(A608),"",E610+1)</f>
        <v>4</v>
      </c>
      <c r="F611" s="11">
        <f t="shared" si="711"/>
        <v>45912.92778</v>
      </c>
      <c r="G611" s="8">
        <v>4.469</v>
      </c>
    </row>
    <row r="612">
      <c r="A612" s="9" t="str">
        <f t="shared" si="709"/>
        <v>RUSMUL</v>
      </c>
      <c r="B612" s="9" t="str">
        <f>IF(ISBLANK(A608),"",LEFT(B611,27)&amp;VALUE(RIGHT(B611,1)+1))</f>
        <v>DKR250911RUSMUL_20C_sample_5</v>
      </c>
      <c r="C612" s="6" t="str">
        <f t="shared" ref="C612:D612" si="713">C611</f>
        <v>Ruschia multiflora</v>
      </c>
      <c r="D612" s="6" t="str">
        <f t="shared" si="713"/>
        <v>20C</v>
      </c>
      <c r="E612" s="10">
        <f>IF(ISBLANK(A608),"",E611+1)</f>
        <v>5</v>
      </c>
      <c r="F612" s="11">
        <f t="shared" si="711"/>
        <v>45912.92778</v>
      </c>
      <c r="G612" s="8">
        <v>3.704</v>
      </c>
    </row>
    <row r="613">
      <c r="A613" s="12" t="str">
        <f t="shared" si="709"/>
        <v>RUSMUL</v>
      </c>
      <c r="B613" s="12" t="str">
        <f>IF(ISBLANK(A608),"",LEFT(B612,27)&amp;VALUE(RIGHT(B612,1)+1))</f>
        <v>DKR250911RUSMUL_20C_sample_6</v>
      </c>
      <c r="C613" s="13" t="str">
        <f t="shared" ref="C613:D613" si="714">C612</f>
        <v>Ruschia multiflora</v>
      </c>
      <c r="D613" s="13" t="str">
        <f t="shared" si="714"/>
        <v>20C</v>
      </c>
      <c r="E613" s="14">
        <f>IF(ISBLANK(A608),"",E612+1)</f>
        <v>6</v>
      </c>
      <c r="F613" s="15">
        <f t="shared" si="711"/>
        <v>45912.92778</v>
      </c>
      <c r="G613" s="16">
        <v>3.096</v>
      </c>
    </row>
    <row r="614">
      <c r="A614" s="5" t="s">
        <v>11</v>
      </c>
      <c r="B614" s="6" t="str">
        <f>IF(ISBLANK(A614),"",VLOOKUP($A614,'Data Feed (20C)'!$A$1:$G$14,2,FALSE))</f>
        <v>DKF250911SELDOL_20C_sample_1</v>
      </c>
      <c r="C614" s="6" t="str">
        <f>IF(ISBLANK(A614),"",VLOOKUP($A614,'Data Feed (20C)'!$A$1:$G$14,3,FALSE))</f>
        <v>Selago dolosa</v>
      </c>
      <c r="D614" s="6" t="str">
        <f>IF(ISBLANK(A614),"",VLOOKUP($A614,'Data Feed (20C)'!$A$1:$G$14,4,FALSE))</f>
        <v>20C</v>
      </c>
      <c r="E614" s="6">
        <f>IF(ISBLANK(A614),"",VLOOKUP($A614,'Data Feed (20C)'!$A$1:$G$14,7,FALSE))</f>
        <v>1</v>
      </c>
      <c r="F614" s="7">
        <v>45912.92986111111</v>
      </c>
      <c r="G614" s="8">
        <v>1.427</v>
      </c>
    </row>
    <row r="615">
      <c r="A615" s="9" t="str">
        <f t="shared" ref="A615:A619" si="716">A614</f>
        <v>SELDOL</v>
      </c>
      <c r="B615" s="9" t="str">
        <f>IF(ISBLANK(A614),"",LEFT(B614,27)&amp;VALUE(RIGHT(B614,1)+1))</f>
        <v>DKF250911SELDOL_20C_sample_2</v>
      </c>
      <c r="C615" s="6" t="str">
        <f t="shared" ref="C615:D615" si="715">C614</f>
        <v>Selago dolosa</v>
      </c>
      <c r="D615" s="6" t="str">
        <f t="shared" si="715"/>
        <v>20C</v>
      </c>
      <c r="E615" s="10">
        <f>IF(ISBLANK(A614),"",E614+1)</f>
        <v>2</v>
      </c>
      <c r="F615" s="11">
        <f t="shared" ref="F615:F619" si="718">F614</f>
        <v>45912.92986</v>
      </c>
      <c r="G615" s="8">
        <v>1.94</v>
      </c>
    </row>
    <row r="616">
      <c r="A616" s="9" t="str">
        <f t="shared" si="716"/>
        <v>SELDOL</v>
      </c>
      <c r="B616" s="9" t="str">
        <f>IF(ISBLANK(A614),"",LEFT(B615,27)&amp;VALUE(RIGHT(B615,1)+1))</f>
        <v>DKF250911SELDOL_20C_sample_3</v>
      </c>
      <c r="C616" s="6" t="str">
        <f t="shared" ref="C616:D616" si="717">C615</f>
        <v>Selago dolosa</v>
      </c>
      <c r="D616" s="6" t="str">
        <f t="shared" si="717"/>
        <v>20C</v>
      </c>
      <c r="E616" s="10">
        <f>IF(ISBLANK(A614),"",E615+1)</f>
        <v>3</v>
      </c>
      <c r="F616" s="11">
        <f t="shared" si="718"/>
        <v>45912.92986</v>
      </c>
      <c r="G616" s="8">
        <v>1.84</v>
      </c>
    </row>
    <row r="617">
      <c r="A617" s="9" t="str">
        <f t="shared" si="716"/>
        <v>SELDOL</v>
      </c>
      <c r="B617" s="9" t="str">
        <f>IF(ISBLANK(A614),"",LEFT(B616,27)&amp;VALUE(RIGHT(B616,1)+1))</f>
        <v>DKF250911SELDOL_20C_sample_4</v>
      </c>
      <c r="C617" s="6" t="str">
        <f t="shared" ref="C617:D617" si="719">C616</f>
        <v>Selago dolosa</v>
      </c>
      <c r="D617" s="6" t="str">
        <f t="shared" si="719"/>
        <v>20C</v>
      </c>
      <c r="E617" s="10">
        <f>IF(ISBLANK(A614),"",E616+1)</f>
        <v>4</v>
      </c>
      <c r="F617" s="11">
        <f t="shared" si="718"/>
        <v>45912.92986</v>
      </c>
      <c r="G617" s="8">
        <v>1.888</v>
      </c>
    </row>
    <row r="618">
      <c r="A618" s="9" t="str">
        <f t="shared" si="716"/>
        <v>SELDOL</v>
      </c>
      <c r="B618" s="9" t="str">
        <f>IF(ISBLANK(A614),"",LEFT(B617,27)&amp;VALUE(RIGHT(B617,1)+1))</f>
        <v>DKF250911SELDOL_20C_sample_5</v>
      </c>
      <c r="C618" s="6" t="str">
        <f t="shared" ref="C618:D618" si="720">C617</f>
        <v>Selago dolosa</v>
      </c>
      <c r="D618" s="6" t="str">
        <f t="shared" si="720"/>
        <v>20C</v>
      </c>
      <c r="E618" s="10">
        <f>IF(ISBLANK(A614),"",E617+1)</f>
        <v>5</v>
      </c>
      <c r="F618" s="11">
        <f t="shared" si="718"/>
        <v>45912.92986</v>
      </c>
      <c r="G618" s="8"/>
    </row>
    <row r="619">
      <c r="A619" s="12" t="str">
        <f t="shared" si="716"/>
        <v>SELDOL</v>
      </c>
      <c r="B619" s="12" t="str">
        <f>IF(ISBLANK(A614),"",LEFT(B618,27)&amp;VALUE(RIGHT(B618,1)+1))</f>
        <v>DKF250911SELDOL_20C_sample_6</v>
      </c>
      <c r="C619" s="13" t="str">
        <f t="shared" ref="C619:D619" si="721">C618</f>
        <v>Selago dolosa</v>
      </c>
      <c r="D619" s="13" t="str">
        <f t="shared" si="721"/>
        <v>20C</v>
      </c>
      <c r="E619" s="14">
        <f>IF(ISBLANK(A614),"",E618+1)</f>
        <v>6</v>
      </c>
      <c r="F619" s="15">
        <f t="shared" si="718"/>
        <v>45912.92986</v>
      </c>
      <c r="G619" s="16">
        <v>1.224</v>
      </c>
    </row>
    <row r="620">
      <c r="A620" s="5" t="s">
        <v>18</v>
      </c>
      <c r="B620" s="6" t="str">
        <f>IF(ISBLANK(A620),"",VLOOKUP($A620,'Data Feed (20C)'!$A$1:$G$14,2,FALSE))</f>
        <v>DKR250911WAHNOD_20C_sample_1</v>
      </c>
      <c r="C620" s="6" t="str">
        <f>IF(ISBLANK(A620),"",VLOOKUP($A620,'Data Feed (20C)'!$A$1:$G$14,3,FALSE))</f>
        <v>Wahlenbergia nodosa</v>
      </c>
      <c r="D620" s="6" t="str">
        <f>IF(ISBLANK(A620),"",VLOOKUP($A620,'Data Feed (20C)'!$A$1:$G$14,4,FALSE))</f>
        <v>20C</v>
      </c>
      <c r="E620" s="6">
        <f>IF(ISBLANK(A620),"",VLOOKUP($A620,'Data Feed (20C)'!$A$1:$G$14,7,FALSE))</f>
        <v>1</v>
      </c>
      <c r="F620" s="7">
        <v>45912.93125</v>
      </c>
      <c r="G620" s="8">
        <v>0.335</v>
      </c>
    </row>
    <row r="621">
      <c r="A621" s="9" t="str">
        <f t="shared" ref="A621:A625" si="723">A620</f>
        <v>WAHNOD</v>
      </c>
      <c r="B621" s="9" t="str">
        <f>IF(ISBLANK(A620),"",LEFT(B620,27)&amp;VALUE(RIGHT(B620,1)+1))</f>
        <v>DKR250911WAHNOD_20C_sample_2</v>
      </c>
      <c r="C621" s="6" t="str">
        <f t="shared" ref="C621:D621" si="722">C620</f>
        <v>Wahlenbergia nodosa</v>
      </c>
      <c r="D621" s="6" t="str">
        <f t="shared" si="722"/>
        <v>20C</v>
      </c>
      <c r="E621" s="10">
        <f>IF(ISBLANK(A620),"",E620+1)</f>
        <v>2</v>
      </c>
      <c r="F621" s="11">
        <f t="shared" ref="F621:F625" si="725">F620</f>
        <v>45912.93125</v>
      </c>
      <c r="G621" s="8">
        <v>0.192</v>
      </c>
    </row>
    <row r="622">
      <c r="A622" s="9" t="str">
        <f t="shared" si="723"/>
        <v>WAHNOD</v>
      </c>
      <c r="B622" s="9" t="str">
        <f>IF(ISBLANK(A620),"",LEFT(B621,27)&amp;VALUE(RIGHT(B621,1)+1))</f>
        <v>DKR250911WAHNOD_20C_sample_3</v>
      </c>
      <c r="C622" s="6" t="str">
        <f t="shared" ref="C622:D622" si="724">C621</f>
        <v>Wahlenbergia nodosa</v>
      </c>
      <c r="D622" s="6" t="str">
        <f t="shared" si="724"/>
        <v>20C</v>
      </c>
      <c r="E622" s="10">
        <f>IF(ISBLANK(A620),"",E621+1)</f>
        <v>3</v>
      </c>
      <c r="F622" s="11">
        <f t="shared" si="725"/>
        <v>45912.93125</v>
      </c>
      <c r="G622" s="8">
        <v>0.156</v>
      </c>
    </row>
    <row r="623">
      <c r="A623" s="9" t="str">
        <f t="shared" si="723"/>
        <v>WAHNOD</v>
      </c>
      <c r="B623" s="9" t="str">
        <f>IF(ISBLANK(A620),"",LEFT(B622,27)&amp;VALUE(RIGHT(B622,1)+1))</f>
        <v>DKR250911WAHNOD_20C_sample_4</v>
      </c>
      <c r="C623" s="6" t="str">
        <f t="shared" ref="C623:D623" si="726">C622</f>
        <v>Wahlenbergia nodosa</v>
      </c>
      <c r="D623" s="6" t="str">
        <f t="shared" si="726"/>
        <v>20C</v>
      </c>
      <c r="E623" s="10">
        <f>IF(ISBLANK(A620),"",E622+1)</f>
        <v>4</v>
      </c>
      <c r="F623" s="11">
        <f t="shared" si="725"/>
        <v>45912.93125</v>
      </c>
      <c r="G623" s="8">
        <v>0.712</v>
      </c>
    </row>
    <row r="624">
      <c r="A624" s="9" t="str">
        <f t="shared" si="723"/>
        <v>WAHNOD</v>
      </c>
      <c r="B624" s="9" t="str">
        <f>IF(ISBLANK(A620),"",LEFT(B623,27)&amp;VALUE(RIGHT(B623,1)+1))</f>
        <v>DKR250911WAHNOD_20C_sample_5</v>
      </c>
      <c r="C624" s="6" t="str">
        <f t="shared" ref="C624:D624" si="727">C623</f>
        <v>Wahlenbergia nodosa</v>
      </c>
      <c r="D624" s="6" t="str">
        <f t="shared" si="727"/>
        <v>20C</v>
      </c>
      <c r="E624" s="10">
        <f>IF(ISBLANK(A620),"",E623+1)</f>
        <v>5</v>
      </c>
      <c r="F624" s="11">
        <f t="shared" si="725"/>
        <v>45912.93125</v>
      </c>
      <c r="G624" s="8">
        <v>0.385</v>
      </c>
    </row>
    <row r="625">
      <c r="A625" s="12" t="str">
        <f t="shared" si="723"/>
        <v>WAHNOD</v>
      </c>
      <c r="B625" s="12" t="str">
        <f>IF(ISBLANK(A620),"",LEFT(B624,27)&amp;VALUE(RIGHT(B624,1)+1))</f>
        <v>DKR250911WAHNOD_20C_sample_6</v>
      </c>
      <c r="C625" s="13" t="str">
        <f t="shared" ref="C625:D625" si="728">C624</f>
        <v>Wahlenbergia nodosa</v>
      </c>
      <c r="D625" s="13" t="str">
        <f t="shared" si="728"/>
        <v>20C</v>
      </c>
      <c r="E625" s="14">
        <f>IF(ISBLANK(A620),"",E624+1)</f>
        <v>6</v>
      </c>
      <c r="F625" s="15">
        <f t="shared" si="725"/>
        <v>45912.93125</v>
      </c>
      <c r="G625" s="16">
        <v>0.426</v>
      </c>
    </row>
    <row r="626">
      <c r="A626" s="5" t="s">
        <v>12</v>
      </c>
      <c r="B626" s="6" t="str">
        <f>IF(ISBLANK(A626),"",VLOOKUP($A626,'Data Feed (20C)'!$A$1:$G$14,2,FALSE))</f>
        <v>DKF250911AGACAP_20C_sample_1</v>
      </c>
      <c r="C626" s="6" t="str">
        <f>IF(ISBLANK(A626),"",VLOOKUP($A626,'Data Feed (20C)'!$A$1:$G$14,3,FALSE))</f>
        <v>Agathosma capensis</v>
      </c>
      <c r="D626" s="6" t="str">
        <f>IF(ISBLANK(A626),"",VLOOKUP($A626,'Data Feed (20C)'!$A$1:$G$14,4,FALSE))</f>
        <v>20C</v>
      </c>
      <c r="E626" s="6">
        <f>IF(ISBLANK(A626),"",VLOOKUP($A626,'Data Feed (20C)'!$A$1:$G$14,7,FALSE))</f>
        <v>1</v>
      </c>
      <c r="F626" s="7">
        <v>45913.0125</v>
      </c>
      <c r="G626" s="8">
        <v>4.597</v>
      </c>
    </row>
    <row r="627">
      <c r="A627" s="9" t="str">
        <f t="shared" ref="A627:A631" si="730">A626</f>
        <v>AGACAP</v>
      </c>
      <c r="B627" s="9" t="str">
        <f>IF(ISBLANK(A626),"",LEFT(B626,27)&amp;VALUE(RIGHT(B626,1)+1))</f>
        <v>DKF250911AGACAP_20C_sample_2</v>
      </c>
      <c r="C627" s="6" t="str">
        <f t="shared" ref="C627:D627" si="729">C626</f>
        <v>Agathosma capensis</v>
      </c>
      <c r="D627" s="6" t="str">
        <f t="shared" si="729"/>
        <v>20C</v>
      </c>
      <c r="E627" s="10">
        <f>IF(ISBLANK(A626),"",E626+1)</f>
        <v>2</v>
      </c>
      <c r="F627" s="11">
        <f t="shared" ref="F627:F631" si="732">F626</f>
        <v>45913.0125</v>
      </c>
      <c r="G627" s="8">
        <v>1.707</v>
      </c>
    </row>
    <row r="628">
      <c r="A628" s="9" t="str">
        <f t="shared" si="730"/>
        <v>AGACAP</v>
      </c>
      <c r="B628" s="9" t="str">
        <f>IF(ISBLANK(A626),"",LEFT(B627,27)&amp;VALUE(RIGHT(B627,1)+1))</f>
        <v>DKF250911AGACAP_20C_sample_3</v>
      </c>
      <c r="C628" s="6" t="str">
        <f t="shared" ref="C628:D628" si="731">C627</f>
        <v>Agathosma capensis</v>
      </c>
      <c r="D628" s="6" t="str">
        <f t="shared" si="731"/>
        <v>20C</v>
      </c>
      <c r="E628" s="10">
        <f>IF(ISBLANK(A626),"",E627+1)</f>
        <v>3</v>
      </c>
      <c r="F628" s="11">
        <f t="shared" si="732"/>
        <v>45913.0125</v>
      </c>
      <c r="G628" s="8">
        <v>2.131</v>
      </c>
    </row>
    <row r="629">
      <c r="A629" s="9" t="str">
        <f t="shared" si="730"/>
        <v>AGACAP</v>
      </c>
      <c r="B629" s="9" t="str">
        <f>IF(ISBLANK(A626),"",LEFT(B628,27)&amp;VALUE(RIGHT(B628,1)+1))</f>
        <v>DKF250911AGACAP_20C_sample_4</v>
      </c>
      <c r="C629" s="6" t="str">
        <f t="shared" ref="C629:D629" si="733">C628</f>
        <v>Agathosma capensis</v>
      </c>
      <c r="D629" s="6" t="str">
        <f t="shared" si="733"/>
        <v>20C</v>
      </c>
      <c r="E629" s="10">
        <f>IF(ISBLANK(A626),"",E628+1)</f>
        <v>4</v>
      </c>
      <c r="F629" s="11">
        <f t="shared" si="732"/>
        <v>45913.0125</v>
      </c>
      <c r="G629" s="8">
        <v>1.467</v>
      </c>
    </row>
    <row r="630">
      <c r="A630" s="9" t="str">
        <f t="shared" si="730"/>
        <v>AGACAP</v>
      </c>
      <c r="B630" s="9" t="str">
        <f>IF(ISBLANK(A626),"",LEFT(B629,27)&amp;VALUE(RIGHT(B629,1)+1))</f>
        <v>DKF250911AGACAP_20C_sample_5</v>
      </c>
      <c r="C630" s="6" t="str">
        <f t="shared" ref="C630:D630" si="734">C629</f>
        <v>Agathosma capensis</v>
      </c>
      <c r="D630" s="6" t="str">
        <f t="shared" si="734"/>
        <v>20C</v>
      </c>
      <c r="E630" s="10">
        <f>IF(ISBLANK(A626),"",E629+1)</f>
        <v>5</v>
      </c>
      <c r="F630" s="11">
        <f t="shared" si="732"/>
        <v>45913.0125</v>
      </c>
      <c r="G630" s="8">
        <v>0.616</v>
      </c>
    </row>
    <row r="631">
      <c r="A631" s="12" t="str">
        <f t="shared" si="730"/>
        <v>AGACAP</v>
      </c>
      <c r="B631" s="12" t="str">
        <f>IF(ISBLANK(A626),"",LEFT(B630,27)&amp;VALUE(RIGHT(B630,1)+1))</f>
        <v>DKF250911AGACAP_20C_sample_6</v>
      </c>
      <c r="C631" s="13" t="str">
        <f t="shared" ref="C631:D631" si="735">C630</f>
        <v>Agathosma capensis</v>
      </c>
      <c r="D631" s="13" t="str">
        <f t="shared" si="735"/>
        <v>20C</v>
      </c>
      <c r="E631" s="14">
        <f>IF(ISBLANK(A626),"",E630+1)</f>
        <v>6</v>
      </c>
      <c r="F631" s="15">
        <f t="shared" si="732"/>
        <v>45913.0125</v>
      </c>
      <c r="G631" s="16">
        <v>1.666</v>
      </c>
    </row>
    <row r="632">
      <c r="A632" s="5" t="s">
        <v>14</v>
      </c>
      <c r="B632" s="6" t="str">
        <f>IF(ISBLANK(A632),"",VLOOKUP($A632,'Data Feed (20C)'!$A$1:$G$14,2,FALSE))</f>
        <v>DKF250911ASPSHA_20C_sample_1</v>
      </c>
      <c r="C632" s="6" t="str">
        <f>IF(ISBLANK(A632),"",VLOOKUP($A632,'Data Feed (20C)'!$A$1:$G$14,3,FALSE))</f>
        <v>Aspalathus shawii</v>
      </c>
      <c r="D632" s="6" t="str">
        <f>IF(ISBLANK(A632),"",VLOOKUP($A632,'Data Feed (20C)'!$A$1:$G$14,4,FALSE))</f>
        <v>20C</v>
      </c>
      <c r="E632" s="6">
        <f>IF(ISBLANK(A632),"",VLOOKUP($A632,'Data Feed (20C)'!$A$1:$G$14,7,FALSE))</f>
        <v>1</v>
      </c>
      <c r="F632" s="7">
        <v>45913.01388888889</v>
      </c>
      <c r="G632" s="8">
        <v>14.264</v>
      </c>
    </row>
    <row r="633">
      <c r="A633" s="9" t="str">
        <f t="shared" ref="A633:A637" si="737">A632</f>
        <v>ASPSHA</v>
      </c>
      <c r="B633" s="9" t="str">
        <f>IF(ISBLANK(A632),"",LEFT(B632,27)&amp;VALUE(RIGHT(B632,1)+1))</f>
        <v>DKF250911ASPSHA_20C_sample_2</v>
      </c>
      <c r="C633" s="6" t="str">
        <f t="shared" ref="C633:D633" si="736">C632</f>
        <v>Aspalathus shawii</v>
      </c>
      <c r="D633" s="6" t="str">
        <f t="shared" si="736"/>
        <v>20C</v>
      </c>
      <c r="E633" s="10">
        <f>IF(ISBLANK(A632),"",E632+1)</f>
        <v>2</v>
      </c>
      <c r="F633" s="11">
        <f t="shared" ref="F633:F637" si="739">F632</f>
        <v>45913.01389</v>
      </c>
      <c r="G633" s="8">
        <v>9.902</v>
      </c>
    </row>
    <row r="634">
      <c r="A634" s="9" t="str">
        <f t="shared" si="737"/>
        <v>ASPSHA</v>
      </c>
      <c r="B634" s="9" t="str">
        <f>IF(ISBLANK(A632),"",LEFT(B633,27)&amp;VALUE(RIGHT(B633,1)+1))</f>
        <v>DKF250911ASPSHA_20C_sample_3</v>
      </c>
      <c r="C634" s="6" t="str">
        <f t="shared" ref="C634:D634" si="738">C633</f>
        <v>Aspalathus shawii</v>
      </c>
      <c r="D634" s="6" t="str">
        <f t="shared" si="738"/>
        <v>20C</v>
      </c>
      <c r="E634" s="10">
        <f>IF(ISBLANK(A632),"",E633+1)</f>
        <v>3</v>
      </c>
      <c r="F634" s="11">
        <f t="shared" si="739"/>
        <v>45913.01389</v>
      </c>
      <c r="G634" s="8">
        <v>5.589</v>
      </c>
    </row>
    <row r="635">
      <c r="A635" s="9" t="str">
        <f t="shared" si="737"/>
        <v>ASPSHA</v>
      </c>
      <c r="B635" s="9" t="str">
        <f>IF(ISBLANK(A632),"",LEFT(B634,27)&amp;VALUE(RIGHT(B634,1)+1))</f>
        <v>DKF250911ASPSHA_20C_sample_4</v>
      </c>
      <c r="C635" s="6" t="str">
        <f t="shared" ref="C635:D635" si="740">C634</f>
        <v>Aspalathus shawii</v>
      </c>
      <c r="D635" s="6" t="str">
        <f t="shared" si="740"/>
        <v>20C</v>
      </c>
      <c r="E635" s="10">
        <f>IF(ISBLANK(A632),"",E634+1)</f>
        <v>4</v>
      </c>
      <c r="F635" s="11">
        <f t="shared" si="739"/>
        <v>45913.01389</v>
      </c>
      <c r="G635" s="8">
        <v>13.745</v>
      </c>
    </row>
    <row r="636">
      <c r="A636" s="9" t="str">
        <f t="shared" si="737"/>
        <v>ASPSHA</v>
      </c>
      <c r="B636" s="9" t="str">
        <f>IF(ISBLANK(A632),"",LEFT(B635,27)&amp;VALUE(RIGHT(B635,1)+1))</f>
        <v>DKF250911ASPSHA_20C_sample_5</v>
      </c>
      <c r="C636" s="6" t="str">
        <f t="shared" ref="C636:D636" si="741">C635</f>
        <v>Aspalathus shawii</v>
      </c>
      <c r="D636" s="6" t="str">
        <f t="shared" si="741"/>
        <v>20C</v>
      </c>
      <c r="E636" s="10">
        <f>IF(ISBLANK(A632),"",E635+1)</f>
        <v>5</v>
      </c>
      <c r="F636" s="11">
        <f t="shared" si="739"/>
        <v>45913.01389</v>
      </c>
      <c r="G636" s="8">
        <v>4.137</v>
      </c>
    </row>
    <row r="637">
      <c r="A637" s="12" t="str">
        <f t="shared" si="737"/>
        <v>ASPSHA</v>
      </c>
      <c r="B637" s="12" t="str">
        <f>IF(ISBLANK(A632),"",LEFT(B636,27)&amp;VALUE(RIGHT(B636,1)+1))</f>
        <v>DKF250911ASPSHA_20C_sample_6</v>
      </c>
      <c r="C637" s="13" t="str">
        <f t="shared" ref="C637:D637" si="742">C636</f>
        <v>Aspalathus shawii</v>
      </c>
      <c r="D637" s="13" t="str">
        <f t="shared" si="742"/>
        <v>20C</v>
      </c>
      <c r="E637" s="14">
        <f>IF(ISBLANK(A632),"",E636+1)</f>
        <v>6</v>
      </c>
      <c r="F637" s="15">
        <f t="shared" si="739"/>
        <v>45913.01389</v>
      </c>
      <c r="G637" s="16">
        <v>11.535</v>
      </c>
    </row>
    <row r="638">
      <c r="A638" s="5" t="s">
        <v>19</v>
      </c>
      <c r="B638" s="6" t="str">
        <f>IF(ISBLANK(A638),"",VLOOKUP($A638,'Data Feed (20C)'!$A$1:$G$14,2,FALSE))</f>
        <v>DKR250911CLURUB_20C_sample_1</v>
      </c>
      <c r="C638" s="6" t="str">
        <f>IF(ISBLANK(A638),"",VLOOKUP($A638,'Data Feed (20C)'!$A$1:$G$14,3,FALSE))</f>
        <v>Clutia rubricaulis</v>
      </c>
      <c r="D638" s="6" t="str">
        <f>IF(ISBLANK(A638),"",VLOOKUP($A638,'Data Feed (20C)'!$A$1:$G$14,4,FALSE))</f>
        <v>20C</v>
      </c>
      <c r="E638" s="6">
        <f>IF(ISBLANK(A638),"",VLOOKUP($A638,'Data Feed (20C)'!$A$1:$G$14,7,FALSE))</f>
        <v>1</v>
      </c>
      <c r="F638" s="7">
        <v>45913.01527777778</v>
      </c>
      <c r="G638" s="8">
        <v>0.392</v>
      </c>
    </row>
    <row r="639">
      <c r="A639" s="9" t="str">
        <f t="shared" ref="A639:A643" si="744">A638</f>
        <v>CLURUB</v>
      </c>
      <c r="B639" s="9" t="str">
        <f>IF(ISBLANK(A638),"",LEFT(B638,27)&amp;VALUE(RIGHT(B638,1)+1))</f>
        <v>DKR250911CLURUB_20C_sample_2</v>
      </c>
      <c r="C639" s="6" t="str">
        <f t="shared" ref="C639:D639" si="743">C638</f>
        <v>Clutia rubricaulis</v>
      </c>
      <c r="D639" s="6" t="str">
        <f t="shared" si="743"/>
        <v>20C</v>
      </c>
      <c r="E639" s="10">
        <f>IF(ISBLANK(A638),"",E638+1)</f>
        <v>2</v>
      </c>
      <c r="F639" s="11">
        <f t="shared" ref="F639:F643" si="746">F638</f>
        <v>45913.01528</v>
      </c>
      <c r="G639" s="8">
        <v>0.327</v>
      </c>
    </row>
    <row r="640">
      <c r="A640" s="9" t="str">
        <f t="shared" si="744"/>
        <v>CLURUB</v>
      </c>
      <c r="B640" s="9" t="str">
        <f>IF(ISBLANK(A638),"",LEFT(B639,27)&amp;VALUE(RIGHT(B639,1)+1))</f>
        <v>DKR250911CLURUB_20C_sample_3</v>
      </c>
      <c r="C640" s="6" t="str">
        <f t="shared" ref="C640:D640" si="745">C639</f>
        <v>Clutia rubricaulis</v>
      </c>
      <c r="D640" s="6" t="str">
        <f t="shared" si="745"/>
        <v>20C</v>
      </c>
      <c r="E640" s="10">
        <f>IF(ISBLANK(A638),"",E639+1)</f>
        <v>3</v>
      </c>
      <c r="F640" s="11">
        <f t="shared" si="746"/>
        <v>45913.01528</v>
      </c>
      <c r="G640" s="8">
        <v>0.43</v>
      </c>
    </row>
    <row r="641">
      <c r="A641" s="9" t="str">
        <f t="shared" si="744"/>
        <v>CLURUB</v>
      </c>
      <c r="B641" s="9" t="str">
        <f>IF(ISBLANK(A638),"",LEFT(B640,27)&amp;VALUE(RIGHT(B640,1)+1))</f>
        <v>DKR250911CLURUB_20C_sample_4</v>
      </c>
      <c r="C641" s="6" t="str">
        <f t="shared" ref="C641:D641" si="747">C640</f>
        <v>Clutia rubricaulis</v>
      </c>
      <c r="D641" s="6" t="str">
        <f t="shared" si="747"/>
        <v>20C</v>
      </c>
      <c r="E641" s="10">
        <f>IF(ISBLANK(A638),"",E640+1)</f>
        <v>4</v>
      </c>
      <c r="F641" s="11">
        <f t="shared" si="746"/>
        <v>45913.01528</v>
      </c>
      <c r="G641" s="8">
        <v>0.223</v>
      </c>
    </row>
    <row r="642">
      <c r="A642" s="9" t="str">
        <f t="shared" si="744"/>
        <v>CLURUB</v>
      </c>
      <c r="B642" s="9" t="str">
        <f>IF(ISBLANK(A638),"",LEFT(B641,27)&amp;VALUE(RIGHT(B641,1)+1))</f>
        <v>DKR250911CLURUB_20C_sample_5</v>
      </c>
      <c r="C642" s="6" t="str">
        <f t="shared" ref="C642:D642" si="748">C641</f>
        <v>Clutia rubricaulis</v>
      </c>
      <c r="D642" s="6" t="str">
        <f t="shared" si="748"/>
        <v>20C</v>
      </c>
      <c r="E642" s="10">
        <f>IF(ISBLANK(A638),"",E641+1)</f>
        <v>5</v>
      </c>
      <c r="F642" s="11">
        <f t="shared" si="746"/>
        <v>45913.01528</v>
      </c>
      <c r="G642" s="8">
        <v>0.423</v>
      </c>
    </row>
    <row r="643">
      <c r="A643" s="12" t="str">
        <f t="shared" si="744"/>
        <v>CLURUB</v>
      </c>
      <c r="B643" s="12" t="str">
        <f>IF(ISBLANK(A638),"",LEFT(B642,27)&amp;VALUE(RIGHT(B642,1)+1))</f>
        <v>DKR250911CLURUB_20C_sample_6</v>
      </c>
      <c r="C643" s="13" t="str">
        <f t="shared" ref="C643:D643" si="749">C642</f>
        <v>Clutia rubricaulis</v>
      </c>
      <c r="D643" s="13" t="str">
        <f t="shared" si="749"/>
        <v>20C</v>
      </c>
      <c r="E643" s="14">
        <f>IF(ISBLANK(A638),"",E642+1)</f>
        <v>6</v>
      </c>
      <c r="F643" s="15">
        <f t="shared" si="746"/>
        <v>45913.01528</v>
      </c>
      <c r="G643" s="16">
        <v>0.335</v>
      </c>
    </row>
    <row r="644">
      <c r="A644" s="5" t="s">
        <v>15</v>
      </c>
      <c r="B644" s="6" t="str">
        <f>IF(ISBLANK(A644),"",VLOOKUP($A644,'Data Feed (20C)'!$A$1:$G$14,2,FALSE))</f>
        <v>DKR250911ELYRHI_20C_sample_1</v>
      </c>
      <c r="C644" s="6" t="str">
        <f>IF(ISBLANK(A644),"",VLOOKUP($A644,'Data Feed (20C)'!$A$1:$G$14,3,FALSE))</f>
        <v>Elytropappus rhinocerotis</v>
      </c>
      <c r="D644" s="6" t="str">
        <f>IF(ISBLANK(A644),"",VLOOKUP($A644,'Data Feed (20C)'!$A$1:$G$14,4,FALSE))</f>
        <v>20C</v>
      </c>
      <c r="E644" s="6">
        <f>IF(ISBLANK(A644),"",VLOOKUP($A644,'Data Feed (20C)'!$A$1:$G$14,7,FALSE))</f>
        <v>1</v>
      </c>
      <c r="F644" s="7">
        <v>45913.01736111111</v>
      </c>
      <c r="G644" s="8">
        <v>3.53</v>
      </c>
    </row>
    <row r="645">
      <c r="A645" s="9" t="str">
        <f t="shared" ref="A645:A649" si="751">A644</f>
        <v>ELYRHI</v>
      </c>
      <c r="B645" s="9" t="str">
        <f>IF(ISBLANK(A644),"",LEFT(B644,27)&amp;VALUE(RIGHT(B644,1)+1))</f>
        <v>DKR250911ELYRHI_20C_sample_2</v>
      </c>
      <c r="C645" s="6" t="str">
        <f t="shared" ref="C645:D645" si="750">C644</f>
        <v>Elytropappus rhinocerotis</v>
      </c>
      <c r="D645" s="6" t="str">
        <f t="shared" si="750"/>
        <v>20C</v>
      </c>
      <c r="E645" s="10">
        <f>IF(ISBLANK(A644),"",E644+1)</f>
        <v>2</v>
      </c>
      <c r="F645" s="11">
        <f t="shared" ref="F645:F649" si="753">F644</f>
        <v>45913.01736</v>
      </c>
      <c r="G645" s="8">
        <v>3.805</v>
      </c>
    </row>
    <row r="646">
      <c r="A646" s="9" t="str">
        <f t="shared" si="751"/>
        <v>ELYRHI</v>
      </c>
      <c r="B646" s="9" t="str">
        <f>IF(ISBLANK(A644),"",LEFT(B645,27)&amp;VALUE(RIGHT(B645,1)+1))</f>
        <v>DKR250911ELYRHI_20C_sample_3</v>
      </c>
      <c r="C646" s="6" t="str">
        <f t="shared" ref="C646:D646" si="752">C645</f>
        <v>Elytropappus rhinocerotis</v>
      </c>
      <c r="D646" s="6" t="str">
        <f t="shared" si="752"/>
        <v>20C</v>
      </c>
      <c r="E646" s="10">
        <f>IF(ISBLANK(A644),"",E645+1)</f>
        <v>3</v>
      </c>
      <c r="F646" s="11">
        <f t="shared" si="753"/>
        <v>45913.01736</v>
      </c>
      <c r="G646" s="8">
        <v>6.501</v>
      </c>
    </row>
    <row r="647">
      <c r="A647" s="9" t="str">
        <f t="shared" si="751"/>
        <v>ELYRHI</v>
      </c>
      <c r="B647" s="9" t="str">
        <f>IF(ISBLANK(A644),"",LEFT(B646,27)&amp;VALUE(RIGHT(B646,1)+1))</f>
        <v>DKR250911ELYRHI_20C_sample_4</v>
      </c>
      <c r="C647" s="6" t="str">
        <f t="shared" ref="C647:D647" si="754">C646</f>
        <v>Elytropappus rhinocerotis</v>
      </c>
      <c r="D647" s="6" t="str">
        <f t="shared" si="754"/>
        <v>20C</v>
      </c>
      <c r="E647" s="10">
        <f>IF(ISBLANK(A644),"",E646+1)</f>
        <v>4</v>
      </c>
      <c r="F647" s="11">
        <f t="shared" si="753"/>
        <v>45913.01736</v>
      </c>
      <c r="G647" s="8">
        <v>3.809</v>
      </c>
    </row>
    <row r="648">
      <c r="A648" s="9" t="str">
        <f t="shared" si="751"/>
        <v>ELYRHI</v>
      </c>
      <c r="B648" s="9" t="str">
        <f>IF(ISBLANK(A644),"",LEFT(B647,27)&amp;VALUE(RIGHT(B647,1)+1))</f>
        <v>DKR250911ELYRHI_20C_sample_5</v>
      </c>
      <c r="C648" s="6" t="str">
        <f t="shared" ref="C648:D648" si="755">C647</f>
        <v>Elytropappus rhinocerotis</v>
      </c>
      <c r="D648" s="6" t="str">
        <f t="shared" si="755"/>
        <v>20C</v>
      </c>
      <c r="E648" s="10">
        <f>IF(ISBLANK(A644),"",E647+1)</f>
        <v>5</v>
      </c>
      <c r="F648" s="11">
        <f t="shared" si="753"/>
        <v>45913.01736</v>
      </c>
      <c r="G648" s="8">
        <v>2.476</v>
      </c>
    </row>
    <row r="649">
      <c r="A649" s="12" t="str">
        <f t="shared" si="751"/>
        <v>ELYRHI</v>
      </c>
      <c r="B649" s="12" t="str">
        <f>IF(ISBLANK(A644),"",LEFT(B648,27)&amp;VALUE(RIGHT(B648,1)+1))</f>
        <v>DKR250911ELYRHI_20C_sample_6</v>
      </c>
      <c r="C649" s="13" t="str">
        <f t="shared" ref="C649:D649" si="756">C648</f>
        <v>Elytropappus rhinocerotis</v>
      </c>
      <c r="D649" s="13" t="str">
        <f t="shared" si="756"/>
        <v>20C</v>
      </c>
      <c r="E649" s="14">
        <f>IF(ISBLANK(A644),"",E648+1)</f>
        <v>6</v>
      </c>
      <c r="F649" s="15">
        <f t="shared" si="753"/>
        <v>45913.01736</v>
      </c>
      <c r="G649" s="16">
        <v>2.048</v>
      </c>
    </row>
    <row r="650">
      <c r="A650" s="5" t="s">
        <v>10</v>
      </c>
      <c r="B650" s="6" t="str">
        <f>IF(ISBLANK(A650),"",VLOOKUP($A650,'Data Feed (20C)'!$A$1:$G$14,2,FALSE))</f>
        <v>DKF250911LOBDEC_20C_sample_1</v>
      </c>
      <c r="C650" s="6" t="str">
        <f>IF(ISBLANK(A650),"",VLOOKUP($A650,'Data Feed (20C)'!$A$1:$G$14,3,FALSE))</f>
        <v>Lobostemon decorus</v>
      </c>
      <c r="D650" s="6" t="str">
        <f>IF(ISBLANK(A650),"",VLOOKUP($A650,'Data Feed (20C)'!$A$1:$G$14,4,FALSE))</f>
        <v>20C</v>
      </c>
      <c r="E650" s="6">
        <f>IF(ISBLANK(A650),"",VLOOKUP($A650,'Data Feed (20C)'!$A$1:$G$14,7,FALSE))</f>
        <v>1</v>
      </c>
      <c r="F650" s="7">
        <v>45913.01875</v>
      </c>
      <c r="G650" s="8">
        <v>8.724</v>
      </c>
    </row>
    <row r="651">
      <c r="A651" s="9" t="str">
        <f t="shared" ref="A651:A655" si="758">A650</f>
        <v>LOBDEC</v>
      </c>
      <c r="B651" s="9" t="str">
        <f>IF(ISBLANK(A650),"",LEFT(B650,27)&amp;VALUE(RIGHT(B650,1)+1))</f>
        <v>DKF250911LOBDEC_20C_sample_2</v>
      </c>
      <c r="C651" s="6" t="str">
        <f t="shared" ref="C651:D651" si="757">C650</f>
        <v>Lobostemon decorus</v>
      </c>
      <c r="D651" s="6" t="str">
        <f t="shared" si="757"/>
        <v>20C</v>
      </c>
      <c r="E651" s="10">
        <f>IF(ISBLANK(A650),"",E650+1)</f>
        <v>2</v>
      </c>
      <c r="F651" s="11">
        <f t="shared" ref="F651:F655" si="760">F650</f>
        <v>45913.01875</v>
      </c>
      <c r="G651" s="8">
        <v>6.699</v>
      </c>
    </row>
    <row r="652">
      <c r="A652" s="9" t="str">
        <f t="shared" si="758"/>
        <v>LOBDEC</v>
      </c>
      <c r="B652" s="9" t="str">
        <f>IF(ISBLANK(A650),"",LEFT(B651,27)&amp;VALUE(RIGHT(B651,1)+1))</f>
        <v>DKF250911LOBDEC_20C_sample_3</v>
      </c>
      <c r="C652" s="6" t="str">
        <f t="shared" ref="C652:D652" si="759">C651</f>
        <v>Lobostemon decorus</v>
      </c>
      <c r="D652" s="6" t="str">
        <f t="shared" si="759"/>
        <v>20C</v>
      </c>
      <c r="E652" s="10">
        <f>IF(ISBLANK(A650),"",E651+1)</f>
        <v>3</v>
      </c>
      <c r="F652" s="11">
        <f t="shared" si="760"/>
        <v>45913.01875</v>
      </c>
      <c r="G652" s="8">
        <v>9.998</v>
      </c>
    </row>
    <row r="653">
      <c r="A653" s="9" t="str">
        <f t="shared" si="758"/>
        <v>LOBDEC</v>
      </c>
      <c r="B653" s="9" t="str">
        <f>IF(ISBLANK(A650),"",LEFT(B652,27)&amp;VALUE(RIGHT(B652,1)+1))</f>
        <v>DKF250911LOBDEC_20C_sample_4</v>
      </c>
      <c r="C653" s="6" t="str">
        <f t="shared" ref="C653:D653" si="761">C652</f>
        <v>Lobostemon decorus</v>
      </c>
      <c r="D653" s="6" t="str">
        <f t="shared" si="761"/>
        <v>20C</v>
      </c>
      <c r="E653" s="10">
        <f>IF(ISBLANK(A650),"",E652+1)</f>
        <v>4</v>
      </c>
      <c r="F653" s="11">
        <f t="shared" si="760"/>
        <v>45913.01875</v>
      </c>
      <c r="G653" s="8">
        <v>6.793</v>
      </c>
    </row>
    <row r="654">
      <c r="A654" s="9" t="str">
        <f t="shared" si="758"/>
        <v>LOBDEC</v>
      </c>
      <c r="B654" s="9" t="str">
        <f>IF(ISBLANK(A650),"",LEFT(B653,27)&amp;VALUE(RIGHT(B653,1)+1))</f>
        <v>DKF250911LOBDEC_20C_sample_5</v>
      </c>
      <c r="C654" s="6" t="str">
        <f t="shared" ref="C654:D654" si="762">C653</f>
        <v>Lobostemon decorus</v>
      </c>
      <c r="D654" s="6" t="str">
        <f t="shared" si="762"/>
        <v>20C</v>
      </c>
      <c r="E654" s="10">
        <f>IF(ISBLANK(A650),"",E653+1)</f>
        <v>5</v>
      </c>
      <c r="F654" s="11">
        <f t="shared" si="760"/>
        <v>45913.01875</v>
      </c>
      <c r="G654" s="8">
        <v>4.706</v>
      </c>
    </row>
    <row r="655">
      <c r="A655" s="12" t="str">
        <f t="shared" si="758"/>
        <v>LOBDEC</v>
      </c>
      <c r="B655" s="12" t="str">
        <f>IF(ISBLANK(A650),"",LEFT(B654,27)&amp;VALUE(RIGHT(B654,1)+1))</f>
        <v>DKF250911LOBDEC_20C_sample_6</v>
      </c>
      <c r="C655" s="13" t="str">
        <f t="shared" ref="C655:D655" si="763">C654</f>
        <v>Lobostemon decorus</v>
      </c>
      <c r="D655" s="13" t="str">
        <f t="shared" si="763"/>
        <v>20C</v>
      </c>
      <c r="E655" s="14">
        <f>IF(ISBLANK(A650),"",E654+1)</f>
        <v>6</v>
      </c>
      <c r="F655" s="15">
        <f t="shared" si="760"/>
        <v>45913.01875</v>
      </c>
      <c r="G655" s="16">
        <v>4.584</v>
      </c>
    </row>
    <row r="656">
      <c r="A656" s="5" t="s">
        <v>16</v>
      </c>
      <c r="B656" s="6" t="str">
        <f>IF(ISBLANK(A656),"",VLOOKUP($A656,'Data Feed (20C)'!$A$1:$G$14,2,FALSE))</f>
        <v>DKR250911MICPOL_20C_sample_1</v>
      </c>
      <c r="C656" s="6" t="str">
        <f>IF(ISBLANK(A656),"",VLOOKUP($A656,'Data Feed (20C)'!$A$1:$G$14,3,FALSE))</f>
        <v>Microdon polygaloides</v>
      </c>
      <c r="D656" s="6" t="str">
        <f>IF(ISBLANK(A656),"",VLOOKUP($A656,'Data Feed (20C)'!$A$1:$G$14,4,FALSE))</f>
        <v>20C</v>
      </c>
      <c r="E656" s="6">
        <f>IF(ISBLANK(A656),"",VLOOKUP($A656,'Data Feed (20C)'!$A$1:$G$14,7,FALSE))</f>
        <v>1</v>
      </c>
      <c r="F656" s="7">
        <v>45913.02013888889</v>
      </c>
      <c r="G656" s="8">
        <v>1.607</v>
      </c>
    </row>
    <row r="657">
      <c r="A657" s="9" t="str">
        <f t="shared" ref="A657:A661" si="765">A656</f>
        <v>MICPOL</v>
      </c>
      <c r="B657" s="9" t="str">
        <f>IF(ISBLANK(A656),"",LEFT(B656,27)&amp;VALUE(RIGHT(B656,1)+1))</f>
        <v>DKR250911MICPOL_20C_sample_2</v>
      </c>
      <c r="C657" s="6" t="str">
        <f t="shared" ref="C657:D657" si="764">C656</f>
        <v>Microdon polygaloides</v>
      </c>
      <c r="D657" s="6" t="str">
        <f t="shared" si="764"/>
        <v>20C</v>
      </c>
      <c r="E657" s="10">
        <f>IF(ISBLANK(A656),"",E656+1)</f>
        <v>2</v>
      </c>
      <c r="F657" s="11">
        <f t="shared" ref="F657:F661" si="767">F656</f>
        <v>45913.02014</v>
      </c>
      <c r="G657" s="8">
        <v>0.957</v>
      </c>
    </row>
    <row r="658">
      <c r="A658" s="9" t="str">
        <f t="shared" si="765"/>
        <v>MICPOL</v>
      </c>
      <c r="B658" s="9" t="str">
        <f>IF(ISBLANK(A656),"",LEFT(B657,27)&amp;VALUE(RIGHT(B657,1)+1))</f>
        <v>DKR250911MICPOL_20C_sample_3</v>
      </c>
      <c r="C658" s="6" t="str">
        <f t="shared" ref="C658:D658" si="766">C657</f>
        <v>Microdon polygaloides</v>
      </c>
      <c r="D658" s="6" t="str">
        <f t="shared" si="766"/>
        <v>20C</v>
      </c>
      <c r="E658" s="10">
        <f>IF(ISBLANK(A656),"",E657+1)</f>
        <v>3</v>
      </c>
      <c r="F658" s="11">
        <f t="shared" si="767"/>
        <v>45913.02014</v>
      </c>
      <c r="G658" s="8">
        <v>0.395</v>
      </c>
    </row>
    <row r="659">
      <c r="A659" s="9" t="str">
        <f t="shared" si="765"/>
        <v>MICPOL</v>
      </c>
      <c r="B659" s="9" t="str">
        <f>IF(ISBLANK(A656),"",LEFT(B658,27)&amp;VALUE(RIGHT(B658,1)+1))</f>
        <v>DKR250911MICPOL_20C_sample_4</v>
      </c>
      <c r="C659" s="6" t="str">
        <f t="shared" ref="C659:D659" si="768">C658</f>
        <v>Microdon polygaloides</v>
      </c>
      <c r="D659" s="6" t="str">
        <f t="shared" si="768"/>
        <v>20C</v>
      </c>
      <c r="E659" s="10">
        <f>IF(ISBLANK(A656),"",E658+1)</f>
        <v>4</v>
      </c>
      <c r="F659" s="11">
        <f t="shared" si="767"/>
        <v>45913.02014</v>
      </c>
      <c r="G659" s="8">
        <v>0.191</v>
      </c>
    </row>
    <row r="660">
      <c r="A660" s="9" t="str">
        <f t="shared" si="765"/>
        <v>MICPOL</v>
      </c>
      <c r="B660" s="9" t="str">
        <f>IF(ISBLANK(A656),"",LEFT(B659,27)&amp;VALUE(RIGHT(B659,1)+1))</f>
        <v>DKR250911MICPOL_20C_sample_5</v>
      </c>
      <c r="C660" s="6" t="str">
        <f t="shared" ref="C660:D660" si="769">C659</f>
        <v>Microdon polygaloides</v>
      </c>
      <c r="D660" s="6" t="str">
        <f t="shared" si="769"/>
        <v>20C</v>
      </c>
      <c r="E660" s="10">
        <f>IF(ISBLANK(A656),"",E659+1)</f>
        <v>5</v>
      </c>
      <c r="F660" s="11">
        <f t="shared" si="767"/>
        <v>45913.02014</v>
      </c>
      <c r="G660" s="8">
        <v>0.302</v>
      </c>
    </row>
    <row r="661">
      <c r="A661" s="12" t="str">
        <f t="shared" si="765"/>
        <v>MICPOL</v>
      </c>
      <c r="B661" s="12" t="str">
        <f>IF(ISBLANK(A656),"",LEFT(B660,27)&amp;VALUE(RIGHT(B660,1)+1))</f>
        <v>DKR250911MICPOL_20C_sample_6</v>
      </c>
      <c r="C661" s="13" t="str">
        <f t="shared" ref="C661:D661" si="770">C660</f>
        <v>Microdon polygaloides</v>
      </c>
      <c r="D661" s="13" t="str">
        <f t="shared" si="770"/>
        <v>20C</v>
      </c>
      <c r="E661" s="14">
        <f>IF(ISBLANK(A656),"",E660+1)</f>
        <v>6</v>
      </c>
      <c r="F661" s="15">
        <f t="shared" si="767"/>
        <v>45913.02014</v>
      </c>
      <c r="G661" s="16">
        <v>0.245</v>
      </c>
    </row>
    <row r="662">
      <c r="A662" s="5" t="s">
        <v>17</v>
      </c>
      <c r="B662" s="6" t="str">
        <f>IF(ISBLANK(A662),"",VLOOKUP($A662,'Data Feed (20C)'!$A$1:$G$14,2,FALSE))</f>
        <v>DKR250911OEDSQU_20C_sample_1</v>
      </c>
      <c r="C662" s="6" t="str">
        <f>IF(ISBLANK(A662),"",VLOOKUP($A662,'Data Feed (20C)'!$A$1:$G$14,3,FALSE))</f>
        <v>Oedera squarrosa</v>
      </c>
      <c r="D662" s="6" t="str">
        <f>IF(ISBLANK(A662),"",VLOOKUP($A662,'Data Feed (20C)'!$A$1:$G$14,4,FALSE))</f>
        <v>20C</v>
      </c>
      <c r="E662" s="6">
        <f>IF(ISBLANK(A662),"",VLOOKUP($A662,'Data Feed (20C)'!$A$1:$G$14,7,FALSE))</f>
        <v>1</v>
      </c>
      <c r="F662" s="7">
        <v>45913.02222222222</v>
      </c>
      <c r="G662" s="8">
        <v>1.262</v>
      </c>
    </row>
    <row r="663">
      <c r="A663" s="9" t="str">
        <f t="shared" ref="A663:A667" si="772">A662</f>
        <v>OEDSQU</v>
      </c>
      <c r="B663" s="9" t="str">
        <f>IF(ISBLANK(A662),"",LEFT(B662,27)&amp;VALUE(RIGHT(B662,1)+1))</f>
        <v>DKR250911OEDSQU_20C_sample_2</v>
      </c>
      <c r="C663" s="6" t="str">
        <f t="shared" ref="C663:D663" si="771">C662</f>
        <v>Oedera squarrosa</v>
      </c>
      <c r="D663" s="6" t="str">
        <f t="shared" si="771"/>
        <v>20C</v>
      </c>
      <c r="E663" s="10">
        <f>IF(ISBLANK(A662),"",E662+1)</f>
        <v>2</v>
      </c>
      <c r="F663" s="11">
        <f t="shared" ref="F663:F667" si="774">F662</f>
        <v>45913.02222</v>
      </c>
      <c r="G663" s="8">
        <v>1.042</v>
      </c>
    </row>
    <row r="664">
      <c r="A664" s="9" t="str">
        <f t="shared" si="772"/>
        <v>OEDSQU</v>
      </c>
      <c r="B664" s="9" t="str">
        <f>IF(ISBLANK(A662),"",LEFT(B663,27)&amp;VALUE(RIGHT(B663,1)+1))</f>
        <v>DKR250911OEDSQU_20C_sample_3</v>
      </c>
      <c r="C664" s="6" t="str">
        <f t="shared" ref="C664:D664" si="773">C663</f>
        <v>Oedera squarrosa</v>
      </c>
      <c r="D664" s="6" t="str">
        <f t="shared" si="773"/>
        <v>20C</v>
      </c>
      <c r="E664" s="10">
        <f>IF(ISBLANK(A662),"",E663+1)</f>
        <v>3</v>
      </c>
      <c r="F664" s="11">
        <f t="shared" si="774"/>
        <v>45913.02222</v>
      </c>
      <c r="G664" s="8">
        <v>1.484</v>
      </c>
    </row>
    <row r="665">
      <c r="A665" s="9" t="str">
        <f t="shared" si="772"/>
        <v>OEDSQU</v>
      </c>
      <c r="B665" s="9" t="str">
        <f>IF(ISBLANK(A662),"",LEFT(B664,27)&amp;VALUE(RIGHT(B664,1)+1))</f>
        <v>DKR250911OEDSQU_20C_sample_4</v>
      </c>
      <c r="C665" s="6" t="str">
        <f t="shared" ref="C665:D665" si="775">C664</f>
        <v>Oedera squarrosa</v>
      </c>
      <c r="D665" s="6" t="str">
        <f t="shared" si="775"/>
        <v>20C</v>
      </c>
      <c r="E665" s="10">
        <f>IF(ISBLANK(A662),"",E664+1)</f>
        <v>4</v>
      </c>
      <c r="F665" s="11">
        <f t="shared" si="774"/>
        <v>45913.02222</v>
      </c>
      <c r="G665" s="8">
        <v>1.457</v>
      </c>
    </row>
    <row r="666">
      <c r="A666" s="9" t="str">
        <f t="shared" si="772"/>
        <v>OEDSQU</v>
      </c>
      <c r="B666" s="9" t="str">
        <f>IF(ISBLANK(A662),"",LEFT(B665,27)&amp;VALUE(RIGHT(B665,1)+1))</f>
        <v>DKR250911OEDSQU_20C_sample_5</v>
      </c>
      <c r="C666" s="6" t="str">
        <f t="shared" ref="C666:D666" si="776">C665</f>
        <v>Oedera squarrosa</v>
      </c>
      <c r="D666" s="6" t="str">
        <f t="shared" si="776"/>
        <v>20C</v>
      </c>
      <c r="E666" s="10">
        <f>IF(ISBLANK(A662),"",E665+1)</f>
        <v>5</v>
      </c>
      <c r="F666" s="11">
        <f t="shared" si="774"/>
        <v>45913.02222</v>
      </c>
      <c r="G666" s="8">
        <v>0.676</v>
      </c>
    </row>
    <row r="667">
      <c r="A667" s="12" t="str">
        <f t="shared" si="772"/>
        <v>OEDSQU</v>
      </c>
      <c r="B667" s="12" t="str">
        <f>IF(ISBLANK(A662),"",LEFT(B666,27)&amp;VALUE(RIGHT(B666,1)+1))</f>
        <v>DKR250911OEDSQU_20C_sample_6</v>
      </c>
      <c r="C667" s="13" t="str">
        <f t="shared" ref="C667:D667" si="777">C666</f>
        <v>Oedera squarrosa</v>
      </c>
      <c r="D667" s="13" t="str">
        <f t="shared" si="777"/>
        <v>20C</v>
      </c>
      <c r="E667" s="14">
        <f>IF(ISBLANK(A662),"",E666+1)</f>
        <v>6</v>
      </c>
      <c r="F667" s="15">
        <f t="shared" si="774"/>
        <v>45913.02222</v>
      </c>
      <c r="G667" s="16">
        <v>0.286</v>
      </c>
    </row>
    <row r="668">
      <c r="A668" s="5" t="s">
        <v>7</v>
      </c>
      <c r="B668" s="6" t="str">
        <f>IF(ISBLANK(A668),"",VLOOKUP($A668,'Data Feed (20C)'!$A$1:$G$14,2,FALSE))</f>
        <v>DKR250911PASOBT_20C_sample_1</v>
      </c>
      <c r="C668" s="6" t="str">
        <f>IF(ISBLANK(A668),"",VLOOKUP($A668,'Data Feed (20C)'!$A$1:$G$14,3,FALSE))</f>
        <v>Passerina obtusifolia</v>
      </c>
      <c r="D668" s="6" t="str">
        <f>IF(ISBLANK(A668),"",VLOOKUP($A668,'Data Feed (20C)'!$A$1:$G$14,4,FALSE))</f>
        <v>20C</v>
      </c>
      <c r="E668" s="6">
        <f>IF(ISBLANK(A668),"",VLOOKUP($A668,'Data Feed (20C)'!$A$1:$G$14,7,FALSE))</f>
        <v>1</v>
      </c>
      <c r="F668" s="7">
        <v>45913.02361111111</v>
      </c>
      <c r="G668" s="8">
        <v>3.039</v>
      </c>
    </row>
    <row r="669">
      <c r="A669" s="9" t="str">
        <f t="shared" ref="A669:A673" si="779">A668</f>
        <v>PASOBT</v>
      </c>
      <c r="B669" s="9" t="str">
        <f>IF(ISBLANK(A668),"",LEFT(B668,27)&amp;VALUE(RIGHT(B668,1)+1))</f>
        <v>DKR250911PASOBT_20C_sample_2</v>
      </c>
      <c r="C669" s="6" t="str">
        <f t="shared" ref="C669:D669" si="778">C668</f>
        <v>Passerina obtusifolia</v>
      </c>
      <c r="D669" s="6" t="str">
        <f t="shared" si="778"/>
        <v>20C</v>
      </c>
      <c r="E669" s="10">
        <f>IF(ISBLANK(A668),"",E668+1)</f>
        <v>2</v>
      </c>
      <c r="F669" s="11">
        <f t="shared" ref="F669:F673" si="781">F668</f>
        <v>45913.02361</v>
      </c>
      <c r="G669" s="8">
        <v>4.145</v>
      </c>
    </row>
    <row r="670">
      <c r="A670" s="9" t="str">
        <f t="shared" si="779"/>
        <v>PASOBT</v>
      </c>
      <c r="B670" s="9" t="str">
        <f>IF(ISBLANK(A668),"",LEFT(B669,27)&amp;VALUE(RIGHT(B669,1)+1))</f>
        <v>DKR250911PASOBT_20C_sample_3</v>
      </c>
      <c r="C670" s="6" t="str">
        <f t="shared" ref="C670:D670" si="780">C669</f>
        <v>Passerina obtusifolia</v>
      </c>
      <c r="D670" s="6" t="str">
        <f t="shared" si="780"/>
        <v>20C</v>
      </c>
      <c r="E670" s="10">
        <f>IF(ISBLANK(A668),"",E669+1)</f>
        <v>3</v>
      </c>
      <c r="F670" s="11">
        <f t="shared" si="781"/>
        <v>45913.02361</v>
      </c>
      <c r="G670" s="8">
        <v>1.445</v>
      </c>
    </row>
    <row r="671">
      <c r="A671" s="9" t="str">
        <f t="shared" si="779"/>
        <v>PASOBT</v>
      </c>
      <c r="B671" s="9" t="str">
        <f>IF(ISBLANK(A668),"",LEFT(B670,27)&amp;VALUE(RIGHT(B670,1)+1))</f>
        <v>DKR250911PASOBT_20C_sample_4</v>
      </c>
      <c r="C671" s="6" t="str">
        <f t="shared" ref="C671:D671" si="782">C670</f>
        <v>Passerina obtusifolia</v>
      </c>
      <c r="D671" s="6" t="str">
        <f t="shared" si="782"/>
        <v>20C</v>
      </c>
      <c r="E671" s="10">
        <f>IF(ISBLANK(A668),"",E670+1)</f>
        <v>4</v>
      </c>
      <c r="F671" s="11">
        <f t="shared" si="781"/>
        <v>45913.02361</v>
      </c>
      <c r="G671" s="8">
        <v>2.025</v>
      </c>
    </row>
    <row r="672">
      <c r="A672" s="9" t="str">
        <f t="shared" si="779"/>
        <v>PASOBT</v>
      </c>
      <c r="B672" s="9" t="str">
        <f>IF(ISBLANK(A668),"",LEFT(B671,27)&amp;VALUE(RIGHT(B671,1)+1))</f>
        <v>DKR250911PASOBT_20C_sample_5</v>
      </c>
      <c r="C672" s="6" t="str">
        <f t="shared" ref="C672:D672" si="783">C671</f>
        <v>Passerina obtusifolia</v>
      </c>
      <c r="D672" s="6" t="str">
        <f t="shared" si="783"/>
        <v>20C</v>
      </c>
      <c r="E672" s="10">
        <f>IF(ISBLANK(A668),"",E671+1)</f>
        <v>5</v>
      </c>
      <c r="F672" s="11">
        <f t="shared" si="781"/>
        <v>45913.02361</v>
      </c>
      <c r="G672" s="8">
        <v>1.667</v>
      </c>
    </row>
    <row r="673">
      <c r="A673" s="12" t="str">
        <f t="shared" si="779"/>
        <v>PASOBT</v>
      </c>
      <c r="B673" s="12" t="str">
        <f>IF(ISBLANK(A668),"",LEFT(B672,27)&amp;VALUE(RIGHT(B672,1)+1))</f>
        <v>DKR250911PASOBT_20C_sample_6</v>
      </c>
      <c r="C673" s="13" t="str">
        <f t="shared" ref="C673:D673" si="784">C672</f>
        <v>Passerina obtusifolia</v>
      </c>
      <c r="D673" s="13" t="str">
        <f t="shared" si="784"/>
        <v>20C</v>
      </c>
      <c r="E673" s="14">
        <f>IF(ISBLANK(A668),"",E672+1)</f>
        <v>6</v>
      </c>
      <c r="F673" s="15">
        <f t="shared" si="781"/>
        <v>45913.02361</v>
      </c>
      <c r="G673" s="16">
        <v>2.799</v>
      </c>
    </row>
    <row r="674">
      <c r="A674" s="5" t="s">
        <v>9</v>
      </c>
      <c r="B674" s="6" t="str">
        <f>IF(ISBLANK(A674),"",VLOOKUP($A674,'Data Feed (20C)'!$A$1:$G$14,2,FALSE))</f>
        <v>DKR250911PROLAU_20C_sample_1</v>
      </c>
      <c r="C674" s="6" t="str">
        <f>IF(ISBLANK(A674),"",VLOOKUP($A674,'Data Feed (20C)'!$A$1:$G$14,3,FALSE))</f>
        <v>Protea laurifolia</v>
      </c>
      <c r="D674" s="6" t="str">
        <f>IF(ISBLANK(A674),"",VLOOKUP($A674,'Data Feed (20C)'!$A$1:$G$14,4,FALSE))</f>
        <v>20C</v>
      </c>
      <c r="E674" s="6">
        <f>IF(ISBLANK(A674),"",VLOOKUP($A674,'Data Feed (20C)'!$A$1:$G$14,7,FALSE))</f>
        <v>1</v>
      </c>
      <c r="F674" s="7">
        <v>45913.02638888889</v>
      </c>
      <c r="G674" s="8">
        <v>1.021</v>
      </c>
    </row>
    <row r="675">
      <c r="A675" s="9" t="str">
        <f t="shared" ref="A675:A679" si="786">A674</f>
        <v>PROLAU</v>
      </c>
      <c r="B675" s="9" t="str">
        <f>IF(ISBLANK(A674),"",LEFT(B674,27)&amp;VALUE(RIGHT(B674,1)+1))</f>
        <v>DKR250911PROLAU_20C_sample_2</v>
      </c>
      <c r="C675" s="6" t="str">
        <f t="shared" ref="C675:D675" si="785">C674</f>
        <v>Protea laurifolia</v>
      </c>
      <c r="D675" s="6" t="str">
        <f t="shared" si="785"/>
        <v>20C</v>
      </c>
      <c r="E675" s="10">
        <f>IF(ISBLANK(A674),"",E674+1)</f>
        <v>2</v>
      </c>
      <c r="F675" s="11">
        <f t="shared" ref="F675:F679" si="788">F674</f>
        <v>45913.02639</v>
      </c>
      <c r="G675" s="8">
        <v>1.226</v>
      </c>
    </row>
    <row r="676">
      <c r="A676" s="9" t="str">
        <f t="shared" si="786"/>
        <v>PROLAU</v>
      </c>
      <c r="B676" s="9" t="str">
        <f>IF(ISBLANK(A674),"",LEFT(B675,27)&amp;VALUE(RIGHT(B675,1)+1))</f>
        <v>DKR250911PROLAU_20C_sample_3</v>
      </c>
      <c r="C676" s="6" t="str">
        <f t="shared" ref="C676:D676" si="787">C675</f>
        <v>Protea laurifolia</v>
      </c>
      <c r="D676" s="6" t="str">
        <f t="shared" si="787"/>
        <v>20C</v>
      </c>
      <c r="E676" s="10">
        <f>IF(ISBLANK(A674),"",E675+1)</f>
        <v>3</v>
      </c>
      <c r="F676" s="11">
        <f t="shared" si="788"/>
        <v>45913.02639</v>
      </c>
      <c r="G676" s="8">
        <v>1.135</v>
      </c>
    </row>
    <row r="677">
      <c r="A677" s="9" t="str">
        <f t="shared" si="786"/>
        <v>PROLAU</v>
      </c>
      <c r="B677" s="9" t="str">
        <f>IF(ISBLANK(A674),"",LEFT(B676,27)&amp;VALUE(RIGHT(B676,1)+1))</f>
        <v>DKR250911PROLAU_20C_sample_4</v>
      </c>
      <c r="C677" s="6" t="str">
        <f t="shared" ref="C677:D677" si="789">C676</f>
        <v>Protea laurifolia</v>
      </c>
      <c r="D677" s="6" t="str">
        <f t="shared" si="789"/>
        <v>20C</v>
      </c>
      <c r="E677" s="10">
        <f>IF(ISBLANK(A674),"",E676+1)</f>
        <v>4</v>
      </c>
      <c r="F677" s="11">
        <f t="shared" si="788"/>
        <v>45913.02639</v>
      </c>
      <c r="G677" s="8">
        <v>0.544</v>
      </c>
    </row>
    <row r="678">
      <c r="A678" s="9" t="str">
        <f t="shared" si="786"/>
        <v>PROLAU</v>
      </c>
      <c r="B678" s="9" t="str">
        <f>IF(ISBLANK(A674),"",LEFT(B677,27)&amp;VALUE(RIGHT(B677,1)+1))</f>
        <v>DKR250911PROLAU_20C_sample_5</v>
      </c>
      <c r="C678" s="6" t="str">
        <f t="shared" ref="C678:D678" si="790">C677</f>
        <v>Protea laurifolia</v>
      </c>
      <c r="D678" s="6" t="str">
        <f t="shared" si="790"/>
        <v>20C</v>
      </c>
      <c r="E678" s="10">
        <f>IF(ISBLANK(A674),"",E677+1)</f>
        <v>5</v>
      </c>
      <c r="F678" s="11">
        <f t="shared" si="788"/>
        <v>45913.02639</v>
      </c>
      <c r="G678" s="8">
        <v>0.957</v>
      </c>
    </row>
    <row r="679">
      <c r="A679" s="12" t="str">
        <f t="shared" si="786"/>
        <v>PROLAU</v>
      </c>
      <c r="B679" s="12" t="str">
        <f>IF(ISBLANK(A674),"",LEFT(B678,27)&amp;VALUE(RIGHT(B678,1)+1))</f>
        <v>DKR250911PROLAU_20C_sample_6</v>
      </c>
      <c r="C679" s="13" t="str">
        <f t="shared" ref="C679:D679" si="791">C678</f>
        <v>Protea laurifolia</v>
      </c>
      <c r="D679" s="13" t="str">
        <f t="shared" si="791"/>
        <v>20C</v>
      </c>
      <c r="E679" s="14">
        <f>IF(ISBLANK(A674),"",E678+1)</f>
        <v>6</v>
      </c>
      <c r="F679" s="15">
        <f t="shared" si="788"/>
        <v>45913.02639</v>
      </c>
      <c r="G679" s="16">
        <v>0.979</v>
      </c>
    </row>
    <row r="680">
      <c r="A680" s="5" t="s">
        <v>8</v>
      </c>
      <c r="B680" s="6" t="str">
        <f>IF(ISBLANK(A680),"",VLOOKUP($A680,'Data Feed (20C)'!$A$1:$G$14,2,FALSE))</f>
        <v>DKF250911PROLOR_20C_sample_1</v>
      </c>
      <c r="C680" s="6" t="str">
        <f>IF(ISBLANK(A680),"",VLOOKUP($A680,'Data Feed (20C)'!$A$1:$G$14,3,FALSE))</f>
        <v>Protea lorifolia</v>
      </c>
      <c r="D680" s="6" t="str">
        <f>IF(ISBLANK(A680),"",VLOOKUP($A680,'Data Feed (20C)'!$A$1:$G$14,4,FALSE))</f>
        <v>20C</v>
      </c>
      <c r="E680" s="6">
        <f>IF(ISBLANK(A680),"",VLOOKUP($A680,'Data Feed (20C)'!$A$1:$G$14,7,FALSE))</f>
        <v>1</v>
      </c>
      <c r="F680" s="7">
        <v>45913.027083333334</v>
      </c>
      <c r="G680" s="8">
        <v>3.272</v>
      </c>
    </row>
    <row r="681">
      <c r="A681" s="9" t="str">
        <f t="shared" ref="A681:A685" si="793">A680</f>
        <v>PROLOR</v>
      </c>
      <c r="B681" s="9" t="str">
        <f>IF(ISBLANK(A680),"",LEFT(B680,27)&amp;VALUE(RIGHT(B680,1)+1))</f>
        <v>DKF250911PROLOR_20C_sample_2</v>
      </c>
      <c r="C681" s="6" t="str">
        <f t="shared" ref="C681:D681" si="792">C680</f>
        <v>Protea lorifolia</v>
      </c>
      <c r="D681" s="6" t="str">
        <f t="shared" si="792"/>
        <v>20C</v>
      </c>
      <c r="E681" s="10">
        <f>IF(ISBLANK(A680),"",E680+1)</f>
        <v>2</v>
      </c>
      <c r="F681" s="11">
        <f t="shared" ref="F681:F685" si="795">F680</f>
        <v>45913.02708</v>
      </c>
      <c r="G681" s="8">
        <v>3.727</v>
      </c>
    </row>
    <row r="682">
      <c r="A682" s="9" t="str">
        <f t="shared" si="793"/>
        <v>PROLOR</v>
      </c>
      <c r="B682" s="9" t="str">
        <f>IF(ISBLANK(A680),"",LEFT(B681,27)&amp;VALUE(RIGHT(B681,1)+1))</f>
        <v>DKF250911PROLOR_20C_sample_3</v>
      </c>
      <c r="C682" s="6" t="str">
        <f t="shared" ref="C682:D682" si="794">C681</f>
        <v>Protea lorifolia</v>
      </c>
      <c r="D682" s="6" t="str">
        <f t="shared" si="794"/>
        <v>20C</v>
      </c>
      <c r="E682" s="10">
        <f>IF(ISBLANK(A680),"",E681+1)</f>
        <v>3</v>
      </c>
      <c r="F682" s="11">
        <f t="shared" si="795"/>
        <v>45913.02708</v>
      </c>
      <c r="G682" s="8">
        <v>3.921</v>
      </c>
    </row>
    <row r="683">
      <c r="A683" s="9" t="str">
        <f t="shared" si="793"/>
        <v>PROLOR</v>
      </c>
      <c r="B683" s="9" t="str">
        <f>IF(ISBLANK(A680),"",LEFT(B682,27)&amp;VALUE(RIGHT(B682,1)+1))</f>
        <v>DKF250911PROLOR_20C_sample_4</v>
      </c>
      <c r="C683" s="6" t="str">
        <f t="shared" ref="C683:D683" si="796">C682</f>
        <v>Protea lorifolia</v>
      </c>
      <c r="D683" s="6" t="str">
        <f t="shared" si="796"/>
        <v>20C</v>
      </c>
      <c r="E683" s="10">
        <f>IF(ISBLANK(A680),"",E682+1)</f>
        <v>4</v>
      </c>
      <c r="F683" s="11">
        <f t="shared" si="795"/>
        <v>45913.02708</v>
      </c>
      <c r="G683" s="8">
        <v>3.082</v>
      </c>
    </row>
    <row r="684">
      <c r="A684" s="9" t="str">
        <f t="shared" si="793"/>
        <v>PROLOR</v>
      </c>
      <c r="B684" s="9" t="str">
        <f>IF(ISBLANK(A680),"",LEFT(B683,27)&amp;VALUE(RIGHT(B683,1)+1))</f>
        <v>DKF250911PROLOR_20C_sample_5</v>
      </c>
      <c r="C684" s="6" t="str">
        <f t="shared" ref="C684:D684" si="797">C683</f>
        <v>Protea lorifolia</v>
      </c>
      <c r="D684" s="6" t="str">
        <f t="shared" si="797"/>
        <v>20C</v>
      </c>
      <c r="E684" s="10">
        <f>IF(ISBLANK(A680),"",E683+1)</f>
        <v>5</v>
      </c>
      <c r="F684" s="11">
        <f t="shared" si="795"/>
        <v>45913.02708</v>
      </c>
      <c r="G684" s="8">
        <v>5.779</v>
      </c>
    </row>
    <row r="685">
      <c r="A685" s="12" t="str">
        <f t="shared" si="793"/>
        <v>PROLOR</v>
      </c>
      <c r="B685" s="12" t="str">
        <f>IF(ISBLANK(A680),"",LEFT(B684,27)&amp;VALUE(RIGHT(B684,1)+1))</f>
        <v>DKF250911PROLOR_20C_sample_6</v>
      </c>
      <c r="C685" s="13" t="str">
        <f t="shared" ref="C685:D685" si="798">C684</f>
        <v>Protea lorifolia</v>
      </c>
      <c r="D685" s="13" t="str">
        <f t="shared" si="798"/>
        <v>20C</v>
      </c>
      <c r="E685" s="14">
        <f>IF(ISBLANK(A680),"",E684+1)</f>
        <v>6</v>
      </c>
      <c r="F685" s="15">
        <f t="shared" si="795"/>
        <v>45913.02708</v>
      </c>
      <c r="G685" s="16">
        <v>4.708</v>
      </c>
    </row>
    <row r="686">
      <c r="A686" s="5" t="s">
        <v>13</v>
      </c>
      <c r="B686" s="6" t="str">
        <f>IF(ISBLANK(A686),"",VLOOKUP($A686,'Data Feed (20C)'!$A$1:$G$14,2,FALSE))</f>
        <v>DKR250911RUSMUL_20C_sample_1</v>
      </c>
      <c r="C686" s="6" t="str">
        <f>IF(ISBLANK(A686),"",VLOOKUP($A686,'Data Feed (20C)'!$A$1:$G$14,3,FALSE))</f>
        <v>Ruschia multiflora</v>
      </c>
      <c r="D686" s="6" t="str">
        <f>IF(ISBLANK(A686),"",VLOOKUP($A686,'Data Feed (20C)'!$A$1:$G$14,4,FALSE))</f>
        <v>20C</v>
      </c>
      <c r="E686" s="6">
        <f>IF(ISBLANK(A686),"",VLOOKUP($A686,'Data Feed (20C)'!$A$1:$G$14,7,FALSE))</f>
        <v>1</v>
      </c>
      <c r="F686" s="7">
        <v>45913.02916666667</v>
      </c>
      <c r="G686" s="8">
        <v>3.295</v>
      </c>
    </row>
    <row r="687">
      <c r="A687" s="9" t="str">
        <f t="shared" ref="A687:A691" si="800">A686</f>
        <v>RUSMUL</v>
      </c>
      <c r="B687" s="9" t="str">
        <f>IF(ISBLANK(A686),"",LEFT(B686,27)&amp;VALUE(RIGHT(B686,1)+1))</f>
        <v>DKR250911RUSMUL_20C_sample_2</v>
      </c>
      <c r="C687" s="6" t="str">
        <f t="shared" ref="C687:D687" si="799">C686</f>
        <v>Ruschia multiflora</v>
      </c>
      <c r="D687" s="6" t="str">
        <f t="shared" si="799"/>
        <v>20C</v>
      </c>
      <c r="E687" s="10">
        <f>IF(ISBLANK(A686),"",E686+1)</f>
        <v>2</v>
      </c>
      <c r="F687" s="11">
        <f t="shared" ref="F687:F691" si="802">F686</f>
        <v>45913.02917</v>
      </c>
      <c r="G687" s="8">
        <v>4.24</v>
      </c>
    </row>
    <row r="688">
      <c r="A688" s="9" t="str">
        <f t="shared" si="800"/>
        <v>RUSMUL</v>
      </c>
      <c r="B688" s="9" t="str">
        <f>IF(ISBLANK(A686),"",LEFT(B687,27)&amp;VALUE(RIGHT(B687,1)+1))</f>
        <v>DKR250911RUSMUL_20C_sample_3</v>
      </c>
      <c r="C688" s="6" t="str">
        <f t="shared" ref="C688:D688" si="801">C687</f>
        <v>Ruschia multiflora</v>
      </c>
      <c r="D688" s="6" t="str">
        <f t="shared" si="801"/>
        <v>20C</v>
      </c>
      <c r="E688" s="10">
        <f>IF(ISBLANK(A686),"",E687+1)</f>
        <v>3</v>
      </c>
      <c r="F688" s="11">
        <f t="shared" si="802"/>
        <v>45913.02917</v>
      </c>
      <c r="G688" s="8">
        <v>8.112</v>
      </c>
    </row>
    <row r="689">
      <c r="A689" s="9" t="str">
        <f t="shared" si="800"/>
        <v>RUSMUL</v>
      </c>
      <c r="B689" s="9" t="str">
        <f>IF(ISBLANK(A686),"",LEFT(B688,27)&amp;VALUE(RIGHT(B688,1)+1))</f>
        <v>DKR250911RUSMUL_20C_sample_4</v>
      </c>
      <c r="C689" s="6" t="str">
        <f t="shared" ref="C689:D689" si="803">C688</f>
        <v>Ruschia multiflora</v>
      </c>
      <c r="D689" s="6" t="str">
        <f t="shared" si="803"/>
        <v>20C</v>
      </c>
      <c r="E689" s="10">
        <f>IF(ISBLANK(A686),"",E688+1)</f>
        <v>4</v>
      </c>
      <c r="F689" s="11">
        <f t="shared" si="802"/>
        <v>45913.02917</v>
      </c>
      <c r="G689" s="8">
        <v>4.423</v>
      </c>
    </row>
    <row r="690">
      <c r="A690" s="9" t="str">
        <f t="shared" si="800"/>
        <v>RUSMUL</v>
      </c>
      <c r="B690" s="9" t="str">
        <f>IF(ISBLANK(A686),"",LEFT(B689,27)&amp;VALUE(RIGHT(B689,1)+1))</f>
        <v>DKR250911RUSMUL_20C_sample_5</v>
      </c>
      <c r="C690" s="6" t="str">
        <f t="shared" ref="C690:D690" si="804">C689</f>
        <v>Ruschia multiflora</v>
      </c>
      <c r="D690" s="6" t="str">
        <f t="shared" si="804"/>
        <v>20C</v>
      </c>
      <c r="E690" s="10">
        <f>IF(ISBLANK(A686),"",E689+1)</f>
        <v>5</v>
      </c>
      <c r="F690" s="11">
        <f t="shared" si="802"/>
        <v>45913.02917</v>
      </c>
      <c r="G690" s="8">
        <v>3.679</v>
      </c>
    </row>
    <row r="691">
      <c r="A691" s="12" t="str">
        <f t="shared" si="800"/>
        <v>RUSMUL</v>
      </c>
      <c r="B691" s="12" t="str">
        <f>IF(ISBLANK(A686),"",LEFT(B690,27)&amp;VALUE(RIGHT(B690,1)+1))</f>
        <v>DKR250911RUSMUL_20C_sample_6</v>
      </c>
      <c r="C691" s="13" t="str">
        <f t="shared" ref="C691:D691" si="805">C690</f>
        <v>Ruschia multiflora</v>
      </c>
      <c r="D691" s="13" t="str">
        <f t="shared" si="805"/>
        <v>20C</v>
      </c>
      <c r="E691" s="14">
        <f>IF(ISBLANK(A686),"",E690+1)</f>
        <v>6</v>
      </c>
      <c r="F691" s="15">
        <f t="shared" si="802"/>
        <v>45913.02917</v>
      </c>
      <c r="G691" s="16">
        <v>3.08</v>
      </c>
    </row>
    <row r="692">
      <c r="A692" s="5" t="s">
        <v>11</v>
      </c>
      <c r="B692" s="6" t="str">
        <f>IF(ISBLANK(A692),"",VLOOKUP($A692,'Data Feed (20C)'!$A$1:$G$14,2,FALSE))</f>
        <v>DKF250911SELDOL_20C_sample_1</v>
      </c>
      <c r="C692" s="6" t="str">
        <f>IF(ISBLANK(A692),"",VLOOKUP($A692,'Data Feed (20C)'!$A$1:$G$14,3,FALSE))</f>
        <v>Selago dolosa</v>
      </c>
      <c r="D692" s="6" t="str">
        <f>IF(ISBLANK(A692),"",VLOOKUP($A692,'Data Feed (20C)'!$A$1:$G$14,4,FALSE))</f>
        <v>20C</v>
      </c>
      <c r="E692" s="6">
        <f>IF(ISBLANK(A692),"",VLOOKUP($A692,'Data Feed (20C)'!$A$1:$G$14,7,FALSE))</f>
        <v>1</v>
      </c>
      <c r="F692" s="7">
        <v>45913.03125</v>
      </c>
      <c r="G692" s="8">
        <v>1.389</v>
      </c>
    </row>
    <row r="693">
      <c r="A693" s="9" t="str">
        <f t="shared" ref="A693:A697" si="807">A692</f>
        <v>SELDOL</v>
      </c>
      <c r="B693" s="9" t="str">
        <f>IF(ISBLANK(A692),"",LEFT(B692,27)&amp;VALUE(RIGHT(B692,1)+1))</f>
        <v>DKF250911SELDOL_20C_sample_2</v>
      </c>
      <c r="C693" s="6" t="str">
        <f t="shared" ref="C693:D693" si="806">C692</f>
        <v>Selago dolosa</v>
      </c>
      <c r="D693" s="6" t="str">
        <f t="shared" si="806"/>
        <v>20C</v>
      </c>
      <c r="E693" s="10">
        <f>IF(ISBLANK(A692),"",E692+1)</f>
        <v>2</v>
      </c>
      <c r="F693" s="11">
        <f t="shared" ref="F693:F697" si="809">F692</f>
        <v>45913.03125</v>
      </c>
      <c r="G693" s="8">
        <v>1.899</v>
      </c>
    </row>
    <row r="694">
      <c r="A694" s="9" t="str">
        <f t="shared" si="807"/>
        <v>SELDOL</v>
      </c>
      <c r="B694" s="9" t="str">
        <f>IF(ISBLANK(A692),"",LEFT(B693,27)&amp;VALUE(RIGHT(B693,1)+1))</f>
        <v>DKF250911SELDOL_20C_sample_3</v>
      </c>
      <c r="C694" s="6" t="str">
        <f t="shared" ref="C694:D694" si="808">C693</f>
        <v>Selago dolosa</v>
      </c>
      <c r="D694" s="6" t="str">
        <f t="shared" si="808"/>
        <v>20C</v>
      </c>
      <c r="E694" s="10">
        <f>IF(ISBLANK(A692),"",E693+1)</f>
        <v>3</v>
      </c>
      <c r="F694" s="11">
        <f t="shared" si="809"/>
        <v>45913.03125</v>
      </c>
      <c r="G694" s="8">
        <v>1.785</v>
      </c>
    </row>
    <row r="695">
      <c r="A695" s="9" t="str">
        <f t="shared" si="807"/>
        <v>SELDOL</v>
      </c>
      <c r="B695" s="9" t="str">
        <f>IF(ISBLANK(A692),"",LEFT(B694,27)&amp;VALUE(RIGHT(B694,1)+1))</f>
        <v>DKF250911SELDOL_20C_sample_4</v>
      </c>
      <c r="C695" s="6" t="str">
        <f t="shared" ref="C695:D695" si="810">C694</f>
        <v>Selago dolosa</v>
      </c>
      <c r="D695" s="6" t="str">
        <f t="shared" si="810"/>
        <v>20C</v>
      </c>
      <c r="E695" s="10">
        <f>IF(ISBLANK(A692),"",E694+1)</f>
        <v>4</v>
      </c>
      <c r="F695" s="11">
        <f t="shared" si="809"/>
        <v>45913.03125</v>
      </c>
      <c r="G695" s="8">
        <v>1.833</v>
      </c>
    </row>
    <row r="696">
      <c r="A696" s="9" t="str">
        <f t="shared" si="807"/>
        <v>SELDOL</v>
      </c>
      <c r="B696" s="9" t="str">
        <f>IF(ISBLANK(A692),"",LEFT(B695,27)&amp;VALUE(RIGHT(B695,1)+1))</f>
        <v>DKF250911SELDOL_20C_sample_5</v>
      </c>
      <c r="C696" s="6" t="str">
        <f t="shared" ref="C696:D696" si="811">C695</f>
        <v>Selago dolosa</v>
      </c>
      <c r="D696" s="6" t="str">
        <f t="shared" si="811"/>
        <v>20C</v>
      </c>
      <c r="E696" s="10">
        <f>IF(ISBLANK(A692),"",E695+1)</f>
        <v>5</v>
      </c>
      <c r="F696" s="11">
        <f t="shared" si="809"/>
        <v>45913.03125</v>
      </c>
      <c r="G696" s="8"/>
    </row>
    <row r="697">
      <c r="A697" s="12" t="str">
        <f t="shared" si="807"/>
        <v>SELDOL</v>
      </c>
      <c r="B697" s="12" t="str">
        <f>IF(ISBLANK(A692),"",LEFT(B696,27)&amp;VALUE(RIGHT(B696,1)+1))</f>
        <v>DKF250911SELDOL_20C_sample_6</v>
      </c>
      <c r="C697" s="13" t="str">
        <f t="shared" ref="C697:D697" si="812">C696</f>
        <v>Selago dolosa</v>
      </c>
      <c r="D697" s="13" t="str">
        <f t="shared" si="812"/>
        <v>20C</v>
      </c>
      <c r="E697" s="14">
        <f>IF(ISBLANK(A692),"",E696+1)</f>
        <v>6</v>
      </c>
      <c r="F697" s="15">
        <f t="shared" si="809"/>
        <v>45913.03125</v>
      </c>
      <c r="G697" s="16">
        <v>1.192</v>
      </c>
    </row>
    <row r="698">
      <c r="A698" s="5" t="s">
        <v>18</v>
      </c>
      <c r="B698" s="6" t="str">
        <f>IF(ISBLANK(A698),"",VLOOKUP($A698,'Data Feed (20C)'!$A$1:$G$14,2,FALSE))</f>
        <v>DKR250911WAHNOD_20C_sample_1</v>
      </c>
      <c r="C698" s="6" t="str">
        <f>IF(ISBLANK(A698),"",VLOOKUP($A698,'Data Feed (20C)'!$A$1:$G$14,3,FALSE))</f>
        <v>Wahlenbergia nodosa</v>
      </c>
      <c r="D698" s="6" t="str">
        <f>IF(ISBLANK(A698),"",VLOOKUP($A698,'Data Feed (20C)'!$A$1:$G$14,4,FALSE))</f>
        <v>20C</v>
      </c>
      <c r="E698" s="6">
        <f>IF(ISBLANK(A698),"",VLOOKUP($A698,'Data Feed (20C)'!$A$1:$G$14,7,FALSE))</f>
        <v>1</v>
      </c>
      <c r="F698" s="7">
        <v>45913.032638888886</v>
      </c>
      <c r="G698" s="8">
        <v>0.317</v>
      </c>
    </row>
    <row r="699">
      <c r="A699" s="9" t="str">
        <f t="shared" ref="A699:A703" si="814">A698</f>
        <v>WAHNOD</v>
      </c>
      <c r="B699" s="9" t="str">
        <f>IF(ISBLANK(A698),"",LEFT(B698,27)&amp;VALUE(RIGHT(B698,1)+1))</f>
        <v>DKR250911WAHNOD_20C_sample_2</v>
      </c>
      <c r="C699" s="6" t="str">
        <f t="shared" ref="C699:D699" si="813">C698</f>
        <v>Wahlenbergia nodosa</v>
      </c>
      <c r="D699" s="6" t="str">
        <f t="shared" si="813"/>
        <v>20C</v>
      </c>
      <c r="E699" s="10">
        <f>IF(ISBLANK(A698),"",E698+1)</f>
        <v>2</v>
      </c>
      <c r="F699" s="11">
        <f t="shared" ref="F699:F703" si="816">F698</f>
        <v>45913.03264</v>
      </c>
      <c r="G699" s="8">
        <v>0.176</v>
      </c>
    </row>
    <row r="700">
      <c r="A700" s="9" t="str">
        <f t="shared" si="814"/>
        <v>WAHNOD</v>
      </c>
      <c r="B700" s="9" t="str">
        <f>IF(ISBLANK(A698),"",LEFT(B699,27)&amp;VALUE(RIGHT(B699,1)+1))</f>
        <v>DKR250911WAHNOD_20C_sample_3</v>
      </c>
      <c r="C700" s="6" t="str">
        <f t="shared" ref="C700:D700" si="815">C699</f>
        <v>Wahlenbergia nodosa</v>
      </c>
      <c r="D700" s="6" t="str">
        <f t="shared" si="815"/>
        <v>20C</v>
      </c>
      <c r="E700" s="10">
        <f>IF(ISBLANK(A698),"",E699+1)</f>
        <v>3</v>
      </c>
      <c r="F700" s="11">
        <f t="shared" si="816"/>
        <v>45913.03264</v>
      </c>
      <c r="G700" s="8">
        <v>0.145</v>
      </c>
    </row>
    <row r="701">
      <c r="A701" s="9" t="str">
        <f t="shared" si="814"/>
        <v>WAHNOD</v>
      </c>
      <c r="B701" s="9" t="str">
        <f>IF(ISBLANK(A698),"",LEFT(B700,27)&amp;VALUE(RIGHT(B700,1)+1))</f>
        <v>DKR250911WAHNOD_20C_sample_4</v>
      </c>
      <c r="C701" s="6" t="str">
        <f t="shared" ref="C701:D701" si="817">C700</f>
        <v>Wahlenbergia nodosa</v>
      </c>
      <c r="D701" s="6" t="str">
        <f t="shared" si="817"/>
        <v>20C</v>
      </c>
      <c r="E701" s="10">
        <f>IF(ISBLANK(A698),"",E700+1)</f>
        <v>4</v>
      </c>
      <c r="F701" s="11">
        <f t="shared" si="816"/>
        <v>45913.03264</v>
      </c>
      <c r="G701" s="8">
        <v>0.684</v>
      </c>
    </row>
    <row r="702">
      <c r="A702" s="9" t="str">
        <f t="shared" si="814"/>
        <v>WAHNOD</v>
      </c>
      <c r="B702" s="9" t="str">
        <f>IF(ISBLANK(A698),"",LEFT(B701,27)&amp;VALUE(RIGHT(B701,1)+1))</f>
        <v>DKR250911WAHNOD_20C_sample_5</v>
      </c>
      <c r="C702" s="6" t="str">
        <f t="shared" ref="C702:D702" si="818">C701</f>
        <v>Wahlenbergia nodosa</v>
      </c>
      <c r="D702" s="6" t="str">
        <f t="shared" si="818"/>
        <v>20C</v>
      </c>
      <c r="E702" s="10">
        <f>IF(ISBLANK(A698),"",E701+1)</f>
        <v>5</v>
      </c>
      <c r="F702" s="11">
        <f t="shared" si="816"/>
        <v>45913.03264</v>
      </c>
      <c r="G702" s="8">
        <v>0.358</v>
      </c>
    </row>
    <row r="703">
      <c r="A703" s="12" t="str">
        <f t="shared" si="814"/>
        <v>WAHNOD</v>
      </c>
      <c r="B703" s="12" t="str">
        <f>IF(ISBLANK(A698),"",LEFT(B702,27)&amp;VALUE(RIGHT(B702,1)+1))</f>
        <v>DKR250911WAHNOD_20C_sample_6</v>
      </c>
      <c r="C703" s="13" t="str">
        <f t="shared" ref="C703:D703" si="819">C702</f>
        <v>Wahlenbergia nodosa</v>
      </c>
      <c r="D703" s="13" t="str">
        <f t="shared" si="819"/>
        <v>20C</v>
      </c>
      <c r="E703" s="14">
        <f>IF(ISBLANK(A698),"",E702+1)</f>
        <v>6</v>
      </c>
      <c r="F703" s="15">
        <f t="shared" si="816"/>
        <v>45913.03264</v>
      </c>
      <c r="G703" s="16">
        <v>0.415</v>
      </c>
    </row>
    <row r="704">
      <c r="A704" s="5" t="s">
        <v>12</v>
      </c>
      <c r="B704" s="6" t="str">
        <f>IF(ISBLANK(A704),"",VLOOKUP($A704,'Data Feed (20C)'!$A$1:$G$14,2,FALSE))</f>
        <v>DKF250911AGACAP_20C_sample_1</v>
      </c>
      <c r="C704" s="6" t="str">
        <f>IF(ISBLANK(A704),"",VLOOKUP($A704,'Data Feed (20C)'!$A$1:$G$14,3,FALSE))</f>
        <v>Agathosma capensis</v>
      </c>
      <c r="D704" s="6" t="str">
        <f>IF(ISBLANK(A704),"",VLOOKUP($A704,'Data Feed (20C)'!$A$1:$G$14,4,FALSE))</f>
        <v>20C</v>
      </c>
      <c r="E704" s="6">
        <f>IF(ISBLANK(A704),"",VLOOKUP($A704,'Data Feed (20C)'!$A$1:$G$14,7,FALSE))</f>
        <v>1</v>
      </c>
      <c r="F704" s="7">
        <v>45913.08611111111</v>
      </c>
      <c r="G704" s="8">
        <v>4.484</v>
      </c>
    </row>
    <row r="705">
      <c r="A705" s="9" t="str">
        <f t="shared" ref="A705:A709" si="821">A704</f>
        <v>AGACAP</v>
      </c>
      <c r="B705" s="9" t="str">
        <f>IF(ISBLANK(A704),"",LEFT(B704,27)&amp;VALUE(RIGHT(B704,1)+1))</f>
        <v>DKF250911AGACAP_20C_sample_2</v>
      </c>
      <c r="C705" s="6" t="str">
        <f t="shared" ref="C705:D705" si="820">C704</f>
        <v>Agathosma capensis</v>
      </c>
      <c r="D705" s="6" t="str">
        <f t="shared" si="820"/>
        <v>20C</v>
      </c>
      <c r="E705" s="10">
        <f>IF(ISBLANK(A704),"",E704+1)</f>
        <v>2</v>
      </c>
      <c r="F705" s="11">
        <f t="shared" ref="F705:F709" si="823">F704</f>
        <v>45913.08611</v>
      </c>
      <c r="G705" s="8">
        <v>1.672</v>
      </c>
    </row>
    <row r="706">
      <c r="A706" s="9" t="str">
        <f t="shared" si="821"/>
        <v>AGACAP</v>
      </c>
      <c r="B706" s="9" t="str">
        <f>IF(ISBLANK(A704),"",LEFT(B705,27)&amp;VALUE(RIGHT(B705,1)+1))</f>
        <v>DKF250911AGACAP_20C_sample_3</v>
      </c>
      <c r="C706" s="6" t="str">
        <f t="shared" ref="C706:D706" si="822">C705</f>
        <v>Agathosma capensis</v>
      </c>
      <c r="D706" s="6" t="str">
        <f t="shared" si="822"/>
        <v>20C</v>
      </c>
      <c r="E706" s="10">
        <f>IF(ISBLANK(A704),"",E705+1)</f>
        <v>3</v>
      </c>
      <c r="F706" s="11">
        <f t="shared" si="823"/>
        <v>45913.08611</v>
      </c>
      <c r="G706" s="8">
        <v>2.066</v>
      </c>
    </row>
    <row r="707">
      <c r="A707" s="9" t="str">
        <f t="shared" si="821"/>
        <v>AGACAP</v>
      </c>
      <c r="B707" s="9" t="str">
        <f>IF(ISBLANK(A704),"",LEFT(B706,27)&amp;VALUE(RIGHT(B706,1)+1))</f>
        <v>DKF250911AGACAP_20C_sample_4</v>
      </c>
      <c r="C707" s="6" t="str">
        <f t="shared" ref="C707:D707" si="824">C706</f>
        <v>Agathosma capensis</v>
      </c>
      <c r="D707" s="6" t="str">
        <f t="shared" si="824"/>
        <v>20C</v>
      </c>
      <c r="E707" s="10">
        <f>IF(ISBLANK(A704),"",E706+1)</f>
        <v>4</v>
      </c>
      <c r="F707" s="11">
        <f t="shared" si="823"/>
        <v>45913.08611</v>
      </c>
      <c r="G707" s="8">
        <v>1.427</v>
      </c>
    </row>
    <row r="708">
      <c r="A708" s="9" t="str">
        <f t="shared" si="821"/>
        <v>AGACAP</v>
      </c>
      <c r="B708" s="9" t="str">
        <f>IF(ISBLANK(A704),"",LEFT(B707,27)&amp;VALUE(RIGHT(B707,1)+1))</f>
        <v>DKF250911AGACAP_20C_sample_5</v>
      </c>
      <c r="C708" s="6" t="str">
        <f t="shared" ref="C708:D708" si="825">C707</f>
        <v>Agathosma capensis</v>
      </c>
      <c r="D708" s="6" t="str">
        <f t="shared" si="825"/>
        <v>20C</v>
      </c>
      <c r="E708" s="10">
        <f>IF(ISBLANK(A704),"",E707+1)</f>
        <v>5</v>
      </c>
      <c r="F708" s="11">
        <f t="shared" si="823"/>
        <v>45913.08611</v>
      </c>
      <c r="G708" s="8">
        <v>0.59</v>
      </c>
    </row>
    <row r="709">
      <c r="A709" s="12" t="str">
        <f t="shared" si="821"/>
        <v>AGACAP</v>
      </c>
      <c r="B709" s="12" t="str">
        <f>IF(ISBLANK(A704),"",LEFT(B708,27)&amp;VALUE(RIGHT(B708,1)+1))</f>
        <v>DKF250911AGACAP_20C_sample_6</v>
      </c>
      <c r="C709" s="13" t="str">
        <f t="shared" ref="C709:D709" si="826">C708</f>
        <v>Agathosma capensis</v>
      </c>
      <c r="D709" s="13" t="str">
        <f t="shared" si="826"/>
        <v>20C</v>
      </c>
      <c r="E709" s="14">
        <f>IF(ISBLANK(A704),"",E708+1)</f>
        <v>6</v>
      </c>
      <c r="F709" s="15">
        <f t="shared" si="823"/>
        <v>45913.08611</v>
      </c>
      <c r="G709" s="16">
        <v>1.614</v>
      </c>
    </row>
    <row r="710">
      <c r="A710" s="5" t="s">
        <v>14</v>
      </c>
      <c r="B710" s="6" t="str">
        <f>IF(ISBLANK(A710),"",VLOOKUP($A710,'Data Feed (20C)'!$A$1:$G$14,2,FALSE))</f>
        <v>DKF250911ASPSHA_20C_sample_1</v>
      </c>
      <c r="C710" s="6" t="str">
        <f>IF(ISBLANK(A710),"",VLOOKUP($A710,'Data Feed (20C)'!$A$1:$G$14,3,FALSE))</f>
        <v>Aspalathus shawii</v>
      </c>
      <c r="D710" s="6" t="str">
        <f>IF(ISBLANK(A710),"",VLOOKUP($A710,'Data Feed (20C)'!$A$1:$G$14,4,FALSE))</f>
        <v>20C</v>
      </c>
      <c r="E710" s="6">
        <f>IF(ISBLANK(A710),"",VLOOKUP($A710,'Data Feed (20C)'!$A$1:$G$14,7,FALSE))</f>
        <v>1</v>
      </c>
      <c r="F710" s="7">
        <v>45913.08819444444</v>
      </c>
      <c r="G710" s="8">
        <v>14.099</v>
      </c>
    </row>
    <row r="711">
      <c r="A711" s="9" t="str">
        <f t="shared" ref="A711:A715" si="828">A710</f>
        <v>ASPSHA</v>
      </c>
      <c r="B711" s="9" t="str">
        <f>IF(ISBLANK(A710),"",LEFT(B710,27)&amp;VALUE(RIGHT(B710,1)+1))</f>
        <v>DKF250911ASPSHA_20C_sample_2</v>
      </c>
      <c r="C711" s="6" t="str">
        <f t="shared" ref="C711:D711" si="827">C710</f>
        <v>Aspalathus shawii</v>
      </c>
      <c r="D711" s="6" t="str">
        <f t="shared" si="827"/>
        <v>20C</v>
      </c>
      <c r="E711" s="10">
        <f>IF(ISBLANK(A710),"",E710+1)</f>
        <v>2</v>
      </c>
      <c r="F711" s="11">
        <f t="shared" ref="F711:F715" si="830">F710</f>
        <v>45913.08819</v>
      </c>
      <c r="G711" s="8">
        <v>9.776</v>
      </c>
    </row>
    <row r="712">
      <c r="A712" s="9" t="str">
        <f t="shared" si="828"/>
        <v>ASPSHA</v>
      </c>
      <c r="B712" s="9" t="str">
        <f>IF(ISBLANK(A710),"",LEFT(B711,27)&amp;VALUE(RIGHT(B711,1)+1))</f>
        <v>DKF250911ASPSHA_20C_sample_3</v>
      </c>
      <c r="C712" s="6" t="str">
        <f t="shared" ref="C712:D712" si="829">C711</f>
        <v>Aspalathus shawii</v>
      </c>
      <c r="D712" s="6" t="str">
        <f t="shared" si="829"/>
        <v>20C</v>
      </c>
      <c r="E712" s="10">
        <f>IF(ISBLANK(A710),"",E711+1)</f>
        <v>3</v>
      </c>
      <c r="F712" s="11">
        <f t="shared" si="830"/>
        <v>45913.08819</v>
      </c>
      <c r="G712" s="8">
        <v>5.523</v>
      </c>
    </row>
    <row r="713">
      <c r="A713" s="9" t="str">
        <f t="shared" si="828"/>
        <v>ASPSHA</v>
      </c>
      <c r="B713" s="9" t="str">
        <f>IF(ISBLANK(A710),"",LEFT(B712,27)&amp;VALUE(RIGHT(B712,1)+1))</f>
        <v>DKF250911ASPSHA_20C_sample_4</v>
      </c>
      <c r="C713" s="6" t="str">
        <f t="shared" ref="C713:D713" si="831">C712</f>
        <v>Aspalathus shawii</v>
      </c>
      <c r="D713" s="6" t="str">
        <f t="shared" si="831"/>
        <v>20C</v>
      </c>
      <c r="E713" s="10">
        <f>IF(ISBLANK(A710),"",E712+1)</f>
        <v>4</v>
      </c>
      <c r="F713" s="11">
        <f t="shared" si="830"/>
        <v>45913.08819</v>
      </c>
      <c r="G713" s="8">
        <v>13.576</v>
      </c>
    </row>
    <row r="714">
      <c r="A714" s="9" t="str">
        <f t="shared" si="828"/>
        <v>ASPSHA</v>
      </c>
      <c r="B714" s="9" t="str">
        <f>IF(ISBLANK(A710),"",LEFT(B713,27)&amp;VALUE(RIGHT(B713,1)+1))</f>
        <v>DKF250911ASPSHA_20C_sample_5</v>
      </c>
      <c r="C714" s="6" t="str">
        <f t="shared" ref="C714:D714" si="832">C713</f>
        <v>Aspalathus shawii</v>
      </c>
      <c r="D714" s="6" t="str">
        <f t="shared" si="832"/>
        <v>20C</v>
      </c>
      <c r="E714" s="10">
        <f>IF(ISBLANK(A710),"",E713+1)</f>
        <v>5</v>
      </c>
      <c r="F714" s="11">
        <f t="shared" si="830"/>
        <v>45913.08819</v>
      </c>
      <c r="G714" s="8">
        <v>4.072</v>
      </c>
    </row>
    <row r="715">
      <c r="A715" s="12" t="str">
        <f t="shared" si="828"/>
        <v>ASPSHA</v>
      </c>
      <c r="B715" s="12" t="str">
        <f>IF(ISBLANK(A710),"",LEFT(B714,27)&amp;VALUE(RIGHT(B714,1)+1))</f>
        <v>DKF250911ASPSHA_20C_sample_6</v>
      </c>
      <c r="C715" s="13" t="str">
        <f t="shared" ref="C715:D715" si="833">C714</f>
        <v>Aspalathus shawii</v>
      </c>
      <c r="D715" s="13" t="str">
        <f t="shared" si="833"/>
        <v>20C</v>
      </c>
      <c r="E715" s="14">
        <f>IF(ISBLANK(A710),"",E714+1)</f>
        <v>6</v>
      </c>
      <c r="F715" s="15">
        <f t="shared" si="830"/>
        <v>45913.08819</v>
      </c>
      <c r="G715" s="16">
        <v>11.411</v>
      </c>
    </row>
    <row r="716">
      <c r="A716" s="5" t="s">
        <v>19</v>
      </c>
      <c r="B716" s="6" t="str">
        <f>IF(ISBLANK(A716),"",VLOOKUP($A716,'Data Feed (20C)'!$A$1:$G$14,2,FALSE))</f>
        <v>DKR250911CLURUB_20C_sample_1</v>
      </c>
      <c r="C716" s="6" t="str">
        <f>IF(ISBLANK(A716),"",VLOOKUP($A716,'Data Feed (20C)'!$A$1:$G$14,3,FALSE))</f>
        <v>Clutia rubricaulis</v>
      </c>
      <c r="D716" s="6" t="str">
        <f>IF(ISBLANK(A716),"",VLOOKUP($A716,'Data Feed (20C)'!$A$1:$G$14,4,FALSE))</f>
        <v>20C</v>
      </c>
      <c r="E716" s="6">
        <f>IF(ISBLANK(A716),"",VLOOKUP($A716,'Data Feed (20C)'!$A$1:$G$14,7,FALSE))</f>
        <v>1</v>
      </c>
      <c r="F716" s="7">
        <v>45913.089583333334</v>
      </c>
      <c r="G716" s="8">
        <v>0.377</v>
      </c>
    </row>
    <row r="717">
      <c r="A717" s="9" t="str">
        <f t="shared" ref="A717:A721" si="835">A716</f>
        <v>CLURUB</v>
      </c>
      <c r="B717" s="9" t="str">
        <f>IF(ISBLANK(A716),"",LEFT(B716,27)&amp;VALUE(RIGHT(B716,1)+1))</f>
        <v>DKR250911CLURUB_20C_sample_2</v>
      </c>
      <c r="C717" s="6" t="str">
        <f t="shared" ref="C717:D717" si="834">C716</f>
        <v>Clutia rubricaulis</v>
      </c>
      <c r="D717" s="6" t="str">
        <f t="shared" si="834"/>
        <v>20C</v>
      </c>
      <c r="E717" s="10">
        <f>IF(ISBLANK(A716),"",E716+1)</f>
        <v>2</v>
      </c>
      <c r="F717" s="11">
        <f t="shared" ref="F717:F721" si="837">F716</f>
        <v>45913.08958</v>
      </c>
      <c r="G717" s="8">
        <v>0.315</v>
      </c>
    </row>
    <row r="718">
      <c r="A718" s="9" t="str">
        <f t="shared" si="835"/>
        <v>CLURUB</v>
      </c>
      <c r="B718" s="9" t="str">
        <f>IF(ISBLANK(A716),"",LEFT(B717,27)&amp;VALUE(RIGHT(B717,1)+1))</f>
        <v>DKR250911CLURUB_20C_sample_3</v>
      </c>
      <c r="C718" s="6" t="str">
        <f t="shared" ref="C718:D718" si="836">C717</f>
        <v>Clutia rubricaulis</v>
      </c>
      <c r="D718" s="6" t="str">
        <f t="shared" si="836"/>
        <v>20C</v>
      </c>
      <c r="E718" s="10">
        <f>IF(ISBLANK(A716),"",E717+1)</f>
        <v>3</v>
      </c>
      <c r="F718" s="11">
        <f t="shared" si="837"/>
        <v>45913.08958</v>
      </c>
      <c r="G718" s="8">
        <v>0.42</v>
      </c>
    </row>
    <row r="719">
      <c r="A719" s="9" t="str">
        <f t="shared" si="835"/>
        <v>CLURUB</v>
      </c>
      <c r="B719" s="9" t="str">
        <f>IF(ISBLANK(A716),"",LEFT(B718,27)&amp;VALUE(RIGHT(B718,1)+1))</f>
        <v>DKR250911CLURUB_20C_sample_4</v>
      </c>
      <c r="C719" s="6" t="str">
        <f t="shared" ref="C719:D719" si="838">C718</f>
        <v>Clutia rubricaulis</v>
      </c>
      <c r="D719" s="6" t="str">
        <f t="shared" si="838"/>
        <v>20C</v>
      </c>
      <c r="E719" s="10">
        <f>IF(ISBLANK(A716),"",E718+1)</f>
        <v>4</v>
      </c>
      <c r="F719" s="11">
        <f t="shared" si="837"/>
        <v>45913.08958</v>
      </c>
      <c r="G719" s="8">
        <v>0.226</v>
      </c>
    </row>
    <row r="720">
      <c r="A720" s="9" t="str">
        <f t="shared" si="835"/>
        <v>CLURUB</v>
      </c>
      <c r="B720" s="9" t="str">
        <f>IF(ISBLANK(A716),"",LEFT(B719,27)&amp;VALUE(RIGHT(B719,1)+1))</f>
        <v>DKR250911CLURUB_20C_sample_5</v>
      </c>
      <c r="C720" s="6" t="str">
        <f t="shared" ref="C720:D720" si="839">C719</f>
        <v>Clutia rubricaulis</v>
      </c>
      <c r="D720" s="6" t="str">
        <f t="shared" si="839"/>
        <v>20C</v>
      </c>
      <c r="E720" s="10">
        <f>IF(ISBLANK(A716),"",E719+1)</f>
        <v>5</v>
      </c>
      <c r="F720" s="11">
        <f t="shared" si="837"/>
        <v>45913.08958</v>
      </c>
      <c r="G720" s="8">
        <v>0.408</v>
      </c>
    </row>
    <row r="721">
      <c r="A721" s="12" t="str">
        <f t="shared" si="835"/>
        <v>CLURUB</v>
      </c>
      <c r="B721" s="12" t="str">
        <f>IF(ISBLANK(A716),"",LEFT(B720,27)&amp;VALUE(RIGHT(B720,1)+1))</f>
        <v>DKR250911CLURUB_20C_sample_6</v>
      </c>
      <c r="C721" s="13" t="str">
        <f t="shared" ref="C721:D721" si="840">C720</f>
        <v>Clutia rubricaulis</v>
      </c>
      <c r="D721" s="13" t="str">
        <f t="shared" si="840"/>
        <v>20C</v>
      </c>
      <c r="E721" s="14">
        <f>IF(ISBLANK(A716),"",E720+1)</f>
        <v>6</v>
      </c>
      <c r="F721" s="15">
        <f t="shared" si="837"/>
        <v>45913.08958</v>
      </c>
      <c r="G721" s="16">
        <v>0.323</v>
      </c>
    </row>
    <row r="722">
      <c r="A722" s="5" t="s">
        <v>15</v>
      </c>
      <c r="B722" s="6" t="str">
        <f>IF(ISBLANK(A722),"",VLOOKUP($A722,'Data Feed (20C)'!$A$1:$G$14,2,FALSE))</f>
        <v>DKR250911ELYRHI_20C_sample_1</v>
      </c>
      <c r="C722" s="6" t="str">
        <f>IF(ISBLANK(A722),"",VLOOKUP($A722,'Data Feed (20C)'!$A$1:$G$14,3,FALSE))</f>
        <v>Elytropappus rhinocerotis</v>
      </c>
      <c r="D722" s="6" t="str">
        <f>IF(ISBLANK(A722),"",VLOOKUP($A722,'Data Feed (20C)'!$A$1:$G$14,4,FALSE))</f>
        <v>20C</v>
      </c>
      <c r="E722" s="6">
        <f>IF(ISBLANK(A722),"",VLOOKUP($A722,'Data Feed (20C)'!$A$1:$G$14,7,FALSE))</f>
        <v>1</v>
      </c>
      <c r="F722" s="7">
        <v>45913.09097222222</v>
      </c>
      <c r="G722" s="8">
        <v>3.461</v>
      </c>
    </row>
    <row r="723">
      <c r="A723" s="9" t="str">
        <f t="shared" ref="A723:A727" si="842">A722</f>
        <v>ELYRHI</v>
      </c>
      <c r="B723" s="9" t="str">
        <f>IF(ISBLANK(A722),"",LEFT(B722,27)&amp;VALUE(RIGHT(B722,1)+1))</f>
        <v>DKR250911ELYRHI_20C_sample_2</v>
      </c>
      <c r="C723" s="6" t="str">
        <f t="shared" ref="C723:D723" si="841">C722</f>
        <v>Elytropappus rhinocerotis</v>
      </c>
      <c r="D723" s="6" t="str">
        <f t="shared" si="841"/>
        <v>20C</v>
      </c>
      <c r="E723" s="10">
        <f>IF(ISBLANK(A722),"",E722+1)</f>
        <v>2</v>
      </c>
      <c r="F723" s="11">
        <f t="shared" ref="F723:F727" si="844">F722</f>
        <v>45913.09097</v>
      </c>
      <c r="G723" s="8">
        <v>3.653</v>
      </c>
    </row>
    <row r="724">
      <c r="A724" s="9" t="str">
        <f t="shared" si="842"/>
        <v>ELYRHI</v>
      </c>
      <c r="B724" s="9" t="str">
        <f>IF(ISBLANK(A722),"",LEFT(B723,27)&amp;VALUE(RIGHT(B723,1)+1))</f>
        <v>DKR250911ELYRHI_20C_sample_3</v>
      </c>
      <c r="C724" s="6" t="str">
        <f t="shared" ref="C724:D724" si="843">C723</f>
        <v>Elytropappus rhinocerotis</v>
      </c>
      <c r="D724" s="6" t="str">
        <f t="shared" si="843"/>
        <v>20C</v>
      </c>
      <c r="E724" s="10">
        <f>IF(ISBLANK(A722),"",E723+1)</f>
        <v>3</v>
      </c>
      <c r="F724" s="11">
        <f t="shared" si="844"/>
        <v>45913.09097</v>
      </c>
      <c r="G724" s="8">
        <v>6.387</v>
      </c>
    </row>
    <row r="725">
      <c r="A725" s="9" t="str">
        <f t="shared" si="842"/>
        <v>ELYRHI</v>
      </c>
      <c r="B725" s="9" t="str">
        <f>IF(ISBLANK(A722),"",LEFT(B724,27)&amp;VALUE(RIGHT(B724,1)+1))</f>
        <v>DKR250911ELYRHI_20C_sample_4</v>
      </c>
      <c r="C725" s="6" t="str">
        <f t="shared" ref="C725:D725" si="845">C724</f>
        <v>Elytropappus rhinocerotis</v>
      </c>
      <c r="D725" s="6" t="str">
        <f t="shared" si="845"/>
        <v>20C</v>
      </c>
      <c r="E725" s="10">
        <f>IF(ISBLANK(A722),"",E724+1)</f>
        <v>4</v>
      </c>
      <c r="F725" s="11">
        <f t="shared" si="844"/>
        <v>45913.09097</v>
      </c>
      <c r="G725" s="8">
        <v>3.727</v>
      </c>
    </row>
    <row r="726">
      <c r="A726" s="9" t="str">
        <f t="shared" si="842"/>
        <v>ELYRHI</v>
      </c>
      <c r="B726" s="9" t="str">
        <f>IF(ISBLANK(A722),"",LEFT(B725,27)&amp;VALUE(RIGHT(B725,1)+1))</f>
        <v>DKR250911ELYRHI_20C_sample_5</v>
      </c>
      <c r="C726" s="6" t="str">
        <f t="shared" ref="C726:D726" si="846">C725</f>
        <v>Elytropappus rhinocerotis</v>
      </c>
      <c r="D726" s="6" t="str">
        <f t="shared" si="846"/>
        <v>20C</v>
      </c>
      <c r="E726" s="10">
        <f>IF(ISBLANK(A722),"",E725+1)</f>
        <v>5</v>
      </c>
      <c r="F726" s="11">
        <f t="shared" si="844"/>
        <v>45913.09097</v>
      </c>
      <c r="G726" s="8">
        <v>2.437</v>
      </c>
    </row>
    <row r="727">
      <c r="A727" s="12" t="str">
        <f t="shared" si="842"/>
        <v>ELYRHI</v>
      </c>
      <c r="B727" s="12" t="str">
        <f>IF(ISBLANK(A722),"",LEFT(B726,27)&amp;VALUE(RIGHT(B726,1)+1))</f>
        <v>DKR250911ELYRHI_20C_sample_6</v>
      </c>
      <c r="C727" s="13" t="str">
        <f t="shared" ref="C727:D727" si="847">C726</f>
        <v>Elytropappus rhinocerotis</v>
      </c>
      <c r="D727" s="13" t="str">
        <f t="shared" si="847"/>
        <v>20C</v>
      </c>
      <c r="E727" s="14">
        <f>IF(ISBLANK(A722),"",E726+1)</f>
        <v>6</v>
      </c>
      <c r="F727" s="15">
        <f t="shared" si="844"/>
        <v>45913.09097</v>
      </c>
      <c r="G727" s="16">
        <v>2.008</v>
      </c>
    </row>
    <row r="728">
      <c r="A728" s="5" t="s">
        <v>10</v>
      </c>
      <c r="B728" s="6" t="str">
        <f>IF(ISBLANK(A728),"",VLOOKUP($A728,'Data Feed (20C)'!$A$1:$G$14,2,FALSE))</f>
        <v>DKF250911LOBDEC_20C_sample_1</v>
      </c>
      <c r="C728" s="6" t="str">
        <f>IF(ISBLANK(A728),"",VLOOKUP($A728,'Data Feed (20C)'!$A$1:$G$14,3,FALSE))</f>
        <v>Lobostemon decorus</v>
      </c>
      <c r="D728" s="6" t="str">
        <f>IF(ISBLANK(A728),"",VLOOKUP($A728,'Data Feed (20C)'!$A$1:$G$14,4,FALSE))</f>
        <v>20C</v>
      </c>
      <c r="E728" s="6">
        <f>IF(ISBLANK(A728),"",VLOOKUP($A728,'Data Feed (20C)'!$A$1:$G$14,7,FALSE))</f>
        <v>1</v>
      </c>
      <c r="F728" s="7">
        <v>45913.09305555555</v>
      </c>
      <c r="G728" s="8">
        <v>8.295</v>
      </c>
    </row>
    <row r="729">
      <c r="A729" s="9" t="str">
        <f t="shared" ref="A729:A733" si="849">A728</f>
        <v>LOBDEC</v>
      </c>
      <c r="B729" s="9" t="str">
        <f>IF(ISBLANK(A728),"",LEFT(B728,27)&amp;VALUE(RIGHT(B728,1)+1))</f>
        <v>DKF250911LOBDEC_20C_sample_2</v>
      </c>
      <c r="C729" s="6" t="str">
        <f t="shared" ref="C729:D729" si="848">C728</f>
        <v>Lobostemon decorus</v>
      </c>
      <c r="D729" s="6" t="str">
        <f t="shared" si="848"/>
        <v>20C</v>
      </c>
      <c r="E729" s="10">
        <f>IF(ISBLANK(A728),"",E728+1)</f>
        <v>2</v>
      </c>
      <c r="F729" s="11">
        <f t="shared" ref="F729:F733" si="851">F728</f>
        <v>45913.09306</v>
      </c>
      <c r="G729" s="8">
        <v>6.379</v>
      </c>
    </row>
    <row r="730">
      <c r="A730" s="9" t="str">
        <f t="shared" si="849"/>
        <v>LOBDEC</v>
      </c>
      <c r="B730" s="9" t="str">
        <f>IF(ISBLANK(A728),"",LEFT(B729,27)&amp;VALUE(RIGHT(B729,1)+1))</f>
        <v>DKF250911LOBDEC_20C_sample_3</v>
      </c>
      <c r="C730" s="6" t="str">
        <f t="shared" ref="C730:D730" si="850">C729</f>
        <v>Lobostemon decorus</v>
      </c>
      <c r="D730" s="6" t="str">
        <f t="shared" si="850"/>
        <v>20C</v>
      </c>
      <c r="E730" s="10">
        <f>IF(ISBLANK(A728),"",E729+1)</f>
        <v>3</v>
      </c>
      <c r="F730" s="11">
        <f t="shared" si="851"/>
        <v>45913.09306</v>
      </c>
      <c r="G730" s="8">
        <v>9.685</v>
      </c>
    </row>
    <row r="731">
      <c r="A731" s="9" t="str">
        <f t="shared" si="849"/>
        <v>LOBDEC</v>
      </c>
      <c r="B731" s="9" t="str">
        <f>IF(ISBLANK(A728),"",LEFT(B730,27)&amp;VALUE(RIGHT(B730,1)+1))</f>
        <v>DKF250911LOBDEC_20C_sample_4</v>
      </c>
      <c r="C731" s="6" t="str">
        <f t="shared" ref="C731:D731" si="852">C730</f>
        <v>Lobostemon decorus</v>
      </c>
      <c r="D731" s="6" t="str">
        <f t="shared" si="852"/>
        <v>20C</v>
      </c>
      <c r="E731" s="10">
        <f>IF(ISBLANK(A728),"",E730+1)</f>
        <v>4</v>
      </c>
      <c r="F731" s="11">
        <f t="shared" si="851"/>
        <v>45913.09306</v>
      </c>
      <c r="G731" s="8">
        <v>6.553</v>
      </c>
    </row>
    <row r="732">
      <c r="A732" s="9" t="str">
        <f t="shared" si="849"/>
        <v>LOBDEC</v>
      </c>
      <c r="B732" s="9" t="str">
        <f>IF(ISBLANK(A728),"",LEFT(B731,27)&amp;VALUE(RIGHT(B731,1)+1))</f>
        <v>DKF250911LOBDEC_20C_sample_5</v>
      </c>
      <c r="C732" s="6" t="str">
        <f t="shared" ref="C732:D732" si="853">C731</f>
        <v>Lobostemon decorus</v>
      </c>
      <c r="D732" s="6" t="str">
        <f t="shared" si="853"/>
        <v>20C</v>
      </c>
      <c r="E732" s="10">
        <f>IF(ISBLANK(A728),"",E731+1)</f>
        <v>5</v>
      </c>
      <c r="F732" s="11">
        <f t="shared" si="851"/>
        <v>45913.09306</v>
      </c>
      <c r="G732" s="8">
        <v>4.587</v>
      </c>
    </row>
    <row r="733">
      <c r="A733" s="12" t="str">
        <f t="shared" si="849"/>
        <v>LOBDEC</v>
      </c>
      <c r="B733" s="12" t="str">
        <f>IF(ISBLANK(A728),"",LEFT(B732,27)&amp;VALUE(RIGHT(B732,1)+1))</f>
        <v>DKF250911LOBDEC_20C_sample_6</v>
      </c>
      <c r="C733" s="13" t="str">
        <f t="shared" ref="C733:D733" si="854">C732</f>
        <v>Lobostemon decorus</v>
      </c>
      <c r="D733" s="13" t="str">
        <f t="shared" si="854"/>
        <v>20C</v>
      </c>
      <c r="E733" s="14">
        <f>IF(ISBLANK(A728),"",E732+1)</f>
        <v>6</v>
      </c>
      <c r="F733" s="15">
        <f t="shared" si="851"/>
        <v>45913.09306</v>
      </c>
      <c r="G733" s="16">
        <v>4.408</v>
      </c>
    </row>
    <row r="734">
      <c r="A734" s="5" t="s">
        <v>16</v>
      </c>
      <c r="B734" s="6" t="str">
        <f>IF(ISBLANK(A734),"",VLOOKUP($A734,'Data Feed (20C)'!$A$1:$G$14,2,FALSE))</f>
        <v>DKR250911MICPOL_20C_sample_1</v>
      </c>
      <c r="C734" s="6" t="str">
        <f>IF(ISBLANK(A734),"",VLOOKUP($A734,'Data Feed (20C)'!$A$1:$G$14,3,FALSE))</f>
        <v>Microdon polygaloides</v>
      </c>
      <c r="D734" s="6" t="str">
        <f>IF(ISBLANK(A734),"",VLOOKUP($A734,'Data Feed (20C)'!$A$1:$G$14,4,FALSE))</f>
        <v>20C</v>
      </c>
      <c r="E734" s="6">
        <f>IF(ISBLANK(A734),"",VLOOKUP($A734,'Data Feed (20C)'!$A$1:$G$14,7,FALSE))</f>
        <v>1</v>
      </c>
      <c r="F734" s="7">
        <v>45913.09444444445</v>
      </c>
      <c r="G734" s="8">
        <v>1.573</v>
      </c>
    </row>
    <row r="735">
      <c r="A735" s="9" t="str">
        <f t="shared" ref="A735:A739" si="856">A734</f>
        <v>MICPOL</v>
      </c>
      <c r="B735" s="9" t="str">
        <f>IF(ISBLANK(A734),"",LEFT(B734,27)&amp;VALUE(RIGHT(B734,1)+1))</f>
        <v>DKR250911MICPOL_20C_sample_2</v>
      </c>
      <c r="C735" s="6" t="str">
        <f t="shared" ref="C735:D735" si="855">C734</f>
        <v>Microdon polygaloides</v>
      </c>
      <c r="D735" s="6" t="str">
        <f t="shared" si="855"/>
        <v>20C</v>
      </c>
      <c r="E735" s="10">
        <f>IF(ISBLANK(A734),"",E734+1)</f>
        <v>2</v>
      </c>
      <c r="F735" s="11">
        <f t="shared" ref="F735:F739" si="858">F734</f>
        <v>45913.09444</v>
      </c>
      <c r="G735" s="8">
        <v>0.928</v>
      </c>
    </row>
    <row r="736">
      <c r="A736" s="9" t="str">
        <f t="shared" si="856"/>
        <v>MICPOL</v>
      </c>
      <c r="B736" s="9" t="str">
        <f>IF(ISBLANK(A734),"",LEFT(B735,27)&amp;VALUE(RIGHT(B735,1)+1))</f>
        <v>DKR250911MICPOL_20C_sample_3</v>
      </c>
      <c r="C736" s="6" t="str">
        <f t="shared" ref="C736:D736" si="857">C735</f>
        <v>Microdon polygaloides</v>
      </c>
      <c r="D736" s="6" t="str">
        <f t="shared" si="857"/>
        <v>20C</v>
      </c>
      <c r="E736" s="10">
        <f>IF(ISBLANK(A734),"",E735+1)</f>
        <v>3</v>
      </c>
      <c r="F736" s="11">
        <f t="shared" si="858"/>
        <v>45913.09444</v>
      </c>
      <c r="G736" s="8">
        <v>0.383</v>
      </c>
    </row>
    <row r="737">
      <c r="A737" s="9" t="str">
        <f t="shared" si="856"/>
        <v>MICPOL</v>
      </c>
      <c r="B737" s="9" t="str">
        <f>IF(ISBLANK(A734),"",LEFT(B736,27)&amp;VALUE(RIGHT(B736,1)+1))</f>
        <v>DKR250911MICPOL_20C_sample_4</v>
      </c>
      <c r="C737" s="6" t="str">
        <f t="shared" ref="C737:D737" si="859">C736</f>
        <v>Microdon polygaloides</v>
      </c>
      <c r="D737" s="6" t="str">
        <f t="shared" si="859"/>
        <v>20C</v>
      </c>
      <c r="E737" s="10">
        <f>IF(ISBLANK(A734),"",E736+1)</f>
        <v>4</v>
      </c>
      <c r="F737" s="11">
        <f t="shared" si="858"/>
        <v>45913.09444</v>
      </c>
      <c r="G737" s="8">
        <v>0.189</v>
      </c>
    </row>
    <row r="738">
      <c r="A738" s="9" t="str">
        <f t="shared" si="856"/>
        <v>MICPOL</v>
      </c>
      <c r="B738" s="9" t="str">
        <f>IF(ISBLANK(A734),"",LEFT(B737,27)&amp;VALUE(RIGHT(B737,1)+1))</f>
        <v>DKR250911MICPOL_20C_sample_5</v>
      </c>
      <c r="C738" s="6" t="str">
        <f t="shared" ref="C738:D738" si="860">C737</f>
        <v>Microdon polygaloides</v>
      </c>
      <c r="D738" s="6" t="str">
        <f t="shared" si="860"/>
        <v>20C</v>
      </c>
      <c r="E738" s="10">
        <f>IF(ISBLANK(A734),"",E737+1)</f>
        <v>5</v>
      </c>
      <c r="F738" s="11">
        <f t="shared" si="858"/>
        <v>45913.09444</v>
      </c>
      <c r="G738" s="8">
        <v>0.3</v>
      </c>
    </row>
    <row r="739">
      <c r="A739" s="12" t="str">
        <f t="shared" si="856"/>
        <v>MICPOL</v>
      </c>
      <c r="B739" s="12" t="str">
        <f>IF(ISBLANK(A734),"",LEFT(B738,27)&amp;VALUE(RIGHT(B738,1)+1))</f>
        <v>DKR250911MICPOL_20C_sample_6</v>
      </c>
      <c r="C739" s="13" t="str">
        <f t="shared" ref="C739:D739" si="861">C738</f>
        <v>Microdon polygaloides</v>
      </c>
      <c r="D739" s="13" t="str">
        <f t="shared" si="861"/>
        <v>20C</v>
      </c>
      <c r="E739" s="14">
        <f>IF(ISBLANK(A734),"",E738+1)</f>
        <v>6</v>
      </c>
      <c r="F739" s="15">
        <f t="shared" si="858"/>
        <v>45913.09444</v>
      </c>
      <c r="G739" s="16">
        <v>0.246</v>
      </c>
    </row>
    <row r="740">
      <c r="A740" s="5" t="s">
        <v>17</v>
      </c>
      <c r="B740" s="6" t="str">
        <f>IF(ISBLANK(A740),"",VLOOKUP($A740,'Data Feed (20C)'!$A$1:$G$14,2,FALSE))</f>
        <v>DKR250911OEDSQU_20C_sample_1</v>
      </c>
      <c r="C740" s="6" t="str">
        <f>IF(ISBLANK(A740),"",VLOOKUP($A740,'Data Feed (20C)'!$A$1:$G$14,3,FALSE))</f>
        <v>Oedera squarrosa</v>
      </c>
      <c r="D740" s="6" t="str">
        <f>IF(ISBLANK(A740),"",VLOOKUP($A740,'Data Feed (20C)'!$A$1:$G$14,4,FALSE))</f>
        <v>20C</v>
      </c>
      <c r="E740" s="6">
        <f>IF(ISBLANK(A740),"",VLOOKUP($A740,'Data Feed (20C)'!$A$1:$G$14,7,FALSE))</f>
        <v>1</v>
      </c>
      <c r="F740" s="7">
        <v>45913.09583333333</v>
      </c>
      <c r="G740" s="8">
        <v>1.227</v>
      </c>
    </row>
    <row r="741">
      <c r="A741" s="9" t="str">
        <f t="shared" ref="A741:A745" si="863">A740</f>
        <v>OEDSQU</v>
      </c>
      <c r="B741" s="9" t="str">
        <f>IF(ISBLANK(A740),"",LEFT(B740,27)&amp;VALUE(RIGHT(B740,1)+1))</f>
        <v>DKR250911OEDSQU_20C_sample_2</v>
      </c>
      <c r="C741" s="6" t="str">
        <f t="shared" ref="C741:D741" si="862">C740</f>
        <v>Oedera squarrosa</v>
      </c>
      <c r="D741" s="6" t="str">
        <f t="shared" si="862"/>
        <v>20C</v>
      </c>
      <c r="E741" s="10">
        <f>IF(ISBLANK(A740),"",E740+1)</f>
        <v>2</v>
      </c>
      <c r="F741" s="11">
        <f t="shared" ref="F741:F745" si="865">F740</f>
        <v>45913.09583</v>
      </c>
      <c r="G741" s="8">
        <v>1.011</v>
      </c>
    </row>
    <row r="742">
      <c r="A742" s="9" t="str">
        <f t="shared" si="863"/>
        <v>OEDSQU</v>
      </c>
      <c r="B742" s="9" t="str">
        <f>IF(ISBLANK(A740),"",LEFT(B741,27)&amp;VALUE(RIGHT(B741,1)+1))</f>
        <v>DKR250911OEDSQU_20C_sample_3</v>
      </c>
      <c r="C742" s="6" t="str">
        <f t="shared" ref="C742:D742" si="864">C741</f>
        <v>Oedera squarrosa</v>
      </c>
      <c r="D742" s="6" t="str">
        <f t="shared" si="864"/>
        <v>20C</v>
      </c>
      <c r="E742" s="10">
        <f>IF(ISBLANK(A740),"",E741+1)</f>
        <v>3</v>
      </c>
      <c r="F742" s="11">
        <f t="shared" si="865"/>
        <v>45913.09583</v>
      </c>
      <c r="G742" s="8">
        <v>1.459</v>
      </c>
    </row>
    <row r="743">
      <c r="A743" s="9" t="str">
        <f t="shared" si="863"/>
        <v>OEDSQU</v>
      </c>
      <c r="B743" s="9" t="str">
        <f>IF(ISBLANK(A740),"",LEFT(B742,27)&amp;VALUE(RIGHT(B742,1)+1))</f>
        <v>DKR250911OEDSQU_20C_sample_4</v>
      </c>
      <c r="C743" s="6" t="str">
        <f t="shared" ref="C743:D743" si="866">C742</f>
        <v>Oedera squarrosa</v>
      </c>
      <c r="D743" s="6" t="str">
        <f t="shared" si="866"/>
        <v>20C</v>
      </c>
      <c r="E743" s="10">
        <f>IF(ISBLANK(A740),"",E742+1)</f>
        <v>4</v>
      </c>
      <c r="F743" s="11">
        <f t="shared" si="865"/>
        <v>45913.09583</v>
      </c>
      <c r="G743" s="8">
        <v>1.418</v>
      </c>
    </row>
    <row r="744">
      <c r="A744" s="9" t="str">
        <f t="shared" si="863"/>
        <v>OEDSQU</v>
      </c>
      <c r="B744" s="9" t="str">
        <f>IF(ISBLANK(A740),"",LEFT(B743,27)&amp;VALUE(RIGHT(B743,1)+1))</f>
        <v>DKR250911OEDSQU_20C_sample_5</v>
      </c>
      <c r="C744" s="6" t="str">
        <f t="shared" ref="C744:D744" si="867">C743</f>
        <v>Oedera squarrosa</v>
      </c>
      <c r="D744" s="6" t="str">
        <f t="shared" si="867"/>
        <v>20C</v>
      </c>
      <c r="E744" s="10">
        <f>IF(ISBLANK(A740),"",E743+1)</f>
        <v>5</v>
      </c>
      <c r="F744" s="11">
        <f t="shared" si="865"/>
        <v>45913.09583</v>
      </c>
      <c r="G744" s="8">
        <v>0.657</v>
      </c>
    </row>
    <row r="745">
      <c r="A745" s="12" t="str">
        <f t="shared" si="863"/>
        <v>OEDSQU</v>
      </c>
      <c r="B745" s="12" t="str">
        <f>IF(ISBLANK(A740),"",LEFT(B744,27)&amp;VALUE(RIGHT(B744,1)+1))</f>
        <v>DKR250911OEDSQU_20C_sample_6</v>
      </c>
      <c r="C745" s="13" t="str">
        <f t="shared" ref="C745:D745" si="868">C744</f>
        <v>Oedera squarrosa</v>
      </c>
      <c r="D745" s="13" t="str">
        <f t="shared" si="868"/>
        <v>20C</v>
      </c>
      <c r="E745" s="14">
        <f>IF(ISBLANK(A740),"",E744+1)</f>
        <v>6</v>
      </c>
      <c r="F745" s="15">
        <f t="shared" si="865"/>
        <v>45913.09583</v>
      </c>
      <c r="G745" s="16">
        <v>0.278</v>
      </c>
    </row>
    <row r="746">
      <c r="A746" s="5" t="s">
        <v>7</v>
      </c>
      <c r="B746" s="6" t="str">
        <f>IF(ISBLANK(A746),"",VLOOKUP($A746,'Data Feed (20C)'!$A$1:$G$14,2,FALSE))</f>
        <v>DKR250911PASOBT_20C_sample_1</v>
      </c>
      <c r="C746" s="6" t="str">
        <f>IF(ISBLANK(A746),"",VLOOKUP($A746,'Data Feed (20C)'!$A$1:$G$14,3,FALSE))</f>
        <v>Passerina obtusifolia</v>
      </c>
      <c r="D746" s="6" t="str">
        <f>IF(ISBLANK(A746),"",VLOOKUP($A746,'Data Feed (20C)'!$A$1:$G$14,4,FALSE))</f>
        <v>20C</v>
      </c>
      <c r="E746" s="6">
        <f>IF(ISBLANK(A746),"",VLOOKUP($A746,'Data Feed (20C)'!$A$1:$G$14,7,FALSE))</f>
        <v>1</v>
      </c>
      <c r="F746" s="7">
        <v>45913.097916666666</v>
      </c>
      <c r="G746" s="8">
        <v>3.011</v>
      </c>
    </row>
    <row r="747">
      <c r="A747" s="9" t="str">
        <f t="shared" ref="A747:A751" si="870">A746</f>
        <v>PASOBT</v>
      </c>
      <c r="B747" s="9" t="str">
        <f>IF(ISBLANK(A746),"",LEFT(B746,27)&amp;VALUE(RIGHT(B746,1)+1))</f>
        <v>DKR250911PASOBT_20C_sample_2</v>
      </c>
      <c r="C747" s="6" t="str">
        <f t="shared" ref="C747:D747" si="869">C746</f>
        <v>Passerina obtusifolia</v>
      </c>
      <c r="D747" s="6" t="str">
        <f t="shared" si="869"/>
        <v>20C</v>
      </c>
      <c r="E747" s="10">
        <f>IF(ISBLANK(A746),"",E746+1)</f>
        <v>2</v>
      </c>
      <c r="F747" s="11">
        <f t="shared" ref="F747:F751" si="872">F746</f>
        <v>45913.09792</v>
      </c>
      <c r="G747" s="8">
        <v>4.09</v>
      </c>
    </row>
    <row r="748">
      <c r="A748" s="9" t="str">
        <f t="shared" si="870"/>
        <v>PASOBT</v>
      </c>
      <c r="B748" s="9" t="str">
        <f>IF(ISBLANK(A746),"",LEFT(B747,27)&amp;VALUE(RIGHT(B747,1)+1))</f>
        <v>DKR250911PASOBT_20C_sample_3</v>
      </c>
      <c r="C748" s="6" t="str">
        <f t="shared" ref="C748:D748" si="871">C747</f>
        <v>Passerina obtusifolia</v>
      </c>
      <c r="D748" s="6" t="str">
        <f t="shared" si="871"/>
        <v>20C</v>
      </c>
      <c r="E748" s="10">
        <f>IF(ISBLANK(A746),"",E747+1)</f>
        <v>3</v>
      </c>
      <c r="F748" s="11">
        <f t="shared" si="872"/>
        <v>45913.09792</v>
      </c>
      <c r="G748" s="8">
        <v>1.422</v>
      </c>
    </row>
    <row r="749">
      <c r="A749" s="9" t="str">
        <f t="shared" si="870"/>
        <v>PASOBT</v>
      </c>
      <c r="B749" s="9" t="str">
        <f>IF(ISBLANK(A746),"",LEFT(B748,27)&amp;VALUE(RIGHT(B748,1)+1))</f>
        <v>DKR250911PASOBT_20C_sample_4</v>
      </c>
      <c r="C749" s="6" t="str">
        <f t="shared" ref="C749:D749" si="873">C748</f>
        <v>Passerina obtusifolia</v>
      </c>
      <c r="D749" s="6" t="str">
        <f t="shared" si="873"/>
        <v>20C</v>
      </c>
      <c r="E749" s="10">
        <f>IF(ISBLANK(A746),"",E748+1)</f>
        <v>4</v>
      </c>
      <c r="F749" s="11">
        <f t="shared" si="872"/>
        <v>45913.09792</v>
      </c>
      <c r="G749" s="8">
        <v>1.992</v>
      </c>
    </row>
    <row r="750">
      <c r="A750" s="9" t="str">
        <f t="shared" si="870"/>
        <v>PASOBT</v>
      </c>
      <c r="B750" s="9" t="str">
        <f>IF(ISBLANK(A746),"",LEFT(B749,27)&amp;VALUE(RIGHT(B749,1)+1))</f>
        <v>DKR250911PASOBT_20C_sample_5</v>
      </c>
      <c r="C750" s="6" t="str">
        <f t="shared" ref="C750:D750" si="874">C749</f>
        <v>Passerina obtusifolia</v>
      </c>
      <c r="D750" s="6" t="str">
        <f t="shared" si="874"/>
        <v>20C</v>
      </c>
      <c r="E750" s="10">
        <f>IF(ISBLANK(A746),"",E749+1)</f>
        <v>5</v>
      </c>
      <c r="F750" s="11">
        <f t="shared" si="872"/>
        <v>45913.09792</v>
      </c>
      <c r="G750" s="8">
        <v>1.642</v>
      </c>
    </row>
    <row r="751">
      <c r="A751" s="12" t="str">
        <f t="shared" si="870"/>
        <v>PASOBT</v>
      </c>
      <c r="B751" s="12" t="str">
        <f>IF(ISBLANK(A746),"",LEFT(B750,27)&amp;VALUE(RIGHT(B750,1)+1))</f>
        <v>DKR250911PASOBT_20C_sample_6</v>
      </c>
      <c r="C751" s="13" t="str">
        <f t="shared" ref="C751:D751" si="875">C750</f>
        <v>Passerina obtusifolia</v>
      </c>
      <c r="D751" s="13" t="str">
        <f t="shared" si="875"/>
        <v>20C</v>
      </c>
      <c r="E751" s="14">
        <f>IF(ISBLANK(A746),"",E750+1)</f>
        <v>6</v>
      </c>
      <c r="F751" s="15">
        <f t="shared" si="872"/>
        <v>45913.09792</v>
      </c>
      <c r="G751" s="16">
        <v>2.747</v>
      </c>
    </row>
    <row r="752">
      <c r="A752" s="5" t="s">
        <v>9</v>
      </c>
      <c r="B752" s="6" t="str">
        <f>IF(ISBLANK(A752),"",VLOOKUP($A752,'Data Feed (20C)'!$A$1:$G$14,2,FALSE))</f>
        <v>DKR250911PROLAU_20C_sample_1</v>
      </c>
      <c r="C752" s="6" t="str">
        <f>IF(ISBLANK(A752),"",VLOOKUP($A752,'Data Feed (20C)'!$A$1:$G$14,3,FALSE))</f>
        <v>Protea laurifolia</v>
      </c>
      <c r="D752" s="6" t="str">
        <f>IF(ISBLANK(A752),"",VLOOKUP($A752,'Data Feed (20C)'!$A$1:$G$14,4,FALSE))</f>
        <v>20C</v>
      </c>
      <c r="E752" s="6">
        <f>IF(ISBLANK(A752),"",VLOOKUP($A752,'Data Feed (20C)'!$A$1:$G$14,7,FALSE))</f>
        <v>1</v>
      </c>
      <c r="F752" s="7">
        <v>45913.09930555556</v>
      </c>
      <c r="G752" s="8">
        <v>1.023</v>
      </c>
    </row>
    <row r="753">
      <c r="A753" s="9" t="str">
        <f t="shared" ref="A753:A757" si="877">A752</f>
        <v>PROLAU</v>
      </c>
      <c r="B753" s="9" t="str">
        <f>IF(ISBLANK(A752),"",LEFT(B752,27)&amp;VALUE(RIGHT(B752,1)+1))</f>
        <v>DKR250911PROLAU_20C_sample_2</v>
      </c>
      <c r="C753" s="6" t="str">
        <f t="shared" ref="C753:D753" si="876">C752</f>
        <v>Protea laurifolia</v>
      </c>
      <c r="D753" s="6" t="str">
        <f t="shared" si="876"/>
        <v>20C</v>
      </c>
      <c r="E753" s="10">
        <f>IF(ISBLANK(A752),"",E752+1)</f>
        <v>2</v>
      </c>
      <c r="F753" s="11">
        <f t="shared" ref="F753:F757" si="879">F752</f>
        <v>45913.09931</v>
      </c>
      <c r="G753" s="8">
        <v>1.216</v>
      </c>
    </row>
    <row r="754">
      <c r="A754" s="9" t="str">
        <f t="shared" si="877"/>
        <v>PROLAU</v>
      </c>
      <c r="B754" s="9" t="str">
        <f>IF(ISBLANK(A752),"",LEFT(B753,27)&amp;VALUE(RIGHT(B753,1)+1))</f>
        <v>DKR250911PROLAU_20C_sample_3</v>
      </c>
      <c r="C754" s="6" t="str">
        <f t="shared" ref="C754:D754" si="878">C753</f>
        <v>Protea laurifolia</v>
      </c>
      <c r="D754" s="6" t="str">
        <f t="shared" si="878"/>
        <v>20C</v>
      </c>
      <c r="E754" s="10">
        <f>IF(ISBLANK(A752),"",E753+1)</f>
        <v>3</v>
      </c>
      <c r="F754" s="11">
        <f t="shared" si="879"/>
        <v>45913.09931</v>
      </c>
      <c r="G754" s="8">
        <v>1.131</v>
      </c>
    </row>
    <row r="755">
      <c r="A755" s="9" t="str">
        <f t="shared" si="877"/>
        <v>PROLAU</v>
      </c>
      <c r="B755" s="9" t="str">
        <f>IF(ISBLANK(A752),"",LEFT(B754,27)&amp;VALUE(RIGHT(B754,1)+1))</f>
        <v>DKR250911PROLAU_20C_sample_4</v>
      </c>
      <c r="C755" s="6" t="str">
        <f t="shared" ref="C755:D755" si="880">C754</f>
        <v>Protea laurifolia</v>
      </c>
      <c r="D755" s="6" t="str">
        <f t="shared" si="880"/>
        <v>20C</v>
      </c>
      <c r="E755" s="10">
        <f>IF(ISBLANK(A752),"",E754+1)</f>
        <v>4</v>
      </c>
      <c r="F755" s="11">
        <f t="shared" si="879"/>
        <v>45913.09931</v>
      </c>
      <c r="G755" s="8">
        <v>0.543</v>
      </c>
    </row>
    <row r="756">
      <c r="A756" s="9" t="str">
        <f t="shared" si="877"/>
        <v>PROLAU</v>
      </c>
      <c r="B756" s="9" t="str">
        <f>IF(ISBLANK(A752),"",LEFT(B755,27)&amp;VALUE(RIGHT(B755,1)+1))</f>
        <v>DKR250911PROLAU_20C_sample_5</v>
      </c>
      <c r="C756" s="6" t="str">
        <f t="shared" ref="C756:D756" si="881">C755</f>
        <v>Protea laurifolia</v>
      </c>
      <c r="D756" s="6" t="str">
        <f t="shared" si="881"/>
        <v>20C</v>
      </c>
      <c r="E756" s="10">
        <f>IF(ISBLANK(A752),"",E755+1)</f>
        <v>5</v>
      </c>
      <c r="F756" s="11">
        <f t="shared" si="879"/>
        <v>45913.09931</v>
      </c>
      <c r="G756" s="8">
        <v>0.952</v>
      </c>
    </row>
    <row r="757">
      <c r="A757" s="12" t="str">
        <f t="shared" si="877"/>
        <v>PROLAU</v>
      </c>
      <c r="B757" s="12" t="str">
        <f>IF(ISBLANK(A752),"",LEFT(B756,27)&amp;VALUE(RIGHT(B756,1)+1))</f>
        <v>DKR250911PROLAU_20C_sample_6</v>
      </c>
      <c r="C757" s="13" t="str">
        <f t="shared" ref="C757:D757" si="882">C756</f>
        <v>Protea laurifolia</v>
      </c>
      <c r="D757" s="13" t="str">
        <f t="shared" si="882"/>
        <v>20C</v>
      </c>
      <c r="E757" s="14">
        <f>IF(ISBLANK(A752),"",E756+1)</f>
        <v>6</v>
      </c>
      <c r="F757" s="15">
        <f t="shared" si="879"/>
        <v>45913.09931</v>
      </c>
      <c r="G757" s="16">
        <v>0.975</v>
      </c>
    </row>
    <row r="758">
      <c r="A758" s="5" t="s">
        <v>8</v>
      </c>
      <c r="B758" s="6" t="str">
        <f>IF(ISBLANK(A758),"",VLOOKUP($A758,'Data Feed (20C)'!$A$1:$G$14,2,FALSE))</f>
        <v>DKF250911PROLOR_20C_sample_1</v>
      </c>
      <c r="C758" s="6" t="str">
        <f>IF(ISBLANK(A758),"",VLOOKUP($A758,'Data Feed (20C)'!$A$1:$G$14,3,FALSE))</f>
        <v>Protea lorifolia</v>
      </c>
      <c r="D758" s="6" t="str">
        <f>IF(ISBLANK(A758),"",VLOOKUP($A758,'Data Feed (20C)'!$A$1:$G$14,4,FALSE))</f>
        <v>20C</v>
      </c>
      <c r="E758" s="6">
        <f>IF(ISBLANK(A758),"",VLOOKUP($A758,'Data Feed (20C)'!$A$1:$G$14,7,FALSE))</f>
        <v>1</v>
      </c>
      <c r="F758" s="7">
        <v>45913.10138888889</v>
      </c>
      <c r="G758" s="8">
        <v>3.259</v>
      </c>
    </row>
    <row r="759">
      <c r="A759" s="9" t="str">
        <f t="shared" ref="A759:A763" si="884">A758</f>
        <v>PROLOR</v>
      </c>
      <c r="B759" s="9" t="str">
        <f>IF(ISBLANK(A758),"",LEFT(B758,27)&amp;VALUE(RIGHT(B758,1)+1))</f>
        <v>DKF250911PROLOR_20C_sample_2</v>
      </c>
      <c r="C759" s="6" t="str">
        <f t="shared" ref="C759:D759" si="883">C758</f>
        <v>Protea lorifolia</v>
      </c>
      <c r="D759" s="6" t="str">
        <f t="shared" si="883"/>
        <v>20C</v>
      </c>
      <c r="E759" s="10">
        <f>IF(ISBLANK(A758),"",E758+1)</f>
        <v>2</v>
      </c>
      <c r="F759" s="11">
        <f t="shared" ref="F759:F763" si="886">F758</f>
        <v>45913.10139</v>
      </c>
      <c r="G759" s="8">
        <v>3.709</v>
      </c>
    </row>
    <row r="760">
      <c r="A760" s="9" t="str">
        <f t="shared" si="884"/>
        <v>PROLOR</v>
      </c>
      <c r="B760" s="9" t="str">
        <f>IF(ISBLANK(A758),"",LEFT(B759,27)&amp;VALUE(RIGHT(B759,1)+1))</f>
        <v>DKF250911PROLOR_20C_sample_3</v>
      </c>
      <c r="C760" s="6" t="str">
        <f t="shared" ref="C760:D760" si="885">C759</f>
        <v>Protea lorifolia</v>
      </c>
      <c r="D760" s="6" t="str">
        <f t="shared" si="885"/>
        <v>20C</v>
      </c>
      <c r="E760" s="10">
        <f>IF(ISBLANK(A758),"",E759+1)</f>
        <v>3</v>
      </c>
      <c r="F760" s="11">
        <f t="shared" si="886"/>
        <v>45913.10139</v>
      </c>
      <c r="G760" s="8">
        <v>3.907</v>
      </c>
    </row>
    <row r="761">
      <c r="A761" s="9" t="str">
        <f t="shared" si="884"/>
        <v>PROLOR</v>
      </c>
      <c r="B761" s="9" t="str">
        <f>IF(ISBLANK(A758),"",LEFT(B760,27)&amp;VALUE(RIGHT(B760,1)+1))</f>
        <v>DKF250911PROLOR_20C_sample_4</v>
      </c>
      <c r="C761" s="6" t="str">
        <f t="shared" ref="C761:D761" si="887">C760</f>
        <v>Protea lorifolia</v>
      </c>
      <c r="D761" s="6" t="str">
        <f t="shared" si="887"/>
        <v>20C</v>
      </c>
      <c r="E761" s="10">
        <f>IF(ISBLANK(A758),"",E760+1)</f>
        <v>4</v>
      </c>
      <c r="F761" s="11">
        <f t="shared" si="886"/>
        <v>45913.10139</v>
      </c>
      <c r="G761" s="8">
        <v>3.044</v>
      </c>
    </row>
    <row r="762">
      <c r="A762" s="9" t="str">
        <f t="shared" si="884"/>
        <v>PROLOR</v>
      </c>
      <c r="B762" s="9" t="str">
        <f>IF(ISBLANK(A758),"",LEFT(B761,27)&amp;VALUE(RIGHT(B761,1)+1))</f>
        <v>DKF250911PROLOR_20C_sample_5</v>
      </c>
      <c r="C762" s="6" t="str">
        <f t="shared" ref="C762:D762" si="888">C761</f>
        <v>Protea lorifolia</v>
      </c>
      <c r="D762" s="6" t="str">
        <f t="shared" si="888"/>
        <v>20C</v>
      </c>
      <c r="E762" s="10">
        <f>IF(ISBLANK(A758),"",E761+1)</f>
        <v>5</v>
      </c>
      <c r="F762" s="11">
        <f t="shared" si="886"/>
        <v>45913.10139</v>
      </c>
      <c r="G762" s="8">
        <v>5.776</v>
      </c>
    </row>
    <row r="763">
      <c r="A763" s="12" t="str">
        <f t="shared" si="884"/>
        <v>PROLOR</v>
      </c>
      <c r="B763" s="12" t="str">
        <f>IF(ISBLANK(A758),"",LEFT(B762,27)&amp;VALUE(RIGHT(B762,1)+1))</f>
        <v>DKF250911PROLOR_20C_sample_6</v>
      </c>
      <c r="C763" s="13" t="str">
        <f t="shared" ref="C763:D763" si="889">C762</f>
        <v>Protea lorifolia</v>
      </c>
      <c r="D763" s="13" t="str">
        <f t="shared" si="889"/>
        <v>20C</v>
      </c>
      <c r="E763" s="14">
        <f>IF(ISBLANK(A758),"",E762+1)</f>
        <v>6</v>
      </c>
      <c r="F763" s="15">
        <f t="shared" si="886"/>
        <v>45913.10139</v>
      </c>
      <c r="G763" s="16">
        <v>4.7</v>
      </c>
    </row>
    <row r="764">
      <c r="A764" s="5" t="s">
        <v>13</v>
      </c>
      <c r="B764" s="6" t="str">
        <f>IF(ISBLANK(A764),"",VLOOKUP($A764,'Data Feed (20C)'!$A$1:$G$14,2,FALSE))</f>
        <v>DKR250911RUSMUL_20C_sample_1</v>
      </c>
      <c r="C764" s="6" t="str">
        <f>IF(ISBLANK(A764),"",VLOOKUP($A764,'Data Feed (20C)'!$A$1:$G$14,3,FALSE))</f>
        <v>Ruschia multiflora</v>
      </c>
      <c r="D764" s="6" t="str">
        <f>IF(ISBLANK(A764),"",VLOOKUP($A764,'Data Feed (20C)'!$A$1:$G$14,4,FALSE))</f>
        <v>20C</v>
      </c>
      <c r="E764" s="6">
        <f>IF(ISBLANK(A764),"",VLOOKUP($A764,'Data Feed (20C)'!$A$1:$G$14,7,FALSE))</f>
        <v>1</v>
      </c>
      <c r="F764" s="7">
        <v>45913.103472222225</v>
      </c>
      <c r="G764" s="8">
        <v>3.28</v>
      </c>
    </row>
    <row r="765">
      <c r="A765" s="9" t="str">
        <f t="shared" ref="A765:A769" si="891">A764</f>
        <v>RUSMUL</v>
      </c>
      <c r="B765" s="9" t="str">
        <f>IF(ISBLANK(A764),"",LEFT(B764,27)&amp;VALUE(RIGHT(B764,1)+1))</f>
        <v>DKR250911RUSMUL_20C_sample_2</v>
      </c>
      <c r="C765" s="6" t="str">
        <f t="shared" ref="C765:D765" si="890">C764</f>
        <v>Ruschia multiflora</v>
      </c>
      <c r="D765" s="6" t="str">
        <f t="shared" si="890"/>
        <v>20C</v>
      </c>
      <c r="E765" s="10">
        <f>IF(ISBLANK(A764),"",E764+1)</f>
        <v>2</v>
      </c>
      <c r="F765" s="11">
        <f t="shared" ref="F765:F769" si="893">F764</f>
        <v>45913.10347</v>
      </c>
      <c r="G765" s="8">
        <v>4.205</v>
      </c>
    </row>
    <row r="766">
      <c r="A766" s="9" t="str">
        <f t="shared" si="891"/>
        <v>RUSMUL</v>
      </c>
      <c r="B766" s="9" t="str">
        <f>IF(ISBLANK(A764),"",LEFT(B765,27)&amp;VALUE(RIGHT(B765,1)+1))</f>
        <v>DKR250911RUSMUL_20C_sample_3</v>
      </c>
      <c r="C766" s="6" t="str">
        <f t="shared" ref="C766:D766" si="892">C765</f>
        <v>Ruschia multiflora</v>
      </c>
      <c r="D766" s="6" t="str">
        <f t="shared" si="892"/>
        <v>20C</v>
      </c>
      <c r="E766" s="10">
        <f>IF(ISBLANK(A764),"",E765+1)</f>
        <v>3</v>
      </c>
      <c r="F766" s="11">
        <f t="shared" si="893"/>
        <v>45913.10347</v>
      </c>
      <c r="G766" s="8">
        <v>8.078</v>
      </c>
    </row>
    <row r="767">
      <c r="A767" s="9" t="str">
        <f t="shared" si="891"/>
        <v>RUSMUL</v>
      </c>
      <c r="B767" s="9" t="str">
        <f>IF(ISBLANK(A764),"",LEFT(B766,27)&amp;VALUE(RIGHT(B766,1)+1))</f>
        <v>DKR250911RUSMUL_20C_sample_4</v>
      </c>
      <c r="C767" s="6" t="str">
        <f t="shared" ref="C767:D767" si="894">C766</f>
        <v>Ruschia multiflora</v>
      </c>
      <c r="D767" s="6" t="str">
        <f t="shared" si="894"/>
        <v>20C</v>
      </c>
      <c r="E767" s="10">
        <f>IF(ISBLANK(A764),"",E766+1)</f>
        <v>4</v>
      </c>
      <c r="F767" s="11">
        <f t="shared" si="893"/>
        <v>45913.10347</v>
      </c>
      <c r="G767" s="8">
        <v>4.396</v>
      </c>
    </row>
    <row r="768">
      <c r="A768" s="9" t="str">
        <f t="shared" si="891"/>
        <v>RUSMUL</v>
      </c>
      <c r="B768" s="9" t="str">
        <f>IF(ISBLANK(A764),"",LEFT(B767,27)&amp;VALUE(RIGHT(B767,1)+1))</f>
        <v>DKR250911RUSMUL_20C_sample_5</v>
      </c>
      <c r="C768" s="6" t="str">
        <f t="shared" ref="C768:D768" si="895">C767</f>
        <v>Ruschia multiflora</v>
      </c>
      <c r="D768" s="6" t="str">
        <f t="shared" si="895"/>
        <v>20C</v>
      </c>
      <c r="E768" s="10">
        <f>IF(ISBLANK(A764),"",E767+1)</f>
        <v>5</v>
      </c>
      <c r="F768" s="11">
        <f t="shared" si="893"/>
        <v>45913.10347</v>
      </c>
      <c r="G768" s="8">
        <v>3.666</v>
      </c>
    </row>
    <row r="769">
      <c r="A769" s="12" t="str">
        <f t="shared" si="891"/>
        <v>RUSMUL</v>
      </c>
      <c r="B769" s="12" t="str">
        <f>IF(ISBLANK(A764),"",LEFT(B768,27)&amp;VALUE(RIGHT(B768,1)+1))</f>
        <v>DKR250911RUSMUL_20C_sample_6</v>
      </c>
      <c r="C769" s="13" t="str">
        <f t="shared" ref="C769:D769" si="896">C768</f>
        <v>Ruschia multiflora</v>
      </c>
      <c r="D769" s="13" t="str">
        <f t="shared" si="896"/>
        <v>20C</v>
      </c>
      <c r="E769" s="14">
        <f>IF(ISBLANK(A764),"",E768+1)</f>
        <v>6</v>
      </c>
      <c r="F769" s="15">
        <f t="shared" si="893"/>
        <v>45913.10347</v>
      </c>
      <c r="G769" s="16">
        <v>3.069</v>
      </c>
    </row>
    <row r="770">
      <c r="A770" s="5" t="s">
        <v>11</v>
      </c>
      <c r="B770" s="6" t="str">
        <f>IF(ISBLANK(A770),"",VLOOKUP($A770,'Data Feed (20C)'!$A$1:$G$14,2,FALSE))</f>
        <v>DKF250911SELDOL_20C_sample_1</v>
      </c>
      <c r="C770" s="6" t="str">
        <f>IF(ISBLANK(A770),"",VLOOKUP($A770,'Data Feed (20C)'!$A$1:$G$14,3,FALSE))</f>
        <v>Selago dolosa</v>
      </c>
      <c r="D770" s="6" t="str">
        <f>IF(ISBLANK(A770),"",VLOOKUP($A770,'Data Feed (20C)'!$A$1:$G$14,4,FALSE))</f>
        <v>20C</v>
      </c>
      <c r="E770" s="6">
        <f>IF(ISBLANK(A770),"",VLOOKUP($A770,'Data Feed (20C)'!$A$1:$G$14,7,FALSE))</f>
        <v>1</v>
      </c>
      <c r="F770" s="7">
        <v>45913.10486111111</v>
      </c>
      <c r="G770" s="8">
        <v>1.367</v>
      </c>
    </row>
    <row r="771">
      <c r="A771" s="9" t="str">
        <f t="shared" ref="A771:A775" si="898">A770</f>
        <v>SELDOL</v>
      </c>
      <c r="B771" s="9" t="str">
        <f>IF(ISBLANK(A770),"",LEFT(B770,27)&amp;VALUE(RIGHT(B770,1)+1))</f>
        <v>DKF250911SELDOL_20C_sample_2</v>
      </c>
      <c r="C771" s="6" t="str">
        <f t="shared" ref="C771:D771" si="897">C770</f>
        <v>Selago dolosa</v>
      </c>
      <c r="D771" s="6" t="str">
        <f t="shared" si="897"/>
        <v>20C</v>
      </c>
      <c r="E771" s="10">
        <f>IF(ISBLANK(A770),"",E770+1)</f>
        <v>2</v>
      </c>
      <c r="F771" s="11">
        <f t="shared" ref="F771:F775" si="900">F770</f>
        <v>45913.10486</v>
      </c>
      <c r="G771" s="8">
        <v>1.859</v>
      </c>
    </row>
    <row r="772">
      <c r="A772" s="9" t="str">
        <f t="shared" si="898"/>
        <v>SELDOL</v>
      </c>
      <c r="B772" s="9" t="str">
        <f>IF(ISBLANK(A770),"",LEFT(B771,27)&amp;VALUE(RIGHT(B771,1)+1))</f>
        <v>DKF250911SELDOL_20C_sample_3</v>
      </c>
      <c r="C772" s="6" t="str">
        <f t="shared" ref="C772:D772" si="899">C771</f>
        <v>Selago dolosa</v>
      </c>
      <c r="D772" s="6" t="str">
        <f t="shared" si="899"/>
        <v>20C</v>
      </c>
      <c r="E772" s="10">
        <f>IF(ISBLANK(A770),"",E771+1)</f>
        <v>3</v>
      </c>
      <c r="F772" s="11">
        <f t="shared" si="900"/>
        <v>45913.10486</v>
      </c>
      <c r="G772" s="8">
        <v>1.747</v>
      </c>
    </row>
    <row r="773">
      <c r="A773" s="9" t="str">
        <f t="shared" si="898"/>
        <v>SELDOL</v>
      </c>
      <c r="B773" s="9" t="str">
        <f>IF(ISBLANK(A770),"",LEFT(B772,27)&amp;VALUE(RIGHT(B772,1)+1))</f>
        <v>DKF250911SELDOL_20C_sample_4</v>
      </c>
      <c r="C773" s="6" t="str">
        <f t="shared" ref="C773:D773" si="901">C772</f>
        <v>Selago dolosa</v>
      </c>
      <c r="D773" s="6" t="str">
        <f t="shared" si="901"/>
        <v>20C</v>
      </c>
      <c r="E773" s="10">
        <f>IF(ISBLANK(A770),"",E772+1)</f>
        <v>4</v>
      </c>
      <c r="F773" s="11">
        <f t="shared" si="900"/>
        <v>45913.10486</v>
      </c>
      <c r="G773" s="8">
        <v>1.789</v>
      </c>
    </row>
    <row r="774">
      <c r="A774" s="9" t="str">
        <f t="shared" si="898"/>
        <v>SELDOL</v>
      </c>
      <c r="B774" s="9" t="str">
        <f>IF(ISBLANK(A770),"",LEFT(B773,27)&amp;VALUE(RIGHT(B773,1)+1))</f>
        <v>DKF250911SELDOL_20C_sample_5</v>
      </c>
      <c r="C774" s="6" t="str">
        <f t="shared" ref="C774:D774" si="902">C773</f>
        <v>Selago dolosa</v>
      </c>
      <c r="D774" s="6" t="str">
        <f t="shared" si="902"/>
        <v>20C</v>
      </c>
      <c r="E774" s="10">
        <f>IF(ISBLANK(A770),"",E773+1)</f>
        <v>5</v>
      </c>
      <c r="F774" s="11">
        <f t="shared" si="900"/>
        <v>45913.10486</v>
      </c>
      <c r="G774" s="8"/>
    </row>
    <row r="775">
      <c r="A775" s="12" t="str">
        <f t="shared" si="898"/>
        <v>SELDOL</v>
      </c>
      <c r="B775" s="12" t="str">
        <f>IF(ISBLANK(A770),"",LEFT(B774,27)&amp;VALUE(RIGHT(B774,1)+1))</f>
        <v>DKF250911SELDOL_20C_sample_6</v>
      </c>
      <c r="C775" s="13" t="str">
        <f t="shared" ref="C775:D775" si="903">C774</f>
        <v>Selago dolosa</v>
      </c>
      <c r="D775" s="13" t="str">
        <f t="shared" si="903"/>
        <v>20C</v>
      </c>
      <c r="E775" s="14">
        <f>IF(ISBLANK(A770),"",E774+1)</f>
        <v>6</v>
      </c>
      <c r="F775" s="15">
        <f t="shared" si="900"/>
        <v>45913.10486</v>
      </c>
      <c r="G775" s="16">
        <v>1.18</v>
      </c>
    </row>
    <row r="776">
      <c r="A776" s="5" t="s">
        <v>18</v>
      </c>
      <c r="B776" s="6" t="str">
        <f>IF(ISBLANK(A776),"",VLOOKUP($A776,'Data Feed (20C)'!$A$1:$G$14,2,FALSE))</f>
        <v>DKR250911WAHNOD_20C_sample_1</v>
      </c>
      <c r="C776" s="6" t="str">
        <f>IF(ISBLANK(A776),"",VLOOKUP($A776,'Data Feed (20C)'!$A$1:$G$14,3,FALSE))</f>
        <v>Wahlenbergia nodosa</v>
      </c>
      <c r="D776" s="6" t="str">
        <f>IF(ISBLANK(A776),"",VLOOKUP($A776,'Data Feed (20C)'!$A$1:$G$14,4,FALSE))</f>
        <v>20C</v>
      </c>
      <c r="E776" s="6">
        <f>IF(ISBLANK(A776),"",VLOOKUP($A776,'Data Feed (20C)'!$A$1:$G$14,7,FALSE))</f>
        <v>1</v>
      </c>
      <c r="F776" s="7">
        <v>45913.10625</v>
      </c>
      <c r="G776" s="8">
        <v>0.309</v>
      </c>
    </row>
    <row r="777">
      <c r="A777" s="9" t="str">
        <f t="shared" ref="A777:A781" si="905">A776</f>
        <v>WAHNOD</v>
      </c>
      <c r="B777" s="9" t="str">
        <f>IF(ISBLANK(A776),"",LEFT(B776,27)&amp;VALUE(RIGHT(B776,1)+1))</f>
        <v>DKR250911WAHNOD_20C_sample_2</v>
      </c>
      <c r="C777" s="6" t="str">
        <f t="shared" ref="C777:D777" si="904">C776</f>
        <v>Wahlenbergia nodosa</v>
      </c>
      <c r="D777" s="6" t="str">
        <f t="shared" si="904"/>
        <v>20C</v>
      </c>
      <c r="E777" s="10">
        <f>IF(ISBLANK(A776),"",E776+1)</f>
        <v>2</v>
      </c>
      <c r="F777" s="11">
        <f t="shared" ref="F777:F781" si="907">F776</f>
        <v>45913.10625</v>
      </c>
      <c r="G777" s="8">
        <v>0.175</v>
      </c>
    </row>
    <row r="778">
      <c r="A778" s="9" t="str">
        <f t="shared" si="905"/>
        <v>WAHNOD</v>
      </c>
      <c r="B778" s="9" t="str">
        <f>IF(ISBLANK(A776),"",LEFT(B777,27)&amp;VALUE(RIGHT(B777,1)+1))</f>
        <v>DKR250911WAHNOD_20C_sample_3</v>
      </c>
      <c r="C778" s="6" t="str">
        <f t="shared" ref="C778:D778" si="906">C777</f>
        <v>Wahlenbergia nodosa</v>
      </c>
      <c r="D778" s="6" t="str">
        <f t="shared" si="906"/>
        <v>20C</v>
      </c>
      <c r="E778" s="10">
        <f>IF(ISBLANK(A776),"",E777+1)</f>
        <v>3</v>
      </c>
      <c r="F778" s="11">
        <f t="shared" si="907"/>
        <v>45913.10625</v>
      </c>
      <c r="G778" s="8">
        <v>0.141</v>
      </c>
    </row>
    <row r="779">
      <c r="A779" s="9" t="str">
        <f t="shared" si="905"/>
        <v>WAHNOD</v>
      </c>
      <c r="B779" s="9" t="str">
        <f>IF(ISBLANK(A776),"",LEFT(B778,27)&amp;VALUE(RIGHT(B778,1)+1))</f>
        <v>DKR250911WAHNOD_20C_sample_4</v>
      </c>
      <c r="C779" s="6" t="str">
        <f t="shared" ref="C779:D779" si="908">C778</f>
        <v>Wahlenbergia nodosa</v>
      </c>
      <c r="D779" s="6" t="str">
        <f t="shared" si="908"/>
        <v>20C</v>
      </c>
      <c r="E779" s="10">
        <f>IF(ISBLANK(A776),"",E778+1)</f>
        <v>4</v>
      </c>
      <c r="F779" s="11">
        <f t="shared" si="907"/>
        <v>45913.10625</v>
      </c>
      <c r="G779" s="8">
        <v>0.678</v>
      </c>
    </row>
    <row r="780">
      <c r="A780" s="9" t="str">
        <f t="shared" si="905"/>
        <v>WAHNOD</v>
      </c>
      <c r="B780" s="9" t="str">
        <f>IF(ISBLANK(A776),"",LEFT(B779,27)&amp;VALUE(RIGHT(B779,1)+1))</f>
        <v>DKR250911WAHNOD_20C_sample_5</v>
      </c>
      <c r="C780" s="6" t="str">
        <f t="shared" ref="C780:D780" si="909">C779</f>
        <v>Wahlenbergia nodosa</v>
      </c>
      <c r="D780" s="6" t="str">
        <f t="shared" si="909"/>
        <v>20C</v>
      </c>
      <c r="E780" s="10">
        <f>IF(ISBLANK(A776),"",E779+1)</f>
        <v>5</v>
      </c>
      <c r="F780" s="11">
        <f t="shared" si="907"/>
        <v>45913.10625</v>
      </c>
      <c r="G780" s="8">
        <v>0.337</v>
      </c>
    </row>
    <row r="781">
      <c r="A781" s="12" t="str">
        <f t="shared" si="905"/>
        <v>WAHNOD</v>
      </c>
      <c r="B781" s="12" t="str">
        <f>IF(ISBLANK(A776),"",LEFT(B780,27)&amp;VALUE(RIGHT(B780,1)+1))</f>
        <v>DKR250911WAHNOD_20C_sample_6</v>
      </c>
      <c r="C781" s="13" t="str">
        <f t="shared" ref="C781:D781" si="910">C780</f>
        <v>Wahlenbergia nodosa</v>
      </c>
      <c r="D781" s="13" t="str">
        <f t="shared" si="910"/>
        <v>20C</v>
      </c>
      <c r="E781" s="14">
        <f>IF(ISBLANK(A776),"",E780+1)</f>
        <v>6</v>
      </c>
      <c r="F781" s="15">
        <f t="shared" si="907"/>
        <v>45913.10625</v>
      </c>
      <c r="G781" s="16">
        <v>0.399</v>
      </c>
    </row>
    <row r="782">
      <c r="A782" s="5" t="s">
        <v>12</v>
      </c>
      <c r="B782" s="6" t="str">
        <f>IF(ISBLANK(A782),"",VLOOKUP($A782,'Data Feed (20C)'!$A$1:$G$14,2,FALSE))</f>
        <v>DKF250911AGACAP_20C_sample_1</v>
      </c>
      <c r="C782" s="6" t="str">
        <f>IF(ISBLANK(A782),"",VLOOKUP($A782,'Data Feed (20C)'!$A$1:$G$14,3,FALSE))</f>
        <v>Agathosma capensis</v>
      </c>
      <c r="D782" s="6" t="str">
        <f>IF(ISBLANK(A782),"",VLOOKUP($A782,'Data Feed (20C)'!$A$1:$G$14,4,FALSE))</f>
        <v>20C</v>
      </c>
      <c r="E782" s="6">
        <f>IF(ISBLANK(A782),"",VLOOKUP($A782,'Data Feed (20C)'!$A$1:$G$14,7,FALSE))</f>
        <v>1</v>
      </c>
      <c r="F782" s="7">
        <v>45913.21388888889</v>
      </c>
      <c r="G782" s="8">
        <v>4.303</v>
      </c>
    </row>
    <row r="783">
      <c r="A783" s="9" t="str">
        <f t="shared" ref="A783:A787" si="912">A782</f>
        <v>AGACAP</v>
      </c>
      <c r="B783" s="9" t="str">
        <f>IF(ISBLANK(A782),"",LEFT(B782,27)&amp;VALUE(RIGHT(B782,1)+1))</f>
        <v>DKF250911AGACAP_20C_sample_2</v>
      </c>
      <c r="C783" s="6" t="str">
        <f t="shared" ref="C783:D783" si="911">C782</f>
        <v>Agathosma capensis</v>
      </c>
      <c r="D783" s="6" t="str">
        <f t="shared" si="911"/>
        <v>20C</v>
      </c>
      <c r="E783" s="10">
        <f>IF(ISBLANK(A782),"",E782+1)</f>
        <v>2</v>
      </c>
      <c r="F783" s="11">
        <f t="shared" ref="F783:F787" si="914">F782</f>
        <v>45913.21389</v>
      </c>
      <c r="G783" s="8">
        <v>1.608</v>
      </c>
    </row>
    <row r="784">
      <c r="A784" s="9" t="str">
        <f t="shared" si="912"/>
        <v>AGACAP</v>
      </c>
      <c r="B784" s="9" t="str">
        <f>IF(ISBLANK(A782),"",LEFT(B783,27)&amp;VALUE(RIGHT(B783,1)+1))</f>
        <v>DKF250911AGACAP_20C_sample_3</v>
      </c>
      <c r="C784" s="6" t="str">
        <f t="shared" ref="C784:D784" si="913">C783</f>
        <v>Agathosma capensis</v>
      </c>
      <c r="D784" s="6" t="str">
        <f t="shared" si="913"/>
        <v>20C</v>
      </c>
      <c r="E784" s="10">
        <f>IF(ISBLANK(A782),"",E783+1)</f>
        <v>3</v>
      </c>
      <c r="F784" s="11">
        <f t="shared" si="914"/>
        <v>45913.21389</v>
      </c>
      <c r="G784" s="8">
        <v>1.959</v>
      </c>
    </row>
    <row r="785">
      <c r="A785" s="9" t="str">
        <f t="shared" si="912"/>
        <v>AGACAP</v>
      </c>
      <c r="B785" s="9" t="str">
        <f>IF(ISBLANK(A782),"",LEFT(B784,27)&amp;VALUE(RIGHT(B784,1)+1))</f>
        <v>DKF250911AGACAP_20C_sample_4</v>
      </c>
      <c r="C785" s="6" t="str">
        <f t="shared" ref="C785:D785" si="915">C784</f>
        <v>Agathosma capensis</v>
      </c>
      <c r="D785" s="6" t="str">
        <f t="shared" si="915"/>
        <v>20C</v>
      </c>
      <c r="E785" s="10">
        <f>IF(ISBLANK(A782),"",E784+1)</f>
        <v>4</v>
      </c>
      <c r="F785" s="11">
        <f t="shared" si="914"/>
        <v>45913.21389</v>
      </c>
      <c r="G785" s="8">
        <v>1.379</v>
      </c>
    </row>
    <row r="786">
      <c r="A786" s="9" t="str">
        <f t="shared" si="912"/>
        <v>AGACAP</v>
      </c>
      <c r="B786" s="9" t="str">
        <f>IF(ISBLANK(A782),"",LEFT(B785,27)&amp;VALUE(RIGHT(B785,1)+1))</f>
        <v>DKF250911AGACAP_20C_sample_5</v>
      </c>
      <c r="C786" s="6" t="str">
        <f t="shared" ref="C786:D786" si="916">C785</f>
        <v>Agathosma capensis</v>
      </c>
      <c r="D786" s="6" t="str">
        <f t="shared" si="916"/>
        <v>20C</v>
      </c>
      <c r="E786" s="10">
        <f>IF(ISBLANK(A782),"",E785+1)</f>
        <v>5</v>
      </c>
      <c r="F786" s="11">
        <f t="shared" si="914"/>
        <v>45913.21389</v>
      </c>
      <c r="G786" s="8">
        <v>0.561</v>
      </c>
    </row>
    <row r="787">
      <c r="A787" s="12" t="str">
        <f t="shared" si="912"/>
        <v>AGACAP</v>
      </c>
      <c r="B787" s="12" t="str">
        <f>IF(ISBLANK(A782),"",LEFT(B786,27)&amp;VALUE(RIGHT(B786,1)+1))</f>
        <v>DKF250911AGACAP_20C_sample_6</v>
      </c>
      <c r="C787" s="13" t="str">
        <f t="shared" ref="C787:D787" si="917">C786</f>
        <v>Agathosma capensis</v>
      </c>
      <c r="D787" s="13" t="str">
        <f t="shared" si="917"/>
        <v>20C</v>
      </c>
      <c r="E787" s="14">
        <f>IF(ISBLANK(A782),"",E786+1)</f>
        <v>6</v>
      </c>
      <c r="F787" s="15">
        <f t="shared" si="914"/>
        <v>45913.21389</v>
      </c>
      <c r="G787" s="16">
        <v>1.555</v>
      </c>
    </row>
    <row r="788">
      <c r="A788" s="5" t="s">
        <v>14</v>
      </c>
      <c r="B788" s="6" t="str">
        <f>IF(ISBLANK(A788),"",VLOOKUP($A788,'Data Feed (20C)'!$A$1:$G$14,2,FALSE))</f>
        <v>DKF250911ASPSHA_20C_sample_1</v>
      </c>
      <c r="C788" s="6" t="str">
        <f>IF(ISBLANK(A788),"",VLOOKUP($A788,'Data Feed (20C)'!$A$1:$G$14,3,FALSE))</f>
        <v>Aspalathus shawii</v>
      </c>
      <c r="D788" s="6" t="str">
        <f>IF(ISBLANK(A788),"",VLOOKUP($A788,'Data Feed (20C)'!$A$1:$G$14,4,FALSE))</f>
        <v>20C</v>
      </c>
      <c r="E788" s="6">
        <f>IF(ISBLANK(A788),"",VLOOKUP($A788,'Data Feed (20C)'!$A$1:$G$14,7,FALSE))</f>
        <v>1</v>
      </c>
      <c r="F788" s="7">
        <v>45913.21597222222</v>
      </c>
      <c r="G788" s="8">
        <v>13.823</v>
      </c>
    </row>
    <row r="789">
      <c r="A789" s="9" t="str">
        <f t="shared" ref="A789:A793" si="919">A788</f>
        <v>ASPSHA</v>
      </c>
      <c r="B789" s="9" t="str">
        <f>IF(ISBLANK(A788),"",LEFT(B788,27)&amp;VALUE(RIGHT(B788,1)+1))</f>
        <v>DKF250911ASPSHA_20C_sample_2</v>
      </c>
      <c r="C789" s="6" t="str">
        <f t="shared" ref="C789:D789" si="918">C788</f>
        <v>Aspalathus shawii</v>
      </c>
      <c r="D789" s="6" t="str">
        <f t="shared" si="918"/>
        <v>20C</v>
      </c>
      <c r="E789" s="10">
        <f>IF(ISBLANK(A788),"",E788+1)</f>
        <v>2</v>
      </c>
      <c r="F789" s="11">
        <f t="shared" ref="F789:F793" si="921">F788</f>
        <v>45913.21597</v>
      </c>
      <c r="G789" s="8">
        <v>9.568</v>
      </c>
    </row>
    <row r="790">
      <c r="A790" s="9" t="str">
        <f t="shared" si="919"/>
        <v>ASPSHA</v>
      </c>
      <c r="B790" s="9" t="str">
        <f>IF(ISBLANK(A788),"",LEFT(B789,27)&amp;VALUE(RIGHT(B789,1)+1))</f>
        <v>DKF250911ASPSHA_20C_sample_3</v>
      </c>
      <c r="C790" s="6" t="str">
        <f t="shared" ref="C790:D790" si="920">C789</f>
        <v>Aspalathus shawii</v>
      </c>
      <c r="D790" s="6" t="str">
        <f t="shared" si="920"/>
        <v>20C</v>
      </c>
      <c r="E790" s="10">
        <f>IF(ISBLANK(A788),"",E789+1)</f>
        <v>3</v>
      </c>
      <c r="F790" s="11">
        <f t="shared" si="921"/>
        <v>45913.21597</v>
      </c>
      <c r="G790" s="8">
        <v>5.42</v>
      </c>
    </row>
    <row r="791">
      <c r="A791" s="9" t="str">
        <f t="shared" si="919"/>
        <v>ASPSHA</v>
      </c>
      <c r="B791" s="9" t="str">
        <f>IF(ISBLANK(A788),"",LEFT(B790,27)&amp;VALUE(RIGHT(B790,1)+1))</f>
        <v>DKF250911ASPSHA_20C_sample_4</v>
      </c>
      <c r="C791" s="6" t="str">
        <f t="shared" ref="C791:D791" si="922">C790</f>
        <v>Aspalathus shawii</v>
      </c>
      <c r="D791" s="6" t="str">
        <f t="shared" si="922"/>
        <v>20C</v>
      </c>
      <c r="E791" s="10">
        <f>IF(ISBLANK(A788),"",E790+1)</f>
        <v>4</v>
      </c>
      <c r="F791" s="11">
        <f t="shared" si="921"/>
        <v>45913.21597</v>
      </c>
      <c r="G791" s="8">
        <v>13.285</v>
      </c>
    </row>
    <row r="792">
      <c r="A792" s="9" t="str">
        <f t="shared" si="919"/>
        <v>ASPSHA</v>
      </c>
      <c r="B792" s="9" t="str">
        <f>IF(ISBLANK(A788),"",LEFT(B791,27)&amp;VALUE(RIGHT(B791,1)+1))</f>
        <v>DKF250911ASPSHA_20C_sample_5</v>
      </c>
      <c r="C792" s="6" t="str">
        <f t="shared" ref="C792:D792" si="923">C791</f>
        <v>Aspalathus shawii</v>
      </c>
      <c r="D792" s="6" t="str">
        <f t="shared" si="923"/>
        <v>20C</v>
      </c>
      <c r="E792" s="10">
        <f>IF(ISBLANK(A788),"",E791+1)</f>
        <v>5</v>
      </c>
      <c r="F792" s="11">
        <f t="shared" si="921"/>
        <v>45913.21597</v>
      </c>
      <c r="G792" s="8">
        <v>3.948</v>
      </c>
    </row>
    <row r="793">
      <c r="A793" s="12" t="str">
        <f t="shared" si="919"/>
        <v>ASPSHA</v>
      </c>
      <c r="B793" s="12" t="str">
        <f>IF(ISBLANK(A788),"",LEFT(B792,27)&amp;VALUE(RIGHT(B792,1)+1))</f>
        <v>DKF250911ASPSHA_20C_sample_6</v>
      </c>
      <c r="C793" s="13" t="str">
        <f t="shared" ref="C793:D793" si="924">C792</f>
        <v>Aspalathus shawii</v>
      </c>
      <c r="D793" s="13" t="str">
        <f t="shared" si="924"/>
        <v>20C</v>
      </c>
      <c r="E793" s="14">
        <f>IF(ISBLANK(A788),"",E792+1)</f>
        <v>6</v>
      </c>
      <c r="F793" s="15">
        <f t="shared" si="921"/>
        <v>45913.21597</v>
      </c>
      <c r="G793" s="16">
        <v>11.188</v>
      </c>
    </row>
    <row r="794">
      <c r="A794" s="5" t="s">
        <v>19</v>
      </c>
      <c r="B794" s="6" t="str">
        <f>IF(ISBLANK(A794),"",VLOOKUP($A794,'Data Feed (20C)'!$A$1:$G$14,2,FALSE))</f>
        <v>DKR250911CLURUB_20C_sample_1</v>
      </c>
      <c r="C794" s="6" t="str">
        <f>IF(ISBLANK(A794),"",VLOOKUP($A794,'Data Feed (20C)'!$A$1:$G$14,3,FALSE))</f>
        <v>Clutia rubricaulis</v>
      </c>
      <c r="D794" s="6" t="str">
        <f>IF(ISBLANK(A794),"",VLOOKUP($A794,'Data Feed (20C)'!$A$1:$G$14,4,FALSE))</f>
        <v>20C</v>
      </c>
      <c r="E794" s="6">
        <f>IF(ISBLANK(A794),"",VLOOKUP($A794,'Data Feed (20C)'!$A$1:$G$14,7,FALSE))</f>
        <v>1</v>
      </c>
      <c r="F794" s="7">
        <v>45913.217361111114</v>
      </c>
      <c r="G794" s="8">
        <v>0.367</v>
      </c>
    </row>
    <row r="795">
      <c r="A795" s="9" t="str">
        <f t="shared" ref="A795:A799" si="926">A794</f>
        <v>CLURUB</v>
      </c>
      <c r="B795" s="9" t="str">
        <f>IF(ISBLANK(A794),"",LEFT(B794,27)&amp;VALUE(RIGHT(B794,1)+1))</f>
        <v>DKR250911CLURUB_20C_sample_2</v>
      </c>
      <c r="C795" s="6" t="str">
        <f t="shared" ref="C795:D795" si="925">C794</f>
        <v>Clutia rubricaulis</v>
      </c>
      <c r="D795" s="6" t="str">
        <f t="shared" si="925"/>
        <v>20C</v>
      </c>
      <c r="E795" s="10">
        <f>IF(ISBLANK(A794),"",E794+1)</f>
        <v>2</v>
      </c>
      <c r="F795" s="11">
        <f t="shared" ref="F795:F799" si="928">F794</f>
        <v>45913.21736</v>
      </c>
      <c r="G795" s="8">
        <v>0.302</v>
      </c>
    </row>
    <row r="796">
      <c r="A796" s="9" t="str">
        <f t="shared" si="926"/>
        <v>CLURUB</v>
      </c>
      <c r="B796" s="9" t="str">
        <f>IF(ISBLANK(A794),"",LEFT(B795,27)&amp;VALUE(RIGHT(B795,1)+1))</f>
        <v>DKR250911CLURUB_20C_sample_3</v>
      </c>
      <c r="C796" s="6" t="str">
        <f t="shared" ref="C796:D796" si="927">C795</f>
        <v>Clutia rubricaulis</v>
      </c>
      <c r="D796" s="6" t="str">
        <f t="shared" si="927"/>
        <v>20C</v>
      </c>
      <c r="E796" s="10">
        <f>IF(ISBLANK(A794),"",E795+1)</f>
        <v>3</v>
      </c>
      <c r="F796" s="11">
        <f t="shared" si="928"/>
        <v>45913.21736</v>
      </c>
      <c r="G796" s="8">
        <v>0.398</v>
      </c>
    </row>
    <row r="797">
      <c r="A797" s="9" t="str">
        <f t="shared" si="926"/>
        <v>CLURUB</v>
      </c>
      <c r="B797" s="9" t="str">
        <f>IF(ISBLANK(A794),"",LEFT(B796,27)&amp;VALUE(RIGHT(B796,1)+1))</f>
        <v>DKR250911CLURUB_20C_sample_4</v>
      </c>
      <c r="C797" s="6" t="str">
        <f t="shared" ref="C797:D797" si="929">C796</f>
        <v>Clutia rubricaulis</v>
      </c>
      <c r="D797" s="6" t="str">
        <f t="shared" si="929"/>
        <v>20C</v>
      </c>
      <c r="E797" s="10">
        <f>IF(ISBLANK(A794),"",E796+1)</f>
        <v>4</v>
      </c>
      <c r="F797" s="11">
        <f t="shared" si="928"/>
        <v>45913.21736</v>
      </c>
      <c r="G797" s="8">
        <v>0.212</v>
      </c>
    </row>
    <row r="798">
      <c r="A798" s="9" t="str">
        <f t="shared" si="926"/>
        <v>CLURUB</v>
      </c>
      <c r="B798" s="9" t="str">
        <f>IF(ISBLANK(A794),"",LEFT(B797,27)&amp;VALUE(RIGHT(B797,1)+1))</f>
        <v>DKR250911CLURUB_20C_sample_5</v>
      </c>
      <c r="C798" s="6" t="str">
        <f t="shared" ref="C798:D798" si="930">C797</f>
        <v>Clutia rubricaulis</v>
      </c>
      <c r="D798" s="6" t="str">
        <f t="shared" si="930"/>
        <v>20C</v>
      </c>
      <c r="E798" s="10">
        <f>IF(ISBLANK(A794),"",E797+1)</f>
        <v>5</v>
      </c>
      <c r="F798" s="11">
        <f t="shared" si="928"/>
        <v>45913.21736</v>
      </c>
      <c r="G798" s="8">
        <v>0.389</v>
      </c>
    </row>
    <row r="799">
      <c r="A799" s="12" t="str">
        <f t="shared" si="926"/>
        <v>CLURUB</v>
      </c>
      <c r="B799" s="12" t="str">
        <f>IF(ISBLANK(A794),"",LEFT(B798,27)&amp;VALUE(RIGHT(B798,1)+1))</f>
        <v>DKR250911CLURUB_20C_sample_6</v>
      </c>
      <c r="C799" s="13" t="str">
        <f t="shared" ref="C799:D799" si="931">C798</f>
        <v>Clutia rubricaulis</v>
      </c>
      <c r="D799" s="13" t="str">
        <f t="shared" si="931"/>
        <v>20C</v>
      </c>
      <c r="E799" s="14">
        <f>IF(ISBLANK(A794),"",E798+1)</f>
        <v>6</v>
      </c>
      <c r="F799" s="15">
        <f t="shared" si="928"/>
        <v>45913.21736</v>
      </c>
      <c r="G799" s="16">
        <v>0.312</v>
      </c>
    </row>
    <row r="800">
      <c r="A800" s="5" t="s">
        <v>15</v>
      </c>
      <c r="B800" s="6" t="str">
        <f>IF(ISBLANK(A800),"",VLOOKUP($A800,'Data Feed (20C)'!$A$1:$G$14,2,FALSE))</f>
        <v>DKR250911ELYRHI_20C_sample_1</v>
      </c>
      <c r="C800" s="6" t="str">
        <f>IF(ISBLANK(A800),"",VLOOKUP($A800,'Data Feed (20C)'!$A$1:$G$14,3,FALSE))</f>
        <v>Elytropappus rhinocerotis</v>
      </c>
      <c r="D800" s="6" t="str">
        <f>IF(ISBLANK(A800),"",VLOOKUP($A800,'Data Feed (20C)'!$A$1:$G$14,4,FALSE))</f>
        <v>20C</v>
      </c>
      <c r="E800" s="6">
        <f>IF(ISBLANK(A800),"",VLOOKUP($A800,'Data Feed (20C)'!$A$1:$G$14,7,FALSE))</f>
        <v>1</v>
      </c>
      <c r="F800" s="7">
        <v>45913.21875</v>
      </c>
      <c r="G800" s="8">
        <v>3.359</v>
      </c>
    </row>
    <row r="801">
      <c r="A801" s="9" t="str">
        <f t="shared" ref="A801:A805" si="933">A800</f>
        <v>ELYRHI</v>
      </c>
      <c r="B801" s="9" t="str">
        <f>IF(ISBLANK(A800),"",LEFT(B800,27)&amp;VALUE(RIGHT(B800,1)+1))</f>
        <v>DKR250911ELYRHI_20C_sample_2</v>
      </c>
      <c r="C801" s="6" t="str">
        <f t="shared" ref="C801:D801" si="932">C800</f>
        <v>Elytropappus rhinocerotis</v>
      </c>
      <c r="D801" s="6" t="str">
        <f t="shared" si="932"/>
        <v>20C</v>
      </c>
      <c r="E801" s="10">
        <f>IF(ISBLANK(A800),"",E800+1)</f>
        <v>2</v>
      </c>
      <c r="F801" s="11">
        <f t="shared" ref="F801:F805" si="935">F800</f>
        <v>45913.21875</v>
      </c>
      <c r="G801" s="8">
        <v>3.582</v>
      </c>
    </row>
    <row r="802">
      <c r="A802" s="9" t="str">
        <f t="shared" si="933"/>
        <v>ELYRHI</v>
      </c>
      <c r="B802" s="9" t="str">
        <f>IF(ISBLANK(A800),"",LEFT(B801,27)&amp;VALUE(RIGHT(B801,1)+1))</f>
        <v>DKR250911ELYRHI_20C_sample_3</v>
      </c>
      <c r="C802" s="6" t="str">
        <f t="shared" ref="C802:D802" si="934">C801</f>
        <v>Elytropappus rhinocerotis</v>
      </c>
      <c r="D802" s="6" t="str">
        <f t="shared" si="934"/>
        <v>20C</v>
      </c>
      <c r="E802" s="10">
        <f>IF(ISBLANK(A800),"",E801+1)</f>
        <v>3</v>
      </c>
      <c r="F802" s="11">
        <f t="shared" si="935"/>
        <v>45913.21875</v>
      </c>
      <c r="G802" s="8">
        <v>6.233</v>
      </c>
    </row>
    <row r="803">
      <c r="A803" s="9" t="str">
        <f t="shared" si="933"/>
        <v>ELYRHI</v>
      </c>
      <c r="B803" s="9" t="str">
        <f>IF(ISBLANK(A800),"",LEFT(B802,27)&amp;VALUE(RIGHT(B802,1)+1))</f>
        <v>DKR250911ELYRHI_20C_sample_4</v>
      </c>
      <c r="C803" s="6" t="str">
        <f t="shared" ref="C803:D803" si="936">C802</f>
        <v>Elytropappus rhinocerotis</v>
      </c>
      <c r="D803" s="6" t="str">
        <f t="shared" si="936"/>
        <v>20C</v>
      </c>
      <c r="E803" s="10">
        <f>IF(ISBLANK(A800),"",E802+1)</f>
        <v>4</v>
      </c>
      <c r="F803" s="11">
        <f t="shared" si="935"/>
        <v>45913.21875</v>
      </c>
      <c r="G803" s="8">
        <v>3.608</v>
      </c>
    </row>
    <row r="804">
      <c r="A804" s="9" t="str">
        <f t="shared" si="933"/>
        <v>ELYRHI</v>
      </c>
      <c r="B804" s="9" t="str">
        <f>IF(ISBLANK(A800),"",LEFT(B803,27)&amp;VALUE(RIGHT(B803,1)+1))</f>
        <v>DKR250911ELYRHI_20C_sample_5</v>
      </c>
      <c r="C804" s="6" t="str">
        <f t="shared" ref="C804:D804" si="937">C803</f>
        <v>Elytropappus rhinocerotis</v>
      </c>
      <c r="D804" s="6" t="str">
        <f t="shared" si="937"/>
        <v>20C</v>
      </c>
      <c r="E804" s="10">
        <f>IF(ISBLANK(A800),"",E803+1)</f>
        <v>5</v>
      </c>
      <c r="F804" s="11">
        <f t="shared" si="935"/>
        <v>45913.21875</v>
      </c>
      <c r="G804" s="8">
        <v>2.374</v>
      </c>
    </row>
    <row r="805">
      <c r="A805" s="12" t="str">
        <f t="shared" si="933"/>
        <v>ELYRHI</v>
      </c>
      <c r="B805" s="12" t="str">
        <f>IF(ISBLANK(A800),"",LEFT(B804,27)&amp;VALUE(RIGHT(B804,1)+1))</f>
        <v>DKR250911ELYRHI_20C_sample_6</v>
      </c>
      <c r="C805" s="13" t="str">
        <f t="shared" ref="C805:D805" si="938">C804</f>
        <v>Elytropappus rhinocerotis</v>
      </c>
      <c r="D805" s="13" t="str">
        <f t="shared" si="938"/>
        <v>20C</v>
      </c>
      <c r="E805" s="14">
        <f>IF(ISBLANK(A800),"",E804+1)</f>
        <v>6</v>
      </c>
      <c r="F805" s="15">
        <f t="shared" si="935"/>
        <v>45913.21875</v>
      </c>
      <c r="G805" s="16">
        <v>1.943</v>
      </c>
    </row>
    <row r="806">
      <c r="A806" s="5" t="s">
        <v>10</v>
      </c>
      <c r="B806" s="6" t="str">
        <f>IF(ISBLANK(A806),"",VLOOKUP($A806,'Data Feed (20C)'!$A$1:$G$14,2,FALSE))</f>
        <v>DKF250911LOBDEC_20C_sample_1</v>
      </c>
      <c r="C806" s="6" t="str">
        <f>IF(ISBLANK(A806),"",VLOOKUP($A806,'Data Feed (20C)'!$A$1:$G$14,3,FALSE))</f>
        <v>Lobostemon decorus</v>
      </c>
      <c r="D806" s="6" t="str">
        <f>IF(ISBLANK(A806),"",VLOOKUP($A806,'Data Feed (20C)'!$A$1:$G$14,4,FALSE))</f>
        <v>20C</v>
      </c>
      <c r="E806" s="6">
        <f>IF(ISBLANK(A806),"",VLOOKUP($A806,'Data Feed (20C)'!$A$1:$G$14,7,FALSE))</f>
        <v>1</v>
      </c>
      <c r="F806" s="7">
        <v>45913.22083333333</v>
      </c>
      <c r="G806" s="8">
        <v>7.607</v>
      </c>
    </row>
    <row r="807">
      <c r="A807" s="9" t="str">
        <f t="shared" ref="A807:A811" si="940">A806</f>
        <v>LOBDEC</v>
      </c>
      <c r="B807" s="9" t="str">
        <f>IF(ISBLANK(A806),"",LEFT(B806,27)&amp;VALUE(RIGHT(B806,1)+1))</f>
        <v>DKF250911LOBDEC_20C_sample_2</v>
      </c>
      <c r="C807" s="6" t="str">
        <f t="shared" ref="C807:D807" si="939">C806</f>
        <v>Lobostemon decorus</v>
      </c>
      <c r="D807" s="6" t="str">
        <f t="shared" si="939"/>
        <v>20C</v>
      </c>
      <c r="E807" s="10">
        <f>IF(ISBLANK(A806),"",E806+1)</f>
        <v>2</v>
      </c>
      <c r="F807" s="11">
        <f t="shared" ref="F807:F811" si="942">F806</f>
        <v>45913.22083</v>
      </c>
      <c r="G807" s="8">
        <v>5.885</v>
      </c>
    </row>
    <row r="808">
      <c r="A808" s="9" t="str">
        <f t="shared" si="940"/>
        <v>LOBDEC</v>
      </c>
      <c r="B808" s="9" t="str">
        <f>IF(ISBLANK(A806),"",LEFT(B807,27)&amp;VALUE(RIGHT(B807,1)+1))</f>
        <v>DKF250911LOBDEC_20C_sample_3</v>
      </c>
      <c r="C808" s="6" t="str">
        <f t="shared" ref="C808:D808" si="941">C807</f>
        <v>Lobostemon decorus</v>
      </c>
      <c r="D808" s="6" t="str">
        <f t="shared" si="941"/>
        <v>20C</v>
      </c>
      <c r="E808" s="10">
        <f>IF(ISBLANK(A806),"",E807+1)</f>
        <v>3</v>
      </c>
      <c r="F808" s="11">
        <f t="shared" si="942"/>
        <v>45913.22083</v>
      </c>
      <c r="G808" s="8">
        <v>9.168</v>
      </c>
    </row>
    <row r="809">
      <c r="A809" s="9" t="str">
        <f t="shared" si="940"/>
        <v>LOBDEC</v>
      </c>
      <c r="B809" s="9" t="str">
        <f>IF(ISBLANK(A806),"",LEFT(B808,27)&amp;VALUE(RIGHT(B808,1)+1))</f>
        <v>DKF250911LOBDEC_20C_sample_4</v>
      </c>
      <c r="C809" s="6" t="str">
        <f t="shared" ref="C809:D809" si="943">C808</f>
        <v>Lobostemon decorus</v>
      </c>
      <c r="D809" s="6" t="str">
        <f t="shared" si="943"/>
        <v>20C</v>
      </c>
      <c r="E809" s="10">
        <f>IF(ISBLANK(A806),"",E808+1)</f>
        <v>4</v>
      </c>
      <c r="F809" s="11">
        <f t="shared" si="942"/>
        <v>45913.22083</v>
      </c>
      <c r="G809" s="8">
        <v>6.141</v>
      </c>
    </row>
    <row r="810">
      <c r="A810" s="9" t="str">
        <f t="shared" si="940"/>
        <v>LOBDEC</v>
      </c>
      <c r="B810" s="9" t="str">
        <f>IF(ISBLANK(A806),"",LEFT(B809,27)&amp;VALUE(RIGHT(B809,1)+1))</f>
        <v>DKF250911LOBDEC_20C_sample_5</v>
      </c>
      <c r="C810" s="6" t="str">
        <f t="shared" ref="C810:D810" si="944">C809</f>
        <v>Lobostemon decorus</v>
      </c>
      <c r="D810" s="6" t="str">
        <f t="shared" si="944"/>
        <v>20C</v>
      </c>
      <c r="E810" s="10">
        <f>IF(ISBLANK(A806),"",E809+1)</f>
        <v>5</v>
      </c>
      <c r="F810" s="11">
        <f t="shared" si="942"/>
        <v>45913.22083</v>
      </c>
      <c r="G810" s="8">
        <v>4.362</v>
      </c>
    </row>
    <row r="811">
      <c r="A811" s="12" t="str">
        <f t="shared" si="940"/>
        <v>LOBDEC</v>
      </c>
      <c r="B811" s="12" t="str">
        <f>IF(ISBLANK(A806),"",LEFT(B810,27)&amp;VALUE(RIGHT(B810,1)+1))</f>
        <v>DKF250911LOBDEC_20C_sample_6</v>
      </c>
      <c r="C811" s="13" t="str">
        <f t="shared" ref="C811:D811" si="945">C810</f>
        <v>Lobostemon decorus</v>
      </c>
      <c r="D811" s="13" t="str">
        <f t="shared" si="945"/>
        <v>20C</v>
      </c>
      <c r="E811" s="14">
        <f>IF(ISBLANK(A806),"",E810+1)</f>
        <v>6</v>
      </c>
      <c r="F811" s="15">
        <f t="shared" si="942"/>
        <v>45913.22083</v>
      </c>
      <c r="G811" s="16">
        <v>4.088</v>
      </c>
    </row>
    <row r="812">
      <c r="A812" s="5" t="s">
        <v>16</v>
      </c>
      <c r="B812" s="6" t="str">
        <f>IF(ISBLANK(A812),"",VLOOKUP($A812,'Data Feed (20C)'!$A$1:$G$14,2,FALSE))</f>
        <v>DKR250911MICPOL_20C_sample_1</v>
      </c>
      <c r="C812" s="6" t="str">
        <f>IF(ISBLANK(A812),"",VLOOKUP($A812,'Data Feed (20C)'!$A$1:$G$14,3,FALSE))</f>
        <v>Microdon polygaloides</v>
      </c>
      <c r="D812" s="6" t="str">
        <f>IF(ISBLANK(A812),"",VLOOKUP($A812,'Data Feed (20C)'!$A$1:$G$14,4,FALSE))</f>
        <v>20C</v>
      </c>
      <c r="E812" s="6">
        <f>IF(ISBLANK(A812),"",VLOOKUP($A812,'Data Feed (20C)'!$A$1:$G$14,7,FALSE))</f>
        <v>1</v>
      </c>
      <c r="F812" s="7">
        <v>45913.222916666666</v>
      </c>
      <c r="G812" s="8">
        <v>1.5</v>
      </c>
    </row>
    <row r="813">
      <c r="A813" s="9" t="str">
        <f t="shared" ref="A813:A817" si="947">A812</f>
        <v>MICPOL</v>
      </c>
      <c r="B813" s="9" t="str">
        <f>IF(ISBLANK(A812),"",LEFT(B812,27)&amp;VALUE(RIGHT(B812,1)+1))</f>
        <v>DKR250911MICPOL_20C_sample_2</v>
      </c>
      <c r="C813" s="6" t="str">
        <f t="shared" ref="C813:D813" si="946">C812</f>
        <v>Microdon polygaloides</v>
      </c>
      <c r="D813" s="6" t="str">
        <f t="shared" si="946"/>
        <v>20C</v>
      </c>
      <c r="E813" s="10">
        <f>IF(ISBLANK(A812),"",E812+1)</f>
        <v>2</v>
      </c>
      <c r="F813" s="11">
        <f t="shared" ref="F813:F817" si="949">F812</f>
        <v>45913.22292</v>
      </c>
      <c r="G813" s="8">
        <v>0.885</v>
      </c>
    </row>
    <row r="814">
      <c r="A814" s="9" t="str">
        <f t="shared" si="947"/>
        <v>MICPOL</v>
      </c>
      <c r="B814" s="9" t="str">
        <f>IF(ISBLANK(A812),"",LEFT(B813,27)&amp;VALUE(RIGHT(B813,1)+1))</f>
        <v>DKR250911MICPOL_20C_sample_3</v>
      </c>
      <c r="C814" s="6" t="str">
        <f t="shared" ref="C814:D814" si="948">C813</f>
        <v>Microdon polygaloides</v>
      </c>
      <c r="D814" s="6" t="str">
        <f t="shared" si="948"/>
        <v>20C</v>
      </c>
      <c r="E814" s="10">
        <f>IF(ISBLANK(A812),"",E813+1)</f>
        <v>3</v>
      </c>
      <c r="F814" s="11">
        <f t="shared" si="949"/>
        <v>45913.22292</v>
      </c>
      <c r="G814" s="8">
        <v>0.371</v>
      </c>
    </row>
    <row r="815">
      <c r="A815" s="9" t="str">
        <f t="shared" si="947"/>
        <v>MICPOL</v>
      </c>
      <c r="B815" s="9" t="str">
        <f>IF(ISBLANK(A812),"",LEFT(B814,27)&amp;VALUE(RIGHT(B814,1)+1))</f>
        <v>DKR250911MICPOL_20C_sample_4</v>
      </c>
      <c r="C815" s="6" t="str">
        <f t="shared" ref="C815:D815" si="950">C814</f>
        <v>Microdon polygaloides</v>
      </c>
      <c r="D815" s="6" t="str">
        <f t="shared" si="950"/>
        <v>20C</v>
      </c>
      <c r="E815" s="10">
        <f>IF(ISBLANK(A812),"",E814+1)</f>
        <v>4</v>
      </c>
      <c r="F815" s="11">
        <f t="shared" si="949"/>
        <v>45913.22292</v>
      </c>
      <c r="G815" s="8">
        <v>0.179</v>
      </c>
    </row>
    <row r="816">
      <c r="A816" s="9" t="str">
        <f t="shared" si="947"/>
        <v>MICPOL</v>
      </c>
      <c r="B816" s="9" t="str">
        <f>IF(ISBLANK(A812),"",LEFT(B815,27)&amp;VALUE(RIGHT(B815,1)+1))</f>
        <v>DKR250911MICPOL_20C_sample_5</v>
      </c>
      <c r="C816" s="6" t="str">
        <f t="shared" ref="C816:D816" si="951">C815</f>
        <v>Microdon polygaloides</v>
      </c>
      <c r="D816" s="6" t="str">
        <f t="shared" si="951"/>
        <v>20C</v>
      </c>
      <c r="E816" s="10">
        <f>IF(ISBLANK(A812),"",E815+1)</f>
        <v>5</v>
      </c>
      <c r="F816" s="11">
        <f t="shared" si="949"/>
        <v>45913.22292</v>
      </c>
      <c r="G816" s="8">
        <v>0.292</v>
      </c>
    </row>
    <row r="817">
      <c r="A817" s="12" t="str">
        <f t="shared" si="947"/>
        <v>MICPOL</v>
      </c>
      <c r="B817" s="12" t="str">
        <f>IF(ISBLANK(A812),"",LEFT(B816,27)&amp;VALUE(RIGHT(B816,1)+1))</f>
        <v>DKR250911MICPOL_20C_sample_6</v>
      </c>
      <c r="C817" s="13" t="str">
        <f t="shared" ref="C817:D817" si="952">C816</f>
        <v>Microdon polygaloides</v>
      </c>
      <c r="D817" s="13" t="str">
        <f t="shared" si="952"/>
        <v>20C</v>
      </c>
      <c r="E817" s="14">
        <f>IF(ISBLANK(A812),"",E816+1)</f>
        <v>6</v>
      </c>
      <c r="F817" s="15">
        <f t="shared" si="949"/>
        <v>45913.22292</v>
      </c>
      <c r="G817" s="16">
        <v>0.231</v>
      </c>
    </row>
    <row r="818">
      <c r="A818" s="5" t="s">
        <v>17</v>
      </c>
      <c r="B818" s="6" t="str">
        <f>IF(ISBLANK(A818),"",VLOOKUP($A818,'Data Feed (20C)'!$A$1:$G$14,2,FALSE))</f>
        <v>DKR250911OEDSQU_20C_sample_1</v>
      </c>
      <c r="C818" s="6" t="str">
        <f>IF(ISBLANK(A818),"",VLOOKUP($A818,'Data Feed (20C)'!$A$1:$G$14,3,FALSE))</f>
        <v>Oedera squarrosa</v>
      </c>
      <c r="D818" s="6" t="str">
        <f>IF(ISBLANK(A818),"",VLOOKUP($A818,'Data Feed (20C)'!$A$1:$G$14,4,FALSE))</f>
        <v>20C</v>
      </c>
      <c r="E818" s="6">
        <f>IF(ISBLANK(A818),"",VLOOKUP($A818,'Data Feed (20C)'!$A$1:$G$14,7,FALSE))</f>
        <v>1</v>
      </c>
      <c r="F818" s="7">
        <v>45913.225</v>
      </c>
      <c r="G818" s="8">
        <v>1.172</v>
      </c>
    </row>
    <row r="819">
      <c r="A819" s="9" t="str">
        <f t="shared" ref="A819:A823" si="954">A818</f>
        <v>OEDSQU</v>
      </c>
      <c r="B819" s="9" t="str">
        <f>IF(ISBLANK(A818),"",LEFT(B818,27)&amp;VALUE(RIGHT(B818,1)+1))</f>
        <v>DKR250911OEDSQU_20C_sample_2</v>
      </c>
      <c r="C819" s="6" t="str">
        <f t="shared" ref="C819:D819" si="953">C818</f>
        <v>Oedera squarrosa</v>
      </c>
      <c r="D819" s="6" t="str">
        <f t="shared" si="953"/>
        <v>20C</v>
      </c>
      <c r="E819" s="10">
        <f>IF(ISBLANK(A818),"",E818+1)</f>
        <v>2</v>
      </c>
      <c r="F819" s="11">
        <f t="shared" ref="F819:F823" si="956">F818</f>
        <v>45913.225</v>
      </c>
      <c r="G819" s="8">
        <v>0.968</v>
      </c>
    </row>
    <row r="820">
      <c r="A820" s="9" t="str">
        <f t="shared" si="954"/>
        <v>OEDSQU</v>
      </c>
      <c r="B820" s="9" t="str">
        <f>IF(ISBLANK(A818),"",LEFT(B819,27)&amp;VALUE(RIGHT(B819,1)+1))</f>
        <v>DKR250911OEDSQU_20C_sample_3</v>
      </c>
      <c r="C820" s="6" t="str">
        <f t="shared" ref="C820:D820" si="955">C819</f>
        <v>Oedera squarrosa</v>
      </c>
      <c r="D820" s="6" t="str">
        <f t="shared" si="955"/>
        <v>20C</v>
      </c>
      <c r="E820" s="10">
        <f>IF(ISBLANK(A818),"",E819+1)</f>
        <v>3</v>
      </c>
      <c r="F820" s="11">
        <f t="shared" si="956"/>
        <v>45913.225</v>
      </c>
      <c r="G820" s="8">
        <v>1.417</v>
      </c>
    </row>
    <row r="821">
      <c r="A821" s="9" t="str">
        <f t="shared" si="954"/>
        <v>OEDSQU</v>
      </c>
      <c r="B821" s="9" t="str">
        <f>IF(ISBLANK(A818),"",LEFT(B820,27)&amp;VALUE(RIGHT(B820,1)+1))</f>
        <v>DKR250911OEDSQU_20C_sample_4</v>
      </c>
      <c r="C821" s="6" t="str">
        <f t="shared" ref="C821:D821" si="957">C820</f>
        <v>Oedera squarrosa</v>
      </c>
      <c r="D821" s="6" t="str">
        <f t="shared" si="957"/>
        <v>20C</v>
      </c>
      <c r="E821" s="10">
        <f>IF(ISBLANK(A818),"",E820+1)</f>
        <v>4</v>
      </c>
      <c r="F821" s="11">
        <f t="shared" si="956"/>
        <v>45913.225</v>
      </c>
      <c r="G821" s="8">
        <v>1.354</v>
      </c>
    </row>
    <row r="822">
      <c r="A822" s="9" t="str">
        <f t="shared" si="954"/>
        <v>OEDSQU</v>
      </c>
      <c r="B822" s="9" t="str">
        <f>IF(ISBLANK(A818),"",LEFT(B821,27)&amp;VALUE(RIGHT(B821,1)+1))</f>
        <v>DKR250911OEDSQU_20C_sample_5</v>
      </c>
      <c r="C822" s="6" t="str">
        <f t="shared" ref="C822:D822" si="958">C821</f>
        <v>Oedera squarrosa</v>
      </c>
      <c r="D822" s="6" t="str">
        <f t="shared" si="958"/>
        <v>20C</v>
      </c>
      <c r="E822" s="10">
        <f>IF(ISBLANK(A818),"",E821+1)</f>
        <v>5</v>
      </c>
      <c r="F822" s="11">
        <f t="shared" si="956"/>
        <v>45913.225</v>
      </c>
      <c r="G822" s="8">
        <v>0.627</v>
      </c>
    </row>
    <row r="823">
      <c r="A823" s="12" t="str">
        <f t="shared" si="954"/>
        <v>OEDSQU</v>
      </c>
      <c r="B823" s="12" t="str">
        <f>IF(ISBLANK(A818),"",LEFT(B822,27)&amp;VALUE(RIGHT(B822,1)+1))</f>
        <v>DKR250911OEDSQU_20C_sample_6</v>
      </c>
      <c r="C823" s="13" t="str">
        <f t="shared" ref="C823:D823" si="959">C822</f>
        <v>Oedera squarrosa</v>
      </c>
      <c r="D823" s="13" t="str">
        <f t="shared" si="959"/>
        <v>20C</v>
      </c>
      <c r="E823" s="14">
        <f>IF(ISBLANK(A818),"",E822+1)</f>
        <v>6</v>
      </c>
      <c r="F823" s="15">
        <f t="shared" si="956"/>
        <v>45913.225</v>
      </c>
      <c r="G823" s="16">
        <v>0.262</v>
      </c>
    </row>
    <row r="824">
      <c r="A824" s="5" t="s">
        <v>7</v>
      </c>
      <c r="B824" s="6" t="str">
        <f>IF(ISBLANK(A824),"",VLOOKUP($A824,'Data Feed (20C)'!$A$1:$G$14,2,FALSE))</f>
        <v>DKR250911PASOBT_20C_sample_1</v>
      </c>
      <c r="C824" s="6" t="str">
        <f>IF(ISBLANK(A824),"",VLOOKUP($A824,'Data Feed (20C)'!$A$1:$G$14,3,FALSE))</f>
        <v>Passerina obtusifolia</v>
      </c>
      <c r="D824" s="6" t="str">
        <f>IF(ISBLANK(A824),"",VLOOKUP($A824,'Data Feed (20C)'!$A$1:$G$14,4,FALSE))</f>
        <v>20C</v>
      </c>
      <c r="E824" s="6">
        <f>IF(ISBLANK(A824),"",VLOOKUP($A824,'Data Feed (20C)'!$A$1:$G$14,7,FALSE))</f>
        <v>1</v>
      </c>
      <c r="F824" s="7">
        <v>45913.22638888889</v>
      </c>
      <c r="G824" s="8">
        <v>2.955</v>
      </c>
    </row>
    <row r="825">
      <c r="A825" s="9" t="str">
        <f t="shared" ref="A825:A829" si="961">A824</f>
        <v>PASOBT</v>
      </c>
      <c r="B825" s="9" t="str">
        <f>IF(ISBLANK(A824),"",LEFT(B824,27)&amp;VALUE(RIGHT(B824,1)+1))</f>
        <v>DKR250911PASOBT_20C_sample_2</v>
      </c>
      <c r="C825" s="6" t="str">
        <f t="shared" ref="C825:D825" si="960">C824</f>
        <v>Passerina obtusifolia</v>
      </c>
      <c r="D825" s="6" t="str">
        <f t="shared" si="960"/>
        <v>20C</v>
      </c>
      <c r="E825" s="10">
        <f>IF(ISBLANK(A824),"",E824+1)</f>
        <v>2</v>
      </c>
      <c r="F825" s="11">
        <f t="shared" ref="F825:F829" si="963">F824</f>
        <v>45913.22639</v>
      </c>
      <c r="G825" s="8">
        <v>3.997</v>
      </c>
    </row>
    <row r="826">
      <c r="A826" s="9" t="str">
        <f t="shared" si="961"/>
        <v>PASOBT</v>
      </c>
      <c r="B826" s="9" t="str">
        <f>IF(ISBLANK(A824),"",LEFT(B825,27)&amp;VALUE(RIGHT(B825,1)+1))</f>
        <v>DKR250911PASOBT_20C_sample_3</v>
      </c>
      <c r="C826" s="6" t="str">
        <f t="shared" ref="C826:D826" si="962">C825</f>
        <v>Passerina obtusifolia</v>
      </c>
      <c r="D826" s="6" t="str">
        <f t="shared" si="962"/>
        <v>20C</v>
      </c>
      <c r="E826" s="10">
        <f>IF(ISBLANK(A824),"",E825+1)</f>
        <v>3</v>
      </c>
      <c r="F826" s="11">
        <f t="shared" si="963"/>
        <v>45913.22639</v>
      </c>
      <c r="G826" s="8">
        <v>1.384</v>
      </c>
    </row>
    <row r="827">
      <c r="A827" s="9" t="str">
        <f t="shared" si="961"/>
        <v>PASOBT</v>
      </c>
      <c r="B827" s="9" t="str">
        <f>IF(ISBLANK(A824),"",LEFT(B826,27)&amp;VALUE(RIGHT(B826,1)+1))</f>
        <v>DKR250911PASOBT_20C_sample_4</v>
      </c>
      <c r="C827" s="6" t="str">
        <f t="shared" ref="C827:D827" si="964">C826</f>
        <v>Passerina obtusifolia</v>
      </c>
      <c r="D827" s="6" t="str">
        <f t="shared" si="964"/>
        <v>20C</v>
      </c>
      <c r="E827" s="10">
        <f>IF(ISBLANK(A824),"",E826+1)</f>
        <v>4</v>
      </c>
      <c r="F827" s="11">
        <f t="shared" si="963"/>
        <v>45913.22639</v>
      </c>
      <c r="G827" s="8">
        <v>1.919</v>
      </c>
    </row>
    <row r="828">
      <c r="A828" s="9" t="str">
        <f t="shared" si="961"/>
        <v>PASOBT</v>
      </c>
      <c r="B828" s="9" t="str">
        <f>IF(ISBLANK(A824),"",LEFT(B827,27)&amp;VALUE(RIGHT(B827,1)+1))</f>
        <v>DKR250911PASOBT_20C_sample_5</v>
      </c>
      <c r="C828" s="6" t="str">
        <f t="shared" ref="C828:D828" si="965">C827</f>
        <v>Passerina obtusifolia</v>
      </c>
      <c r="D828" s="6" t="str">
        <f t="shared" si="965"/>
        <v>20C</v>
      </c>
      <c r="E828" s="10">
        <f>IF(ISBLANK(A824),"",E827+1)</f>
        <v>5</v>
      </c>
      <c r="F828" s="11">
        <f t="shared" si="963"/>
        <v>45913.22639</v>
      </c>
      <c r="G828" s="8">
        <v>1.608</v>
      </c>
    </row>
    <row r="829">
      <c r="A829" s="12" t="str">
        <f t="shared" si="961"/>
        <v>PASOBT</v>
      </c>
      <c r="B829" s="12" t="str">
        <f>IF(ISBLANK(A824),"",LEFT(B828,27)&amp;VALUE(RIGHT(B828,1)+1))</f>
        <v>DKR250911PASOBT_20C_sample_6</v>
      </c>
      <c r="C829" s="13" t="str">
        <f t="shared" ref="C829:D829" si="966">C828</f>
        <v>Passerina obtusifolia</v>
      </c>
      <c r="D829" s="13" t="str">
        <f t="shared" si="966"/>
        <v>20C</v>
      </c>
      <c r="E829" s="14">
        <f>IF(ISBLANK(A824),"",E828+1)</f>
        <v>6</v>
      </c>
      <c r="F829" s="15">
        <f t="shared" si="963"/>
        <v>45913.22639</v>
      </c>
      <c r="G829" s="16">
        <v>2.672</v>
      </c>
    </row>
    <row r="830">
      <c r="A830" s="5" t="s">
        <v>9</v>
      </c>
      <c r="B830" s="6" t="str">
        <f>IF(ISBLANK(A830),"",VLOOKUP($A830,'Data Feed (20C)'!$A$1:$G$14,2,FALSE))</f>
        <v>DKR250911PROLAU_20C_sample_1</v>
      </c>
      <c r="C830" s="6" t="str">
        <f>IF(ISBLANK(A830),"",VLOOKUP($A830,'Data Feed (20C)'!$A$1:$G$14,3,FALSE))</f>
        <v>Protea laurifolia</v>
      </c>
      <c r="D830" s="6" t="str">
        <f>IF(ISBLANK(A830),"",VLOOKUP($A830,'Data Feed (20C)'!$A$1:$G$14,4,FALSE))</f>
        <v>20C</v>
      </c>
      <c r="E830" s="6">
        <f>IF(ISBLANK(A830),"",VLOOKUP($A830,'Data Feed (20C)'!$A$1:$G$14,7,FALSE))</f>
        <v>1</v>
      </c>
      <c r="F830" s="7">
        <v>45913.228472222225</v>
      </c>
      <c r="G830" s="8">
        <v>1.014</v>
      </c>
    </row>
    <row r="831">
      <c r="A831" s="9" t="str">
        <f t="shared" ref="A831:A835" si="968">A830</f>
        <v>PROLAU</v>
      </c>
      <c r="B831" s="9" t="str">
        <f>IF(ISBLANK(A830),"",LEFT(B830,27)&amp;VALUE(RIGHT(B830,1)+1))</f>
        <v>DKR250911PROLAU_20C_sample_2</v>
      </c>
      <c r="C831" s="6" t="str">
        <f t="shared" ref="C831:D831" si="967">C830</f>
        <v>Protea laurifolia</v>
      </c>
      <c r="D831" s="6" t="str">
        <f t="shared" si="967"/>
        <v>20C</v>
      </c>
      <c r="E831" s="10">
        <f>IF(ISBLANK(A830),"",E830+1)</f>
        <v>2</v>
      </c>
      <c r="F831" s="11">
        <f t="shared" ref="F831:F835" si="970">F830</f>
        <v>45913.22847</v>
      </c>
      <c r="G831" s="8">
        <v>1.2</v>
      </c>
    </row>
    <row r="832">
      <c r="A832" s="9" t="str">
        <f t="shared" si="968"/>
        <v>PROLAU</v>
      </c>
      <c r="B832" s="9" t="str">
        <f>IF(ISBLANK(A830),"",LEFT(B831,27)&amp;VALUE(RIGHT(B831,1)+1))</f>
        <v>DKR250911PROLAU_20C_sample_3</v>
      </c>
      <c r="C832" s="6" t="str">
        <f t="shared" ref="C832:D832" si="969">C831</f>
        <v>Protea laurifolia</v>
      </c>
      <c r="D832" s="6" t="str">
        <f t="shared" si="969"/>
        <v>20C</v>
      </c>
      <c r="E832" s="10">
        <f>IF(ISBLANK(A830),"",E831+1)</f>
        <v>3</v>
      </c>
      <c r="F832" s="11">
        <f t="shared" si="970"/>
        <v>45913.22847</v>
      </c>
      <c r="G832" s="8">
        <v>1.124</v>
      </c>
    </row>
    <row r="833">
      <c r="A833" s="9" t="str">
        <f t="shared" si="968"/>
        <v>PROLAU</v>
      </c>
      <c r="B833" s="9" t="str">
        <f>IF(ISBLANK(A830),"",LEFT(B832,27)&amp;VALUE(RIGHT(B832,1)+1))</f>
        <v>DKR250911PROLAU_20C_sample_4</v>
      </c>
      <c r="C833" s="6" t="str">
        <f t="shared" ref="C833:D833" si="971">C832</f>
        <v>Protea laurifolia</v>
      </c>
      <c r="D833" s="6" t="str">
        <f t="shared" si="971"/>
        <v>20C</v>
      </c>
      <c r="E833" s="10">
        <f>IF(ISBLANK(A830),"",E832+1)</f>
        <v>4</v>
      </c>
      <c r="F833" s="11">
        <f t="shared" si="970"/>
        <v>45913.22847</v>
      </c>
      <c r="G833" s="8">
        <v>0.543</v>
      </c>
    </row>
    <row r="834">
      <c r="A834" s="9" t="str">
        <f t="shared" si="968"/>
        <v>PROLAU</v>
      </c>
      <c r="B834" s="9" t="str">
        <f>IF(ISBLANK(A830),"",LEFT(B833,27)&amp;VALUE(RIGHT(B833,1)+1))</f>
        <v>DKR250911PROLAU_20C_sample_5</v>
      </c>
      <c r="C834" s="6" t="str">
        <f t="shared" ref="C834:D834" si="972">C833</f>
        <v>Protea laurifolia</v>
      </c>
      <c r="D834" s="6" t="str">
        <f t="shared" si="972"/>
        <v>20C</v>
      </c>
      <c r="E834" s="10">
        <f>IF(ISBLANK(A830),"",E833+1)</f>
        <v>5</v>
      </c>
      <c r="F834" s="11">
        <f t="shared" si="970"/>
        <v>45913.22847</v>
      </c>
      <c r="G834" s="8">
        <v>0.95</v>
      </c>
    </row>
    <row r="835">
      <c r="A835" s="12" t="str">
        <f t="shared" si="968"/>
        <v>PROLAU</v>
      </c>
      <c r="B835" s="12" t="str">
        <f>IF(ISBLANK(A830),"",LEFT(B834,27)&amp;VALUE(RIGHT(B834,1)+1))</f>
        <v>DKR250911PROLAU_20C_sample_6</v>
      </c>
      <c r="C835" s="13" t="str">
        <f t="shared" ref="C835:D835" si="973">C834</f>
        <v>Protea laurifolia</v>
      </c>
      <c r="D835" s="13" t="str">
        <f t="shared" si="973"/>
        <v>20C</v>
      </c>
      <c r="E835" s="14">
        <f>IF(ISBLANK(A830),"",E834+1)</f>
        <v>6</v>
      </c>
      <c r="F835" s="15">
        <f t="shared" si="970"/>
        <v>45913.22847</v>
      </c>
      <c r="G835" s="16">
        <v>0.962</v>
      </c>
    </row>
    <row r="836">
      <c r="A836" s="5" t="s">
        <v>8</v>
      </c>
      <c r="B836" s="6" t="str">
        <f>IF(ISBLANK(A836),"",VLOOKUP($A836,'Data Feed (20C)'!$A$1:$G$14,2,FALSE))</f>
        <v>DKF250911PROLOR_20C_sample_1</v>
      </c>
      <c r="C836" s="6" t="str">
        <f>IF(ISBLANK(A836),"",VLOOKUP($A836,'Data Feed (20C)'!$A$1:$G$14,3,FALSE))</f>
        <v>Protea lorifolia</v>
      </c>
      <c r="D836" s="6" t="str">
        <f>IF(ISBLANK(A836),"",VLOOKUP($A836,'Data Feed (20C)'!$A$1:$G$14,4,FALSE))</f>
        <v>20C</v>
      </c>
      <c r="E836" s="6">
        <f>IF(ISBLANK(A836),"",VLOOKUP($A836,'Data Feed (20C)'!$A$1:$G$14,7,FALSE))</f>
        <v>1</v>
      </c>
      <c r="F836" s="7">
        <v>45913.22986111111</v>
      </c>
      <c r="G836" s="8">
        <v>3.24</v>
      </c>
    </row>
    <row r="837">
      <c r="A837" s="9" t="str">
        <f t="shared" ref="A837:A841" si="975">A836</f>
        <v>PROLOR</v>
      </c>
      <c r="B837" s="9" t="str">
        <f>IF(ISBLANK(A836),"",LEFT(B836,27)&amp;VALUE(RIGHT(B836,1)+1))</f>
        <v>DKF250911PROLOR_20C_sample_2</v>
      </c>
      <c r="C837" s="6" t="str">
        <f t="shared" ref="C837:D837" si="974">C836</f>
        <v>Protea lorifolia</v>
      </c>
      <c r="D837" s="6" t="str">
        <f t="shared" si="974"/>
        <v>20C</v>
      </c>
      <c r="E837" s="10">
        <f>IF(ISBLANK(A836),"",E836+1)</f>
        <v>2</v>
      </c>
      <c r="F837" s="11">
        <f t="shared" ref="F837:F841" si="977">F836</f>
        <v>45913.22986</v>
      </c>
      <c r="G837" s="8">
        <v>3.643</v>
      </c>
    </row>
    <row r="838">
      <c r="A838" s="9" t="str">
        <f t="shared" si="975"/>
        <v>PROLOR</v>
      </c>
      <c r="B838" s="9" t="str">
        <f>IF(ISBLANK(A836),"",LEFT(B837,27)&amp;VALUE(RIGHT(B837,1)+1))</f>
        <v>DKF250911PROLOR_20C_sample_3</v>
      </c>
      <c r="C838" s="6" t="str">
        <f t="shared" ref="C838:D838" si="976">C837</f>
        <v>Protea lorifolia</v>
      </c>
      <c r="D838" s="6" t="str">
        <f t="shared" si="976"/>
        <v>20C</v>
      </c>
      <c r="E838" s="10">
        <f>IF(ISBLANK(A836),"",E837+1)</f>
        <v>3</v>
      </c>
      <c r="F838" s="11">
        <f t="shared" si="977"/>
        <v>45913.22986</v>
      </c>
      <c r="G838" s="8">
        <v>3.903</v>
      </c>
    </row>
    <row r="839">
      <c r="A839" s="9" t="str">
        <f t="shared" si="975"/>
        <v>PROLOR</v>
      </c>
      <c r="B839" s="9" t="str">
        <f>IF(ISBLANK(A836),"",LEFT(B838,27)&amp;VALUE(RIGHT(B838,1)+1))</f>
        <v>DKF250911PROLOR_20C_sample_4</v>
      </c>
      <c r="C839" s="6" t="str">
        <f t="shared" ref="C839:D839" si="978">C838</f>
        <v>Protea lorifolia</v>
      </c>
      <c r="D839" s="6" t="str">
        <f t="shared" si="978"/>
        <v>20C</v>
      </c>
      <c r="E839" s="10">
        <f>IF(ISBLANK(A836),"",E838+1)</f>
        <v>4</v>
      </c>
      <c r="F839" s="11">
        <f t="shared" si="977"/>
        <v>45913.22986</v>
      </c>
      <c r="G839" s="8">
        <v>2.976</v>
      </c>
    </row>
    <row r="840">
      <c r="A840" s="9" t="str">
        <f t="shared" si="975"/>
        <v>PROLOR</v>
      </c>
      <c r="B840" s="9" t="str">
        <f>IF(ISBLANK(A836),"",LEFT(B839,27)&amp;VALUE(RIGHT(B839,1)+1))</f>
        <v>DKF250911PROLOR_20C_sample_5</v>
      </c>
      <c r="C840" s="6" t="str">
        <f t="shared" ref="C840:D840" si="979">C839</f>
        <v>Protea lorifolia</v>
      </c>
      <c r="D840" s="6" t="str">
        <f t="shared" si="979"/>
        <v>20C</v>
      </c>
      <c r="E840" s="10">
        <f>IF(ISBLANK(A836),"",E839+1)</f>
        <v>5</v>
      </c>
      <c r="F840" s="11">
        <f t="shared" si="977"/>
        <v>45913.22986</v>
      </c>
      <c r="G840" s="8">
        <v>5.763</v>
      </c>
    </row>
    <row r="841">
      <c r="A841" s="12" t="str">
        <f t="shared" si="975"/>
        <v>PROLOR</v>
      </c>
      <c r="B841" s="12" t="str">
        <f>IF(ISBLANK(A836),"",LEFT(B840,27)&amp;VALUE(RIGHT(B840,1)+1))</f>
        <v>DKF250911PROLOR_20C_sample_6</v>
      </c>
      <c r="C841" s="13" t="str">
        <f t="shared" ref="C841:D841" si="980">C840</f>
        <v>Protea lorifolia</v>
      </c>
      <c r="D841" s="13" t="str">
        <f t="shared" si="980"/>
        <v>20C</v>
      </c>
      <c r="E841" s="14">
        <f>IF(ISBLANK(A836),"",E840+1)</f>
        <v>6</v>
      </c>
      <c r="F841" s="15">
        <f t="shared" si="977"/>
        <v>45913.22986</v>
      </c>
      <c r="G841" s="16">
        <v>4.687</v>
      </c>
    </row>
    <row r="842">
      <c r="A842" s="5" t="s">
        <v>13</v>
      </c>
      <c r="B842" s="6" t="str">
        <f>IF(ISBLANK(A842),"",VLOOKUP($A842,'Data Feed (20C)'!$A$1:$G$14,2,FALSE))</f>
        <v>DKR250911RUSMUL_20C_sample_1</v>
      </c>
      <c r="C842" s="6" t="str">
        <f>IF(ISBLANK(A842),"",VLOOKUP($A842,'Data Feed (20C)'!$A$1:$G$14,3,FALSE))</f>
        <v>Ruschia multiflora</v>
      </c>
      <c r="D842" s="6" t="str">
        <f>IF(ISBLANK(A842),"",VLOOKUP($A842,'Data Feed (20C)'!$A$1:$G$14,4,FALSE))</f>
        <v>20C</v>
      </c>
      <c r="E842" s="6">
        <f>IF(ISBLANK(A842),"",VLOOKUP($A842,'Data Feed (20C)'!$A$1:$G$14,7,FALSE))</f>
        <v>1</v>
      </c>
      <c r="F842" s="7">
        <v>45913.23125</v>
      </c>
      <c r="G842" s="8">
        <v>3.249</v>
      </c>
    </row>
    <row r="843">
      <c r="A843" s="9" t="str">
        <f t="shared" ref="A843:A847" si="982">A842</f>
        <v>RUSMUL</v>
      </c>
      <c r="B843" s="9" t="str">
        <f>IF(ISBLANK(A842),"",LEFT(B842,27)&amp;VALUE(RIGHT(B842,1)+1))</f>
        <v>DKR250911RUSMUL_20C_sample_2</v>
      </c>
      <c r="C843" s="6" t="str">
        <f t="shared" ref="C843:D843" si="981">C842</f>
        <v>Ruschia multiflora</v>
      </c>
      <c r="D843" s="6" t="str">
        <f t="shared" si="981"/>
        <v>20C</v>
      </c>
      <c r="E843" s="10">
        <f>IF(ISBLANK(A842),"",E842+1)</f>
        <v>2</v>
      </c>
      <c r="F843" s="11">
        <f t="shared" ref="F843:F847" si="984">F842</f>
        <v>45913.23125</v>
      </c>
      <c r="G843" s="8">
        <v>4.138</v>
      </c>
    </row>
    <row r="844">
      <c r="A844" s="9" t="str">
        <f t="shared" si="982"/>
        <v>RUSMUL</v>
      </c>
      <c r="B844" s="9" t="str">
        <f>IF(ISBLANK(A842),"",LEFT(B843,27)&amp;VALUE(RIGHT(B843,1)+1))</f>
        <v>DKR250911RUSMUL_20C_sample_3</v>
      </c>
      <c r="C844" s="6" t="str">
        <f t="shared" ref="C844:D844" si="983">C843</f>
        <v>Ruschia multiflora</v>
      </c>
      <c r="D844" s="6" t="str">
        <f t="shared" si="983"/>
        <v>20C</v>
      </c>
      <c r="E844" s="10">
        <f>IF(ISBLANK(A842),"",E843+1)</f>
        <v>3</v>
      </c>
      <c r="F844" s="11">
        <f t="shared" si="984"/>
        <v>45913.23125</v>
      </c>
      <c r="G844" s="8">
        <v>8.019</v>
      </c>
    </row>
    <row r="845">
      <c r="A845" s="9" t="str">
        <f t="shared" si="982"/>
        <v>RUSMUL</v>
      </c>
      <c r="B845" s="9" t="str">
        <f>IF(ISBLANK(A842),"",LEFT(B844,27)&amp;VALUE(RIGHT(B844,1)+1))</f>
        <v>DKR250911RUSMUL_20C_sample_4</v>
      </c>
      <c r="C845" s="6" t="str">
        <f t="shared" ref="C845:D845" si="985">C844</f>
        <v>Ruschia multiflora</v>
      </c>
      <c r="D845" s="6" t="str">
        <f t="shared" si="985"/>
        <v>20C</v>
      </c>
      <c r="E845" s="10">
        <f>IF(ISBLANK(A842),"",E844+1)</f>
        <v>4</v>
      </c>
      <c r="F845" s="11">
        <f t="shared" si="984"/>
        <v>45913.23125</v>
      </c>
      <c r="G845" s="8">
        <v>4.346</v>
      </c>
    </row>
    <row r="846">
      <c r="A846" s="9" t="str">
        <f t="shared" si="982"/>
        <v>RUSMUL</v>
      </c>
      <c r="B846" s="9" t="str">
        <f>IF(ISBLANK(A842),"",LEFT(B845,27)&amp;VALUE(RIGHT(B845,1)+1))</f>
        <v>DKR250911RUSMUL_20C_sample_5</v>
      </c>
      <c r="C846" s="6" t="str">
        <f t="shared" ref="C846:D846" si="986">C845</f>
        <v>Ruschia multiflora</v>
      </c>
      <c r="D846" s="6" t="str">
        <f t="shared" si="986"/>
        <v>20C</v>
      </c>
      <c r="E846" s="10">
        <f>IF(ISBLANK(A842),"",E845+1)</f>
        <v>5</v>
      </c>
      <c r="F846" s="11">
        <f t="shared" si="984"/>
        <v>45913.23125</v>
      </c>
      <c r="G846" s="8">
        <v>3.633</v>
      </c>
    </row>
    <row r="847">
      <c r="A847" s="12" t="str">
        <f t="shared" si="982"/>
        <v>RUSMUL</v>
      </c>
      <c r="B847" s="12" t="str">
        <f>IF(ISBLANK(A842),"",LEFT(B846,27)&amp;VALUE(RIGHT(B846,1)+1))</f>
        <v>DKR250911RUSMUL_20C_sample_6</v>
      </c>
      <c r="C847" s="13" t="str">
        <f t="shared" ref="C847:D847" si="987">C846</f>
        <v>Ruschia multiflora</v>
      </c>
      <c r="D847" s="13" t="str">
        <f t="shared" si="987"/>
        <v>20C</v>
      </c>
      <c r="E847" s="14">
        <f>IF(ISBLANK(A842),"",E846+1)</f>
        <v>6</v>
      </c>
      <c r="F847" s="15">
        <f t="shared" si="984"/>
        <v>45913.23125</v>
      </c>
      <c r="G847" s="16">
        <v>3.049</v>
      </c>
    </row>
    <row r="848">
      <c r="A848" s="5" t="s">
        <v>11</v>
      </c>
      <c r="B848" s="6" t="str">
        <f>IF(ISBLANK(A848),"",VLOOKUP($A848,'Data Feed (20C)'!$A$1:$G$14,2,FALSE))</f>
        <v>DKF250911SELDOL_20C_sample_1</v>
      </c>
      <c r="C848" s="6" t="str">
        <f>IF(ISBLANK(A848),"",VLOOKUP($A848,'Data Feed (20C)'!$A$1:$G$14,3,FALSE))</f>
        <v>Selago dolosa</v>
      </c>
      <c r="D848" s="6" t="str">
        <f>IF(ISBLANK(A848),"",VLOOKUP($A848,'Data Feed (20C)'!$A$1:$G$14,4,FALSE))</f>
        <v>20C</v>
      </c>
      <c r="E848" s="6">
        <f>IF(ISBLANK(A848),"",VLOOKUP($A848,'Data Feed (20C)'!$A$1:$G$14,7,FALSE))</f>
        <v>1</v>
      </c>
      <c r="F848" s="7">
        <v>45913.23333333333</v>
      </c>
      <c r="G848" s="8">
        <v>1.327</v>
      </c>
    </row>
    <row r="849">
      <c r="A849" s="9" t="str">
        <f t="shared" ref="A849:A853" si="989">A848</f>
        <v>SELDOL</v>
      </c>
      <c r="B849" s="9" t="str">
        <f>IF(ISBLANK(A848),"",LEFT(B848,27)&amp;VALUE(RIGHT(B848,1)+1))</f>
        <v>DKF250911SELDOL_20C_sample_2</v>
      </c>
      <c r="C849" s="6" t="str">
        <f t="shared" ref="C849:D849" si="988">C848</f>
        <v>Selago dolosa</v>
      </c>
      <c r="D849" s="6" t="str">
        <f t="shared" si="988"/>
        <v>20C</v>
      </c>
      <c r="E849" s="10">
        <f>IF(ISBLANK(A848),"",E848+1)</f>
        <v>2</v>
      </c>
      <c r="F849" s="11">
        <f t="shared" ref="F849:F853" si="991">F848</f>
        <v>45913.23333</v>
      </c>
      <c r="G849" s="8">
        <v>1.823</v>
      </c>
    </row>
    <row r="850">
      <c r="A850" s="9" t="str">
        <f t="shared" si="989"/>
        <v>SELDOL</v>
      </c>
      <c r="B850" s="9" t="str">
        <f>IF(ISBLANK(A848),"",LEFT(B849,27)&amp;VALUE(RIGHT(B849,1)+1))</f>
        <v>DKF250911SELDOL_20C_sample_3</v>
      </c>
      <c r="C850" s="6" t="str">
        <f t="shared" ref="C850:D850" si="990">C849</f>
        <v>Selago dolosa</v>
      </c>
      <c r="D850" s="6" t="str">
        <f t="shared" si="990"/>
        <v>20C</v>
      </c>
      <c r="E850" s="10">
        <f>IF(ISBLANK(A848),"",E849+1)</f>
        <v>3</v>
      </c>
      <c r="F850" s="11">
        <f t="shared" si="991"/>
        <v>45913.23333</v>
      </c>
      <c r="G850" s="8">
        <v>1.7</v>
      </c>
    </row>
    <row r="851">
      <c r="A851" s="9" t="str">
        <f t="shared" si="989"/>
        <v>SELDOL</v>
      </c>
      <c r="B851" s="9" t="str">
        <f>IF(ISBLANK(A848),"",LEFT(B850,27)&amp;VALUE(RIGHT(B850,1)+1))</f>
        <v>DKF250911SELDOL_20C_sample_4</v>
      </c>
      <c r="C851" s="6" t="str">
        <f t="shared" ref="C851:D851" si="992">C850</f>
        <v>Selago dolosa</v>
      </c>
      <c r="D851" s="6" t="str">
        <f t="shared" si="992"/>
        <v>20C</v>
      </c>
      <c r="E851" s="10">
        <f>IF(ISBLANK(A848),"",E850+1)</f>
        <v>4</v>
      </c>
      <c r="F851" s="11">
        <f t="shared" si="991"/>
        <v>45913.23333</v>
      </c>
      <c r="G851" s="8">
        <v>1.743</v>
      </c>
    </row>
    <row r="852">
      <c r="A852" s="9" t="str">
        <f t="shared" si="989"/>
        <v>SELDOL</v>
      </c>
      <c r="B852" s="9" t="str">
        <f>IF(ISBLANK(A848),"",LEFT(B851,27)&amp;VALUE(RIGHT(B851,1)+1))</f>
        <v>DKF250911SELDOL_20C_sample_5</v>
      </c>
      <c r="C852" s="6" t="str">
        <f t="shared" ref="C852:D852" si="993">C851</f>
        <v>Selago dolosa</v>
      </c>
      <c r="D852" s="6" t="str">
        <f t="shared" si="993"/>
        <v>20C</v>
      </c>
      <c r="E852" s="10">
        <f>IF(ISBLANK(A848),"",E851+1)</f>
        <v>5</v>
      </c>
      <c r="F852" s="11">
        <f t="shared" si="991"/>
        <v>45913.23333</v>
      </c>
      <c r="G852" s="8"/>
    </row>
    <row r="853">
      <c r="A853" s="12" t="str">
        <f t="shared" si="989"/>
        <v>SELDOL</v>
      </c>
      <c r="B853" s="12" t="str">
        <f>IF(ISBLANK(A848),"",LEFT(B852,27)&amp;VALUE(RIGHT(B852,1)+1))</f>
        <v>DKF250911SELDOL_20C_sample_6</v>
      </c>
      <c r="C853" s="13" t="str">
        <f t="shared" ref="C853:D853" si="994">C852</f>
        <v>Selago dolosa</v>
      </c>
      <c r="D853" s="13" t="str">
        <f t="shared" si="994"/>
        <v>20C</v>
      </c>
      <c r="E853" s="14">
        <f>IF(ISBLANK(A848),"",E852+1)</f>
        <v>6</v>
      </c>
      <c r="F853" s="15">
        <f t="shared" si="991"/>
        <v>45913.23333</v>
      </c>
      <c r="G853" s="16">
        <v>1.151</v>
      </c>
    </row>
    <row r="854">
      <c r="A854" s="5" t="s">
        <v>18</v>
      </c>
      <c r="B854" s="6" t="str">
        <f>IF(ISBLANK(A854),"",VLOOKUP($A854,'Data Feed (20C)'!$A$1:$G$14,2,FALSE))</f>
        <v>DKR250911WAHNOD_20C_sample_1</v>
      </c>
      <c r="C854" s="6" t="str">
        <f>IF(ISBLANK(A854),"",VLOOKUP($A854,'Data Feed (20C)'!$A$1:$G$14,3,FALSE))</f>
        <v>Wahlenbergia nodosa</v>
      </c>
      <c r="D854" s="6" t="str">
        <f>IF(ISBLANK(A854),"",VLOOKUP($A854,'Data Feed (20C)'!$A$1:$G$14,4,FALSE))</f>
        <v>20C</v>
      </c>
      <c r="E854" s="6">
        <f>IF(ISBLANK(A854),"",VLOOKUP($A854,'Data Feed (20C)'!$A$1:$G$14,7,FALSE))</f>
        <v>1</v>
      </c>
      <c r="F854" s="7">
        <v>45913.23472222222</v>
      </c>
      <c r="G854" s="8">
        <v>0.3</v>
      </c>
    </row>
    <row r="855">
      <c r="A855" s="9" t="str">
        <f t="shared" ref="A855:A859" si="996">A854</f>
        <v>WAHNOD</v>
      </c>
      <c r="B855" s="9" t="str">
        <f>IF(ISBLANK(A854),"",LEFT(B854,27)&amp;VALUE(RIGHT(B854,1)+1))</f>
        <v>DKR250911WAHNOD_20C_sample_2</v>
      </c>
      <c r="C855" s="6" t="str">
        <f t="shared" ref="C855:D855" si="995">C854</f>
        <v>Wahlenbergia nodosa</v>
      </c>
      <c r="D855" s="6" t="str">
        <f t="shared" si="995"/>
        <v>20C</v>
      </c>
      <c r="E855" s="10">
        <f>IF(ISBLANK(A854),"",E854+1)</f>
        <v>2</v>
      </c>
      <c r="F855" s="11">
        <f t="shared" ref="F855:F859" si="998">F854</f>
        <v>45913.23472</v>
      </c>
      <c r="G855" s="8">
        <v>0.173</v>
      </c>
    </row>
    <row r="856">
      <c r="A856" s="9" t="str">
        <f t="shared" si="996"/>
        <v>WAHNOD</v>
      </c>
      <c r="B856" s="9" t="str">
        <f>IF(ISBLANK(A854),"",LEFT(B855,27)&amp;VALUE(RIGHT(B855,1)+1))</f>
        <v>DKR250911WAHNOD_20C_sample_3</v>
      </c>
      <c r="C856" s="6" t="str">
        <f t="shared" ref="C856:D856" si="997">C855</f>
        <v>Wahlenbergia nodosa</v>
      </c>
      <c r="D856" s="6" t="str">
        <f t="shared" si="997"/>
        <v>20C</v>
      </c>
      <c r="E856" s="10">
        <f>IF(ISBLANK(A854),"",E855+1)</f>
        <v>3</v>
      </c>
      <c r="F856" s="11">
        <f t="shared" si="998"/>
        <v>45913.23472</v>
      </c>
      <c r="G856" s="8">
        <v>0.135</v>
      </c>
    </row>
    <row r="857">
      <c r="A857" s="9" t="str">
        <f t="shared" si="996"/>
        <v>WAHNOD</v>
      </c>
      <c r="B857" s="9" t="str">
        <f>IF(ISBLANK(A854),"",LEFT(B856,27)&amp;VALUE(RIGHT(B856,1)+1))</f>
        <v>DKR250911WAHNOD_20C_sample_4</v>
      </c>
      <c r="C857" s="6" t="str">
        <f t="shared" ref="C857:D857" si="999">C856</f>
        <v>Wahlenbergia nodosa</v>
      </c>
      <c r="D857" s="6" t="str">
        <f t="shared" si="999"/>
        <v>20C</v>
      </c>
      <c r="E857" s="10">
        <f>IF(ISBLANK(A854),"",E856+1)</f>
        <v>4</v>
      </c>
      <c r="F857" s="11">
        <f t="shared" si="998"/>
        <v>45913.23472</v>
      </c>
      <c r="G857" s="8">
        <v>0.662</v>
      </c>
    </row>
    <row r="858">
      <c r="A858" s="9" t="str">
        <f t="shared" si="996"/>
        <v>WAHNOD</v>
      </c>
      <c r="B858" s="9" t="str">
        <f>IF(ISBLANK(A854),"",LEFT(B857,27)&amp;VALUE(RIGHT(B857,1)+1))</f>
        <v>DKR250911WAHNOD_20C_sample_5</v>
      </c>
      <c r="C858" s="6" t="str">
        <f t="shared" ref="C858:D858" si="1000">C857</f>
        <v>Wahlenbergia nodosa</v>
      </c>
      <c r="D858" s="6" t="str">
        <f t="shared" si="1000"/>
        <v>20C</v>
      </c>
      <c r="E858" s="10">
        <f>IF(ISBLANK(A854),"",E857+1)</f>
        <v>5</v>
      </c>
      <c r="F858" s="11">
        <f t="shared" si="998"/>
        <v>45913.23472</v>
      </c>
      <c r="G858" s="8">
        <v>0.315</v>
      </c>
    </row>
    <row r="859">
      <c r="A859" s="12" t="str">
        <f t="shared" si="996"/>
        <v>WAHNOD</v>
      </c>
      <c r="B859" s="12" t="str">
        <f>IF(ISBLANK(A854),"",LEFT(B858,27)&amp;VALUE(RIGHT(B858,1)+1))</f>
        <v>DKR250911WAHNOD_20C_sample_6</v>
      </c>
      <c r="C859" s="13" t="str">
        <f t="shared" ref="C859:D859" si="1001">C858</f>
        <v>Wahlenbergia nodosa</v>
      </c>
      <c r="D859" s="13" t="str">
        <f t="shared" si="1001"/>
        <v>20C</v>
      </c>
      <c r="E859" s="14">
        <f>IF(ISBLANK(A854),"",E858+1)</f>
        <v>6</v>
      </c>
      <c r="F859" s="15">
        <f t="shared" si="998"/>
        <v>45913.23472</v>
      </c>
      <c r="G859" s="16">
        <v>0.386</v>
      </c>
    </row>
    <row r="860">
      <c r="A860" s="5" t="s">
        <v>12</v>
      </c>
      <c r="B860" s="6" t="str">
        <f>IF(ISBLANK(A860),"",VLOOKUP($A860,'Data Feed (20C)'!$A$1:$G$14,2,FALSE))</f>
        <v>DKF250911AGACAP_20C_sample_1</v>
      </c>
      <c r="C860" s="6" t="str">
        <f>IF(ISBLANK(A860),"",VLOOKUP($A860,'Data Feed (20C)'!$A$1:$G$14,3,FALSE))</f>
        <v>Agathosma capensis</v>
      </c>
      <c r="D860" s="6" t="str">
        <f>IF(ISBLANK(A860),"",VLOOKUP($A860,'Data Feed (20C)'!$A$1:$G$14,4,FALSE))</f>
        <v>20C</v>
      </c>
      <c r="E860" s="6">
        <f>IF(ISBLANK(A860),"",VLOOKUP($A860,'Data Feed (20C)'!$A$1:$G$14,7,FALSE))</f>
        <v>1</v>
      </c>
      <c r="F860" s="7">
        <v>45913.39722222222</v>
      </c>
      <c r="G860" s="8">
        <v>4.118</v>
      </c>
    </row>
    <row r="861">
      <c r="A861" s="9" t="str">
        <f t="shared" ref="A861:A865" si="1003">A860</f>
        <v>AGACAP</v>
      </c>
      <c r="B861" s="9" t="str">
        <f>IF(ISBLANK(A860),"",LEFT(B860,27)&amp;VALUE(RIGHT(B860,1)+1))</f>
        <v>DKF250911AGACAP_20C_sample_2</v>
      </c>
      <c r="C861" s="6" t="str">
        <f t="shared" ref="C861:D861" si="1002">C860</f>
        <v>Agathosma capensis</v>
      </c>
      <c r="D861" s="6" t="str">
        <f t="shared" si="1002"/>
        <v>20C</v>
      </c>
      <c r="E861" s="10">
        <f>IF(ISBLANK(A860),"",E860+1)</f>
        <v>2</v>
      </c>
      <c r="F861" s="11">
        <f t="shared" ref="F861:F865" si="1005">F860</f>
        <v>45913.39722</v>
      </c>
      <c r="G861" s="8">
        <v>1.528</v>
      </c>
    </row>
    <row r="862">
      <c r="A862" s="9" t="str">
        <f t="shared" si="1003"/>
        <v>AGACAP</v>
      </c>
      <c r="B862" s="9" t="str">
        <f>IF(ISBLANK(A860),"",LEFT(B861,27)&amp;VALUE(RIGHT(B861,1)+1))</f>
        <v>DKF250911AGACAP_20C_sample_3</v>
      </c>
      <c r="C862" s="6" t="str">
        <f t="shared" ref="C862:D862" si="1004">C861</f>
        <v>Agathosma capensis</v>
      </c>
      <c r="D862" s="6" t="str">
        <f t="shared" si="1004"/>
        <v>20C</v>
      </c>
      <c r="E862" s="10">
        <f>IF(ISBLANK(A860),"",E861+1)</f>
        <v>3</v>
      </c>
      <c r="F862" s="11">
        <f t="shared" si="1005"/>
        <v>45913.39722</v>
      </c>
      <c r="G862" s="8">
        <v>1.863</v>
      </c>
    </row>
    <row r="863">
      <c r="A863" s="9" t="str">
        <f t="shared" si="1003"/>
        <v>AGACAP</v>
      </c>
      <c r="B863" s="9" t="str">
        <f>IF(ISBLANK(A860),"",LEFT(B862,27)&amp;VALUE(RIGHT(B862,1)+1))</f>
        <v>DKF250911AGACAP_20C_sample_4</v>
      </c>
      <c r="C863" s="6" t="str">
        <f t="shared" ref="C863:D863" si="1006">C862</f>
        <v>Agathosma capensis</v>
      </c>
      <c r="D863" s="6" t="str">
        <f t="shared" si="1006"/>
        <v>20C</v>
      </c>
      <c r="E863" s="10">
        <f>IF(ISBLANK(A860),"",E862+1)</f>
        <v>4</v>
      </c>
      <c r="F863" s="11">
        <f t="shared" si="1005"/>
        <v>45913.39722</v>
      </c>
      <c r="G863" s="8">
        <v>1.323</v>
      </c>
    </row>
    <row r="864">
      <c r="A864" s="9" t="str">
        <f t="shared" si="1003"/>
        <v>AGACAP</v>
      </c>
      <c r="B864" s="9" t="str">
        <f>IF(ISBLANK(A860),"",LEFT(B863,27)&amp;VALUE(RIGHT(B863,1)+1))</f>
        <v>DKF250911AGACAP_20C_sample_5</v>
      </c>
      <c r="C864" s="6" t="str">
        <f t="shared" ref="C864:D864" si="1007">C863</f>
        <v>Agathosma capensis</v>
      </c>
      <c r="D864" s="6" t="str">
        <f t="shared" si="1007"/>
        <v>20C</v>
      </c>
      <c r="E864" s="10">
        <f>IF(ISBLANK(A860),"",E863+1)</f>
        <v>5</v>
      </c>
      <c r="F864" s="11">
        <f t="shared" si="1005"/>
        <v>45913.39722</v>
      </c>
      <c r="G864" s="8">
        <v>0.525</v>
      </c>
    </row>
    <row r="865">
      <c r="A865" s="12" t="str">
        <f t="shared" si="1003"/>
        <v>AGACAP</v>
      </c>
      <c r="B865" s="12" t="str">
        <f>IF(ISBLANK(A860),"",LEFT(B864,27)&amp;VALUE(RIGHT(B864,1)+1))</f>
        <v>DKF250911AGACAP_20C_sample_6</v>
      </c>
      <c r="C865" s="13" t="str">
        <f t="shared" ref="C865:D865" si="1008">C864</f>
        <v>Agathosma capensis</v>
      </c>
      <c r="D865" s="13" t="str">
        <f t="shared" si="1008"/>
        <v>20C</v>
      </c>
      <c r="E865" s="14">
        <f>IF(ISBLANK(A860),"",E864+1)</f>
        <v>6</v>
      </c>
      <c r="F865" s="15">
        <f t="shared" si="1005"/>
        <v>45913.39722</v>
      </c>
      <c r="G865" s="16">
        <v>1.475</v>
      </c>
    </row>
    <row r="866">
      <c r="A866" s="5" t="s">
        <v>14</v>
      </c>
      <c r="B866" s="6" t="str">
        <f>IF(ISBLANK(A866),"",VLOOKUP($A866,'Data Feed (20C)'!$A$1:$G$14,2,FALSE))</f>
        <v>DKF250911ASPSHA_20C_sample_1</v>
      </c>
      <c r="C866" s="6" t="str">
        <f>IF(ISBLANK(A866),"",VLOOKUP($A866,'Data Feed (20C)'!$A$1:$G$14,3,FALSE))</f>
        <v>Aspalathus shawii</v>
      </c>
      <c r="D866" s="6" t="str">
        <f>IF(ISBLANK(A866),"",VLOOKUP($A866,'Data Feed (20C)'!$A$1:$G$14,4,FALSE))</f>
        <v>20C</v>
      </c>
      <c r="E866" s="6">
        <f>IF(ISBLANK(A866),"",VLOOKUP($A866,'Data Feed (20C)'!$A$1:$G$14,7,FALSE))</f>
        <v>1</v>
      </c>
      <c r="F866" s="7">
        <v>45913.39861111111</v>
      </c>
      <c r="G866" s="8">
        <v>13.455</v>
      </c>
    </row>
    <row r="867">
      <c r="A867" s="9" t="str">
        <f t="shared" ref="A867:A871" si="1010">A866</f>
        <v>ASPSHA</v>
      </c>
      <c r="B867" s="9" t="str">
        <f>IF(ISBLANK(A866),"",LEFT(B866,27)&amp;VALUE(RIGHT(B866,1)+1))</f>
        <v>DKF250911ASPSHA_20C_sample_2</v>
      </c>
      <c r="C867" s="6" t="str">
        <f t="shared" ref="C867:D867" si="1009">C866</f>
        <v>Aspalathus shawii</v>
      </c>
      <c r="D867" s="6" t="str">
        <f t="shared" si="1009"/>
        <v>20C</v>
      </c>
      <c r="E867" s="10">
        <f>IF(ISBLANK(A866),"",E866+1)</f>
        <v>2</v>
      </c>
      <c r="F867" s="11">
        <f t="shared" ref="F867:F871" si="1012">F866</f>
        <v>45913.39861</v>
      </c>
      <c r="G867" s="8">
        <v>9.273</v>
      </c>
    </row>
    <row r="868">
      <c r="A868" s="9" t="str">
        <f t="shared" si="1010"/>
        <v>ASPSHA</v>
      </c>
      <c r="B868" s="9" t="str">
        <f>IF(ISBLANK(A866),"",LEFT(B867,27)&amp;VALUE(RIGHT(B867,1)+1))</f>
        <v>DKF250911ASPSHA_20C_sample_3</v>
      </c>
      <c r="C868" s="6" t="str">
        <f t="shared" ref="C868:D868" si="1011">C867</f>
        <v>Aspalathus shawii</v>
      </c>
      <c r="D868" s="6" t="str">
        <f t="shared" si="1011"/>
        <v>20C</v>
      </c>
      <c r="E868" s="10">
        <f>IF(ISBLANK(A866),"",E867+1)</f>
        <v>3</v>
      </c>
      <c r="F868" s="11">
        <f t="shared" si="1012"/>
        <v>45913.39861</v>
      </c>
      <c r="G868" s="8">
        <v>5.268</v>
      </c>
    </row>
    <row r="869">
      <c r="A869" s="9" t="str">
        <f t="shared" si="1010"/>
        <v>ASPSHA</v>
      </c>
      <c r="B869" s="9" t="str">
        <f>IF(ISBLANK(A866),"",LEFT(B868,27)&amp;VALUE(RIGHT(B868,1)+1))</f>
        <v>DKF250911ASPSHA_20C_sample_4</v>
      </c>
      <c r="C869" s="6" t="str">
        <f t="shared" ref="C869:D869" si="1013">C868</f>
        <v>Aspalathus shawii</v>
      </c>
      <c r="D869" s="6" t="str">
        <f t="shared" si="1013"/>
        <v>20C</v>
      </c>
      <c r="E869" s="10">
        <f>IF(ISBLANK(A866),"",E868+1)</f>
        <v>4</v>
      </c>
      <c r="F869" s="11">
        <f t="shared" si="1012"/>
        <v>45913.39861</v>
      </c>
      <c r="G869" s="8">
        <v>12.882</v>
      </c>
    </row>
    <row r="870">
      <c r="A870" s="9" t="str">
        <f t="shared" si="1010"/>
        <v>ASPSHA</v>
      </c>
      <c r="B870" s="9" t="str">
        <f>IF(ISBLANK(A866),"",LEFT(B869,27)&amp;VALUE(RIGHT(B869,1)+1))</f>
        <v>DKF250911ASPSHA_20C_sample_5</v>
      </c>
      <c r="C870" s="6" t="str">
        <f t="shared" ref="C870:D870" si="1014">C869</f>
        <v>Aspalathus shawii</v>
      </c>
      <c r="D870" s="6" t="str">
        <f t="shared" si="1014"/>
        <v>20C</v>
      </c>
      <c r="E870" s="10">
        <f>IF(ISBLANK(A866),"",E869+1)</f>
        <v>5</v>
      </c>
      <c r="F870" s="11">
        <f t="shared" si="1012"/>
        <v>45913.39861</v>
      </c>
      <c r="G870" s="8">
        <v>3.782</v>
      </c>
    </row>
    <row r="871">
      <c r="A871" s="12" t="str">
        <f t="shared" si="1010"/>
        <v>ASPSHA</v>
      </c>
      <c r="B871" s="12" t="str">
        <f>IF(ISBLANK(A866),"",LEFT(B870,27)&amp;VALUE(RIGHT(B870,1)+1))</f>
        <v>DKF250911ASPSHA_20C_sample_6</v>
      </c>
      <c r="C871" s="13" t="str">
        <f t="shared" ref="C871:D871" si="1015">C870</f>
        <v>Aspalathus shawii</v>
      </c>
      <c r="D871" s="13" t="str">
        <f t="shared" si="1015"/>
        <v>20C</v>
      </c>
      <c r="E871" s="14">
        <f>IF(ISBLANK(A866),"",E870+1)</f>
        <v>6</v>
      </c>
      <c r="F871" s="15">
        <f t="shared" si="1012"/>
        <v>45913.39861</v>
      </c>
      <c r="G871" s="16">
        <v>10.883</v>
      </c>
    </row>
    <row r="872">
      <c r="A872" s="5" t="s">
        <v>19</v>
      </c>
      <c r="B872" s="6" t="str">
        <f>IF(ISBLANK(A872),"",VLOOKUP($A872,'Data Feed (20C)'!$A$1:$G$14,2,FALSE))</f>
        <v>DKR250911CLURUB_20C_sample_1</v>
      </c>
      <c r="C872" s="6" t="str">
        <f>IF(ISBLANK(A872),"",VLOOKUP($A872,'Data Feed (20C)'!$A$1:$G$14,3,FALSE))</f>
        <v>Clutia rubricaulis</v>
      </c>
      <c r="D872" s="6" t="str">
        <f>IF(ISBLANK(A872),"",VLOOKUP($A872,'Data Feed (20C)'!$A$1:$G$14,4,FALSE))</f>
        <v>20C</v>
      </c>
      <c r="E872" s="6">
        <f>IF(ISBLANK(A872),"",VLOOKUP($A872,'Data Feed (20C)'!$A$1:$G$14,7,FALSE))</f>
        <v>1</v>
      </c>
      <c r="F872" s="7">
        <v>45913.40069444444</v>
      </c>
      <c r="G872" s="8">
        <v>0.36</v>
      </c>
    </row>
    <row r="873">
      <c r="A873" s="9" t="str">
        <f t="shared" ref="A873:A877" si="1017">A872</f>
        <v>CLURUB</v>
      </c>
      <c r="B873" s="9" t="str">
        <f>IF(ISBLANK(A872),"",LEFT(B872,27)&amp;VALUE(RIGHT(B872,1)+1))</f>
        <v>DKR250911CLURUB_20C_sample_2</v>
      </c>
      <c r="C873" s="6" t="str">
        <f t="shared" ref="C873:D873" si="1016">C872</f>
        <v>Clutia rubricaulis</v>
      </c>
      <c r="D873" s="6" t="str">
        <f t="shared" si="1016"/>
        <v>20C</v>
      </c>
      <c r="E873" s="10">
        <f>IF(ISBLANK(A872),"",E872+1)</f>
        <v>2</v>
      </c>
      <c r="F873" s="11">
        <f t="shared" ref="F873:F877" si="1019">F872</f>
        <v>45913.40069</v>
      </c>
      <c r="G873" s="8">
        <v>0.293</v>
      </c>
    </row>
    <row r="874">
      <c r="A874" s="9" t="str">
        <f t="shared" si="1017"/>
        <v>CLURUB</v>
      </c>
      <c r="B874" s="9" t="str">
        <f>IF(ISBLANK(A872),"",LEFT(B873,27)&amp;VALUE(RIGHT(B873,1)+1))</f>
        <v>DKR250911CLURUB_20C_sample_3</v>
      </c>
      <c r="C874" s="6" t="str">
        <f t="shared" ref="C874:D874" si="1018">C873</f>
        <v>Clutia rubricaulis</v>
      </c>
      <c r="D874" s="6" t="str">
        <f t="shared" si="1018"/>
        <v>20C</v>
      </c>
      <c r="E874" s="10">
        <f>IF(ISBLANK(A872),"",E873+1)</f>
        <v>3</v>
      </c>
      <c r="F874" s="11">
        <f t="shared" si="1019"/>
        <v>45913.40069</v>
      </c>
      <c r="G874" s="8">
        <v>0.377</v>
      </c>
    </row>
    <row r="875">
      <c r="A875" s="9" t="str">
        <f t="shared" si="1017"/>
        <v>CLURUB</v>
      </c>
      <c r="B875" s="9" t="str">
        <f>IF(ISBLANK(A872),"",LEFT(B874,27)&amp;VALUE(RIGHT(B874,1)+1))</f>
        <v>DKR250911CLURUB_20C_sample_4</v>
      </c>
      <c r="C875" s="6" t="str">
        <f t="shared" ref="C875:D875" si="1020">C874</f>
        <v>Clutia rubricaulis</v>
      </c>
      <c r="D875" s="6" t="str">
        <f t="shared" si="1020"/>
        <v>20C</v>
      </c>
      <c r="E875" s="10">
        <f>IF(ISBLANK(A872),"",E874+1)</f>
        <v>4</v>
      </c>
      <c r="F875" s="11">
        <f t="shared" si="1019"/>
        <v>45913.40069</v>
      </c>
      <c r="G875" s="8">
        <v>0.204</v>
      </c>
    </row>
    <row r="876">
      <c r="A876" s="9" t="str">
        <f t="shared" si="1017"/>
        <v>CLURUB</v>
      </c>
      <c r="B876" s="9" t="str">
        <f>IF(ISBLANK(A872),"",LEFT(B875,27)&amp;VALUE(RIGHT(B875,1)+1))</f>
        <v>DKR250911CLURUB_20C_sample_5</v>
      </c>
      <c r="C876" s="6" t="str">
        <f t="shared" ref="C876:D876" si="1021">C875</f>
        <v>Clutia rubricaulis</v>
      </c>
      <c r="D876" s="6" t="str">
        <f t="shared" si="1021"/>
        <v>20C</v>
      </c>
      <c r="E876" s="10">
        <f>IF(ISBLANK(A872),"",E875+1)</f>
        <v>5</v>
      </c>
      <c r="F876" s="11">
        <f t="shared" si="1019"/>
        <v>45913.40069</v>
      </c>
      <c r="G876" s="8">
        <v>0.367</v>
      </c>
    </row>
    <row r="877">
      <c r="A877" s="12" t="str">
        <f t="shared" si="1017"/>
        <v>CLURUB</v>
      </c>
      <c r="B877" s="12" t="str">
        <f>IF(ISBLANK(A872),"",LEFT(B876,27)&amp;VALUE(RIGHT(B876,1)+1))</f>
        <v>DKR250911CLURUB_20C_sample_6</v>
      </c>
      <c r="C877" s="13" t="str">
        <f t="shared" ref="C877:D877" si="1022">C876</f>
        <v>Clutia rubricaulis</v>
      </c>
      <c r="D877" s="13" t="str">
        <f t="shared" si="1022"/>
        <v>20C</v>
      </c>
      <c r="E877" s="14">
        <f>IF(ISBLANK(A872),"",E876+1)</f>
        <v>6</v>
      </c>
      <c r="F877" s="15">
        <f t="shared" si="1019"/>
        <v>45913.40069</v>
      </c>
      <c r="G877" s="16">
        <v>0.298</v>
      </c>
    </row>
    <row r="878">
      <c r="A878" s="5" t="s">
        <v>15</v>
      </c>
      <c r="B878" s="6" t="str">
        <f>IF(ISBLANK(A878),"",VLOOKUP($A878,'Data Feed (20C)'!$A$1:$G$14,2,FALSE))</f>
        <v>DKR250911ELYRHI_20C_sample_1</v>
      </c>
      <c r="C878" s="6" t="str">
        <f>IF(ISBLANK(A878),"",VLOOKUP($A878,'Data Feed (20C)'!$A$1:$G$14,3,FALSE))</f>
        <v>Elytropappus rhinocerotis</v>
      </c>
      <c r="D878" s="6" t="str">
        <f>IF(ISBLANK(A878),"",VLOOKUP($A878,'Data Feed (20C)'!$A$1:$G$14,4,FALSE))</f>
        <v>20C</v>
      </c>
      <c r="E878" s="6">
        <f>IF(ISBLANK(A878),"",VLOOKUP($A878,'Data Feed (20C)'!$A$1:$G$14,7,FALSE))</f>
        <v>1</v>
      </c>
      <c r="F878" s="7">
        <v>45913.402083333334</v>
      </c>
      <c r="G878" s="8">
        <v>3.209</v>
      </c>
    </row>
    <row r="879">
      <c r="A879" s="9" t="str">
        <f t="shared" ref="A879:A883" si="1024">A878</f>
        <v>ELYRHI</v>
      </c>
      <c r="B879" s="9" t="str">
        <f>IF(ISBLANK(A878),"",LEFT(B878,27)&amp;VALUE(RIGHT(B878,1)+1))</f>
        <v>DKR250911ELYRHI_20C_sample_2</v>
      </c>
      <c r="C879" s="6" t="str">
        <f t="shared" ref="C879:D879" si="1023">C878</f>
        <v>Elytropappus rhinocerotis</v>
      </c>
      <c r="D879" s="6" t="str">
        <f t="shared" si="1023"/>
        <v>20C</v>
      </c>
      <c r="E879" s="10">
        <f>IF(ISBLANK(A878),"",E878+1)</f>
        <v>2</v>
      </c>
      <c r="F879" s="11">
        <f t="shared" ref="F879:F883" si="1026">F878</f>
        <v>45913.40208</v>
      </c>
      <c r="G879" s="8">
        <v>3.426</v>
      </c>
    </row>
    <row r="880">
      <c r="A880" s="9" t="str">
        <f t="shared" si="1024"/>
        <v>ELYRHI</v>
      </c>
      <c r="B880" s="9" t="str">
        <f>IF(ISBLANK(A878),"",LEFT(B879,27)&amp;VALUE(RIGHT(B879,1)+1))</f>
        <v>DKR250911ELYRHI_20C_sample_3</v>
      </c>
      <c r="C880" s="6" t="str">
        <f t="shared" ref="C880:D880" si="1025">C879</f>
        <v>Elytropappus rhinocerotis</v>
      </c>
      <c r="D880" s="6" t="str">
        <f t="shared" si="1025"/>
        <v>20C</v>
      </c>
      <c r="E880" s="10">
        <f>IF(ISBLANK(A878),"",E879+1)</f>
        <v>3</v>
      </c>
      <c r="F880" s="11">
        <f t="shared" si="1026"/>
        <v>45913.40208</v>
      </c>
      <c r="G880" s="8">
        <v>6.007</v>
      </c>
    </row>
    <row r="881">
      <c r="A881" s="9" t="str">
        <f t="shared" si="1024"/>
        <v>ELYRHI</v>
      </c>
      <c r="B881" s="9" t="str">
        <f>IF(ISBLANK(A878),"",LEFT(B880,27)&amp;VALUE(RIGHT(B880,1)+1))</f>
        <v>DKR250911ELYRHI_20C_sample_4</v>
      </c>
      <c r="C881" s="6" t="str">
        <f t="shared" ref="C881:D881" si="1027">C880</f>
        <v>Elytropappus rhinocerotis</v>
      </c>
      <c r="D881" s="6" t="str">
        <f t="shared" si="1027"/>
        <v>20C</v>
      </c>
      <c r="E881" s="10">
        <f>IF(ISBLANK(A878),"",E880+1)</f>
        <v>4</v>
      </c>
      <c r="F881" s="11">
        <f t="shared" si="1026"/>
        <v>45913.40208</v>
      </c>
      <c r="G881" s="8">
        <v>3.454</v>
      </c>
    </row>
    <row r="882">
      <c r="A882" s="9" t="str">
        <f t="shared" si="1024"/>
        <v>ELYRHI</v>
      </c>
      <c r="B882" s="9" t="str">
        <f>IF(ISBLANK(A878),"",LEFT(B881,27)&amp;VALUE(RIGHT(B881,1)+1))</f>
        <v>DKR250911ELYRHI_20C_sample_5</v>
      </c>
      <c r="C882" s="6" t="str">
        <f t="shared" ref="C882:D882" si="1028">C881</f>
        <v>Elytropappus rhinocerotis</v>
      </c>
      <c r="D882" s="6" t="str">
        <f t="shared" si="1028"/>
        <v>20C</v>
      </c>
      <c r="E882" s="10">
        <f>IF(ISBLANK(A878),"",E881+1)</f>
        <v>5</v>
      </c>
      <c r="F882" s="11">
        <f t="shared" si="1026"/>
        <v>45913.40208</v>
      </c>
      <c r="G882" s="8">
        <v>2.272</v>
      </c>
    </row>
    <row r="883">
      <c r="A883" s="12" t="str">
        <f t="shared" si="1024"/>
        <v>ELYRHI</v>
      </c>
      <c r="B883" s="12" t="str">
        <f>IF(ISBLANK(A878),"",LEFT(B882,27)&amp;VALUE(RIGHT(B882,1)+1))</f>
        <v>DKR250911ELYRHI_20C_sample_6</v>
      </c>
      <c r="C883" s="13" t="str">
        <f t="shared" ref="C883:D883" si="1029">C882</f>
        <v>Elytropappus rhinocerotis</v>
      </c>
      <c r="D883" s="13" t="str">
        <f t="shared" si="1029"/>
        <v>20C</v>
      </c>
      <c r="E883" s="14">
        <f>IF(ISBLANK(A878),"",E882+1)</f>
        <v>6</v>
      </c>
      <c r="F883" s="15">
        <f t="shared" si="1026"/>
        <v>45913.40208</v>
      </c>
      <c r="G883" s="16">
        <v>1.854</v>
      </c>
    </row>
    <row r="884">
      <c r="A884" s="5" t="s">
        <v>10</v>
      </c>
      <c r="B884" s="6" t="str">
        <f>IF(ISBLANK(A884),"",VLOOKUP($A884,'Data Feed (20C)'!$A$1:$G$14,2,FALSE))</f>
        <v>DKF250911LOBDEC_20C_sample_1</v>
      </c>
      <c r="C884" s="6" t="str">
        <f>IF(ISBLANK(A884),"",VLOOKUP($A884,'Data Feed (20C)'!$A$1:$G$14,3,FALSE))</f>
        <v>Lobostemon decorus</v>
      </c>
      <c r="D884" s="6" t="str">
        <f>IF(ISBLANK(A884),"",VLOOKUP($A884,'Data Feed (20C)'!$A$1:$G$14,4,FALSE))</f>
        <v>20C</v>
      </c>
      <c r="E884" s="6">
        <f>IF(ISBLANK(A884),"",VLOOKUP($A884,'Data Feed (20C)'!$A$1:$G$14,7,FALSE))</f>
        <v>1</v>
      </c>
      <c r="F884" s="7">
        <v>45913.40347222222</v>
      </c>
      <c r="G884" s="8">
        <v>6.746</v>
      </c>
    </row>
    <row r="885">
      <c r="A885" s="9" t="str">
        <f t="shared" ref="A885:A889" si="1031">A884</f>
        <v>LOBDEC</v>
      </c>
      <c r="B885" s="9" t="str">
        <f>IF(ISBLANK(A884),"",LEFT(B884,27)&amp;VALUE(RIGHT(B884,1)+1))</f>
        <v>DKF250911LOBDEC_20C_sample_2</v>
      </c>
      <c r="C885" s="6" t="str">
        <f t="shared" ref="C885:D885" si="1030">C884</f>
        <v>Lobostemon decorus</v>
      </c>
      <c r="D885" s="6" t="str">
        <f t="shared" si="1030"/>
        <v>20C</v>
      </c>
      <c r="E885" s="10">
        <f>IF(ISBLANK(A884),"",E884+1)</f>
        <v>2</v>
      </c>
      <c r="F885" s="11">
        <f t="shared" ref="F885:F889" si="1033">F884</f>
        <v>45913.40347</v>
      </c>
      <c r="G885" s="8">
        <v>5.385</v>
      </c>
    </row>
    <row r="886">
      <c r="A886" s="9" t="str">
        <f t="shared" si="1031"/>
        <v>LOBDEC</v>
      </c>
      <c r="B886" s="9" t="str">
        <f>IF(ISBLANK(A884),"",LEFT(B885,27)&amp;VALUE(RIGHT(B885,1)+1))</f>
        <v>DKF250911LOBDEC_20C_sample_3</v>
      </c>
      <c r="C886" s="6" t="str">
        <f t="shared" ref="C886:D886" si="1032">C885</f>
        <v>Lobostemon decorus</v>
      </c>
      <c r="D886" s="6" t="str">
        <f t="shared" si="1032"/>
        <v>20C</v>
      </c>
      <c r="E886" s="10">
        <f>IF(ISBLANK(A884),"",E885+1)</f>
        <v>3</v>
      </c>
      <c r="F886" s="11">
        <f t="shared" si="1033"/>
        <v>45913.40347</v>
      </c>
      <c r="G886" s="8">
        <v>8.48</v>
      </c>
    </row>
    <row r="887">
      <c r="A887" s="9" t="str">
        <f t="shared" si="1031"/>
        <v>LOBDEC</v>
      </c>
      <c r="B887" s="9" t="str">
        <f>IF(ISBLANK(A884),"",LEFT(B886,27)&amp;VALUE(RIGHT(B886,1)+1))</f>
        <v>DKF250911LOBDEC_20C_sample_4</v>
      </c>
      <c r="C887" s="6" t="str">
        <f t="shared" ref="C887:D887" si="1034">C886</f>
        <v>Lobostemon decorus</v>
      </c>
      <c r="D887" s="6" t="str">
        <f t="shared" si="1034"/>
        <v>20C</v>
      </c>
      <c r="E887" s="10">
        <f>IF(ISBLANK(A884),"",E886+1)</f>
        <v>4</v>
      </c>
      <c r="F887" s="11">
        <f t="shared" si="1033"/>
        <v>45913.40347</v>
      </c>
      <c r="G887" s="8">
        <v>5.625</v>
      </c>
    </row>
    <row r="888">
      <c r="A888" s="9" t="str">
        <f t="shared" si="1031"/>
        <v>LOBDEC</v>
      </c>
      <c r="B888" s="9" t="str">
        <f>IF(ISBLANK(A884),"",LEFT(B887,27)&amp;VALUE(RIGHT(B887,1)+1))</f>
        <v>DKF250911LOBDEC_20C_sample_5</v>
      </c>
      <c r="C888" s="6" t="str">
        <f t="shared" ref="C888:D888" si="1035">C887</f>
        <v>Lobostemon decorus</v>
      </c>
      <c r="D888" s="6" t="str">
        <f t="shared" si="1035"/>
        <v>20C</v>
      </c>
      <c r="E888" s="10">
        <f>IF(ISBLANK(A884),"",E887+1)</f>
        <v>5</v>
      </c>
      <c r="F888" s="11">
        <f t="shared" si="1033"/>
        <v>45913.40347</v>
      </c>
      <c r="G888" s="8">
        <v>4.063</v>
      </c>
    </row>
    <row r="889">
      <c r="A889" s="12" t="str">
        <f t="shared" si="1031"/>
        <v>LOBDEC</v>
      </c>
      <c r="B889" s="12" t="str">
        <f>IF(ISBLANK(A884),"",LEFT(B888,27)&amp;VALUE(RIGHT(B888,1)+1))</f>
        <v>DKF250911LOBDEC_20C_sample_6</v>
      </c>
      <c r="C889" s="13" t="str">
        <f t="shared" ref="C889:D889" si="1036">C888</f>
        <v>Lobostemon decorus</v>
      </c>
      <c r="D889" s="13" t="str">
        <f t="shared" si="1036"/>
        <v>20C</v>
      </c>
      <c r="E889" s="14">
        <f>IF(ISBLANK(A884),"",E888+1)</f>
        <v>6</v>
      </c>
      <c r="F889" s="15">
        <f t="shared" si="1033"/>
        <v>45913.40347</v>
      </c>
      <c r="G889" s="16">
        <v>3.716</v>
      </c>
    </row>
    <row r="890">
      <c r="A890" s="5" t="s">
        <v>16</v>
      </c>
      <c r="B890" s="6" t="str">
        <f>IF(ISBLANK(A890),"",VLOOKUP($A890,'Data Feed (20C)'!$A$1:$G$14,2,FALSE))</f>
        <v>DKR250911MICPOL_20C_sample_1</v>
      </c>
      <c r="C890" s="6" t="str">
        <f>IF(ISBLANK(A890),"",VLOOKUP($A890,'Data Feed (20C)'!$A$1:$G$14,3,FALSE))</f>
        <v>Microdon polygaloides</v>
      </c>
      <c r="D890" s="6" t="str">
        <f>IF(ISBLANK(A890),"",VLOOKUP($A890,'Data Feed (20C)'!$A$1:$G$14,4,FALSE))</f>
        <v>20C</v>
      </c>
      <c r="E890" s="6">
        <f>IF(ISBLANK(A890),"",VLOOKUP($A890,'Data Feed (20C)'!$A$1:$G$14,7,FALSE))</f>
        <v>1</v>
      </c>
      <c r="F890" s="7">
        <v>45913.404861111114</v>
      </c>
      <c r="G890" s="8">
        <v>1.412</v>
      </c>
    </row>
    <row r="891">
      <c r="A891" s="9" t="str">
        <f t="shared" ref="A891:A895" si="1038">A890</f>
        <v>MICPOL</v>
      </c>
      <c r="B891" s="9" t="str">
        <f>IF(ISBLANK(A890),"",LEFT(B890,27)&amp;VALUE(RIGHT(B890,1)+1))</f>
        <v>DKR250911MICPOL_20C_sample_2</v>
      </c>
      <c r="C891" s="6" t="str">
        <f t="shared" ref="C891:D891" si="1037">C890</f>
        <v>Microdon polygaloides</v>
      </c>
      <c r="D891" s="6" t="str">
        <f t="shared" si="1037"/>
        <v>20C</v>
      </c>
      <c r="E891" s="10">
        <f>IF(ISBLANK(A890),"",E890+1)</f>
        <v>2</v>
      </c>
      <c r="F891" s="11">
        <f t="shared" ref="F891:F895" si="1040">F890</f>
        <v>45913.40486</v>
      </c>
      <c r="G891" s="8">
        <v>0.839</v>
      </c>
    </row>
    <row r="892">
      <c r="A892" s="9" t="str">
        <f t="shared" si="1038"/>
        <v>MICPOL</v>
      </c>
      <c r="B892" s="9" t="str">
        <f>IF(ISBLANK(A890),"",LEFT(B891,27)&amp;VALUE(RIGHT(B891,1)+1))</f>
        <v>DKR250911MICPOL_20C_sample_3</v>
      </c>
      <c r="C892" s="6" t="str">
        <f t="shared" ref="C892:D892" si="1039">C891</f>
        <v>Microdon polygaloides</v>
      </c>
      <c r="D892" s="6" t="str">
        <f t="shared" si="1039"/>
        <v>20C</v>
      </c>
      <c r="E892" s="10">
        <f>IF(ISBLANK(A890),"",E891+1)</f>
        <v>3</v>
      </c>
      <c r="F892" s="11">
        <f t="shared" si="1040"/>
        <v>45913.40486</v>
      </c>
      <c r="G892" s="8">
        <v>0.348</v>
      </c>
    </row>
    <row r="893">
      <c r="A893" s="9" t="str">
        <f t="shared" si="1038"/>
        <v>MICPOL</v>
      </c>
      <c r="B893" s="9" t="str">
        <f>IF(ISBLANK(A890),"",LEFT(B892,27)&amp;VALUE(RIGHT(B892,1)+1))</f>
        <v>DKR250911MICPOL_20C_sample_4</v>
      </c>
      <c r="C893" s="6" t="str">
        <f t="shared" ref="C893:D893" si="1041">C892</f>
        <v>Microdon polygaloides</v>
      </c>
      <c r="D893" s="6" t="str">
        <f t="shared" si="1041"/>
        <v>20C</v>
      </c>
      <c r="E893" s="10">
        <f>IF(ISBLANK(A890),"",E892+1)</f>
        <v>4</v>
      </c>
      <c r="F893" s="11">
        <f t="shared" si="1040"/>
        <v>45913.40486</v>
      </c>
      <c r="G893" s="8">
        <v>0.166</v>
      </c>
    </row>
    <row r="894">
      <c r="A894" s="9" t="str">
        <f t="shared" si="1038"/>
        <v>MICPOL</v>
      </c>
      <c r="B894" s="9" t="str">
        <f>IF(ISBLANK(A890),"",LEFT(B893,27)&amp;VALUE(RIGHT(B893,1)+1))</f>
        <v>DKR250911MICPOL_20C_sample_5</v>
      </c>
      <c r="C894" s="6" t="str">
        <f t="shared" ref="C894:D894" si="1042">C893</f>
        <v>Microdon polygaloides</v>
      </c>
      <c r="D894" s="6" t="str">
        <f t="shared" si="1042"/>
        <v>20C</v>
      </c>
      <c r="E894" s="10">
        <f>IF(ISBLANK(A890),"",E893+1)</f>
        <v>5</v>
      </c>
      <c r="F894" s="11">
        <f t="shared" si="1040"/>
        <v>45913.40486</v>
      </c>
      <c r="G894" s="8">
        <v>0.275</v>
      </c>
    </row>
    <row r="895">
      <c r="A895" s="12" t="str">
        <f t="shared" si="1038"/>
        <v>MICPOL</v>
      </c>
      <c r="B895" s="12" t="str">
        <f>IF(ISBLANK(A890),"",LEFT(B894,27)&amp;VALUE(RIGHT(B894,1)+1))</f>
        <v>DKR250911MICPOL_20C_sample_6</v>
      </c>
      <c r="C895" s="13" t="str">
        <f t="shared" ref="C895:D895" si="1043">C894</f>
        <v>Microdon polygaloides</v>
      </c>
      <c r="D895" s="13" t="str">
        <f t="shared" si="1043"/>
        <v>20C</v>
      </c>
      <c r="E895" s="14">
        <f>IF(ISBLANK(A890),"",E894+1)</f>
        <v>6</v>
      </c>
      <c r="F895" s="15">
        <f t="shared" si="1040"/>
        <v>45913.40486</v>
      </c>
      <c r="G895" s="16">
        <v>0.218</v>
      </c>
    </row>
    <row r="896">
      <c r="A896" s="5" t="s">
        <v>17</v>
      </c>
      <c r="B896" s="6" t="str">
        <f>IF(ISBLANK(A896),"",VLOOKUP($A896,'Data Feed (20C)'!$A$1:$G$14,2,FALSE))</f>
        <v>DKR250911OEDSQU_20C_sample_1</v>
      </c>
      <c r="C896" s="6" t="str">
        <f>IF(ISBLANK(A896),"",VLOOKUP($A896,'Data Feed (20C)'!$A$1:$G$14,3,FALSE))</f>
        <v>Oedera squarrosa</v>
      </c>
      <c r="D896" s="6" t="str">
        <f>IF(ISBLANK(A896),"",VLOOKUP($A896,'Data Feed (20C)'!$A$1:$G$14,4,FALSE))</f>
        <v>20C</v>
      </c>
      <c r="E896" s="6">
        <f>IF(ISBLANK(A896),"",VLOOKUP($A896,'Data Feed (20C)'!$A$1:$G$14,7,FALSE))</f>
        <v>1</v>
      </c>
      <c r="F896" s="7">
        <v>45913.44097222222</v>
      </c>
      <c r="G896" s="8">
        <v>1.094</v>
      </c>
    </row>
    <row r="897">
      <c r="A897" s="9" t="str">
        <f t="shared" ref="A897:A901" si="1045">A896</f>
        <v>OEDSQU</v>
      </c>
      <c r="B897" s="9" t="str">
        <f>IF(ISBLANK(A896),"",LEFT(B896,27)&amp;VALUE(RIGHT(B896,1)+1))</f>
        <v>DKR250911OEDSQU_20C_sample_2</v>
      </c>
      <c r="C897" s="6" t="str">
        <f t="shared" ref="C897:D897" si="1044">C896</f>
        <v>Oedera squarrosa</v>
      </c>
      <c r="D897" s="6" t="str">
        <f t="shared" si="1044"/>
        <v>20C</v>
      </c>
      <c r="E897" s="10">
        <f>IF(ISBLANK(A896),"",E896+1)</f>
        <v>2</v>
      </c>
      <c r="F897" s="11">
        <f t="shared" ref="F897:F901" si="1047">F896</f>
        <v>45913.44097</v>
      </c>
      <c r="G897" s="8">
        <v>0.908</v>
      </c>
    </row>
    <row r="898">
      <c r="A898" s="9" t="str">
        <f t="shared" si="1045"/>
        <v>OEDSQU</v>
      </c>
      <c r="B898" s="9" t="str">
        <f>IF(ISBLANK(A896),"",LEFT(B897,27)&amp;VALUE(RIGHT(B897,1)+1))</f>
        <v>DKR250911OEDSQU_20C_sample_3</v>
      </c>
      <c r="C898" s="6" t="str">
        <f t="shared" ref="C898:D898" si="1046">C897</f>
        <v>Oedera squarrosa</v>
      </c>
      <c r="D898" s="6" t="str">
        <f t="shared" si="1046"/>
        <v>20C</v>
      </c>
      <c r="E898" s="10">
        <f>IF(ISBLANK(A896),"",E897+1)</f>
        <v>3</v>
      </c>
      <c r="F898" s="11">
        <f t="shared" si="1047"/>
        <v>45913.44097</v>
      </c>
      <c r="G898" s="8">
        <v>1.352</v>
      </c>
    </row>
    <row r="899">
      <c r="A899" s="9" t="str">
        <f t="shared" si="1045"/>
        <v>OEDSQU</v>
      </c>
      <c r="B899" s="9" t="str">
        <f>IF(ISBLANK(A896),"",LEFT(B898,27)&amp;VALUE(RIGHT(B898,1)+1))</f>
        <v>DKR250911OEDSQU_20C_sample_4</v>
      </c>
      <c r="C899" s="6" t="str">
        <f t="shared" ref="C899:D899" si="1048">C898</f>
        <v>Oedera squarrosa</v>
      </c>
      <c r="D899" s="6" t="str">
        <f t="shared" si="1048"/>
        <v>20C</v>
      </c>
      <c r="E899" s="10">
        <f>IF(ISBLANK(A896),"",E898+1)</f>
        <v>4</v>
      </c>
      <c r="F899" s="11">
        <f t="shared" si="1047"/>
        <v>45913.44097</v>
      </c>
      <c r="G899" s="8">
        <v>1.263</v>
      </c>
    </row>
    <row r="900">
      <c r="A900" s="9" t="str">
        <f t="shared" si="1045"/>
        <v>OEDSQU</v>
      </c>
      <c r="B900" s="9" t="str">
        <f>IF(ISBLANK(A896),"",LEFT(B899,27)&amp;VALUE(RIGHT(B899,1)+1))</f>
        <v>DKR250911OEDSQU_20C_sample_5</v>
      </c>
      <c r="C900" s="6" t="str">
        <f t="shared" ref="C900:D900" si="1049">C899</f>
        <v>Oedera squarrosa</v>
      </c>
      <c r="D900" s="6" t="str">
        <f t="shared" si="1049"/>
        <v>20C</v>
      </c>
      <c r="E900" s="10">
        <f>IF(ISBLANK(A896),"",E899+1)</f>
        <v>5</v>
      </c>
      <c r="F900" s="11">
        <f t="shared" si="1047"/>
        <v>45913.44097</v>
      </c>
      <c r="G900" s="8">
        <v>0.583</v>
      </c>
    </row>
    <row r="901">
      <c r="A901" s="12" t="str">
        <f t="shared" si="1045"/>
        <v>OEDSQU</v>
      </c>
      <c r="B901" s="12" t="str">
        <f>IF(ISBLANK(A896),"",LEFT(B900,27)&amp;VALUE(RIGHT(B900,1)+1))</f>
        <v>DKR250911OEDSQU_20C_sample_6</v>
      </c>
      <c r="C901" s="13" t="str">
        <f t="shared" ref="C901:D901" si="1050">C900</f>
        <v>Oedera squarrosa</v>
      </c>
      <c r="D901" s="13" t="str">
        <f t="shared" si="1050"/>
        <v>20C</v>
      </c>
      <c r="E901" s="14">
        <f>IF(ISBLANK(A896),"",E900+1)</f>
        <v>6</v>
      </c>
      <c r="F901" s="15">
        <f t="shared" si="1047"/>
        <v>45913.44097</v>
      </c>
      <c r="G901" s="16">
        <v>0.238</v>
      </c>
    </row>
    <row r="902">
      <c r="A902" s="5" t="s">
        <v>7</v>
      </c>
      <c r="B902" s="6" t="str">
        <f>IF(ISBLANK(A902),"",VLOOKUP($A902,'Data Feed (20C)'!$A$1:$G$14,2,FALSE))</f>
        <v>DKR250911PASOBT_20C_sample_1</v>
      </c>
      <c r="C902" s="6" t="str">
        <f>IF(ISBLANK(A902),"",VLOOKUP($A902,'Data Feed (20C)'!$A$1:$G$14,3,FALSE))</f>
        <v>Passerina obtusifolia</v>
      </c>
      <c r="D902" s="6" t="str">
        <f>IF(ISBLANK(A902),"",VLOOKUP($A902,'Data Feed (20C)'!$A$1:$G$14,4,FALSE))</f>
        <v>20C</v>
      </c>
      <c r="E902" s="6">
        <f>IF(ISBLANK(A902),"",VLOOKUP($A902,'Data Feed (20C)'!$A$1:$G$14,7,FALSE))</f>
        <v>1</v>
      </c>
      <c r="F902" s="7">
        <v>45913.44305555556</v>
      </c>
      <c r="G902" s="8">
        <v>2.868</v>
      </c>
    </row>
    <row r="903">
      <c r="A903" s="9" t="str">
        <f t="shared" ref="A903:A907" si="1052">A902</f>
        <v>PASOBT</v>
      </c>
      <c r="B903" s="9" t="str">
        <f>IF(ISBLANK(A902),"",LEFT(B902,27)&amp;VALUE(RIGHT(B902,1)+1))</f>
        <v>DKR250911PASOBT_20C_sample_2</v>
      </c>
      <c r="C903" s="6" t="str">
        <f t="shared" ref="C903:D903" si="1051">C902</f>
        <v>Passerina obtusifolia</v>
      </c>
      <c r="D903" s="6" t="str">
        <f t="shared" si="1051"/>
        <v>20C</v>
      </c>
      <c r="E903" s="10">
        <f>IF(ISBLANK(A902),"",E902+1)</f>
        <v>2</v>
      </c>
      <c r="F903" s="11">
        <f t="shared" ref="F903:F907" si="1054">F902</f>
        <v>45913.44306</v>
      </c>
      <c r="G903" s="8">
        <v>3.839</v>
      </c>
    </row>
    <row r="904">
      <c r="A904" s="9" t="str">
        <f t="shared" si="1052"/>
        <v>PASOBT</v>
      </c>
      <c r="B904" s="9" t="str">
        <f>IF(ISBLANK(A902),"",LEFT(B903,27)&amp;VALUE(RIGHT(B903,1)+1))</f>
        <v>DKR250911PASOBT_20C_sample_3</v>
      </c>
      <c r="C904" s="6" t="str">
        <f t="shared" ref="C904:D904" si="1053">C903</f>
        <v>Passerina obtusifolia</v>
      </c>
      <c r="D904" s="6" t="str">
        <f t="shared" si="1053"/>
        <v>20C</v>
      </c>
      <c r="E904" s="10">
        <f>IF(ISBLANK(A902),"",E903+1)</f>
        <v>3</v>
      </c>
      <c r="F904" s="11">
        <f t="shared" si="1054"/>
        <v>45913.44306</v>
      </c>
      <c r="G904" s="8">
        <v>1.333</v>
      </c>
    </row>
    <row r="905">
      <c r="A905" s="9" t="str">
        <f t="shared" si="1052"/>
        <v>PASOBT</v>
      </c>
      <c r="B905" s="9" t="str">
        <f>IF(ISBLANK(A902),"",LEFT(B904,27)&amp;VALUE(RIGHT(B904,1)+1))</f>
        <v>DKR250911PASOBT_20C_sample_4</v>
      </c>
      <c r="C905" s="6" t="str">
        <f t="shared" ref="C905:D905" si="1055">C904</f>
        <v>Passerina obtusifolia</v>
      </c>
      <c r="D905" s="6" t="str">
        <f t="shared" si="1055"/>
        <v>20C</v>
      </c>
      <c r="E905" s="10">
        <f>IF(ISBLANK(A902),"",E904+1)</f>
        <v>4</v>
      </c>
      <c r="F905" s="11">
        <f t="shared" si="1054"/>
        <v>45913.44306</v>
      </c>
      <c r="G905" s="8">
        <v>1.83</v>
      </c>
    </row>
    <row r="906">
      <c r="A906" s="9" t="str">
        <f t="shared" si="1052"/>
        <v>PASOBT</v>
      </c>
      <c r="B906" s="9" t="str">
        <f>IF(ISBLANK(A902),"",LEFT(B905,27)&amp;VALUE(RIGHT(B905,1)+1))</f>
        <v>DKR250911PASOBT_20C_sample_5</v>
      </c>
      <c r="C906" s="6" t="str">
        <f t="shared" ref="C906:D906" si="1056">C905</f>
        <v>Passerina obtusifolia</v>
      </c>
      <c r="D906" s="6" t="str">
        <f t="shared" si="1056"/>
        <v>20C</v>
      </c>
      <c r="E906" s="10">
        <f>IF(ISBLANK(A902),"",E905+1)</f>
        <v>5</v>
      </c>
      <c r="F906" s="11">
        <f t="shared" si="1054"/>
        <v>45913.44306</v>
      </c>
      <c r="G906" s="8">
        <v>1.533</v>
      </c>
    </row>
    <row r="907">
      <c r="A907" s="12" t="str">
        <f t="shared" si="1052"/>
        <v>PASOBT</v>
      </c>
      <c r="B907" s="12" t="str">
        <f>IF(ISBLANK(A902),"",LEFT(B906,27)&amp;VALUE(RIGHT(B906,1)+1))</f>
        <v>DKR250911PASOBT_20C_sample_6</v>
      </c>
      <c r="C907" s="13" t="str">
        <f t="shared" ref="C907:D907" si="1057">C906</f>
        <v>Passerina obtusifolia</v>
      </c>
      <c r="D907" s="13" t="str">
        <f t="shared" si="1057"/>
        <v>20C</v>
      </c>
      <c r="E907" s="14">
        <f>IF(ISBLANK(A902),"",E906+1)</f>
        <v>6</v>
      </c>
      <c r="F907" s="15">
        <f t="shared" si="1054"/>
        <v>45913.44306</v>
      </c>
      <c r="G907" s="16">
        <v>2.549</v>
      </c>
    </row>
    <row r="908">
      <c r="A908" s="5" t="s">
        <v>9</v>
      </c>
      <c r="B908" s="6" t="str">
        <f>IF(ISBLANK(A908),"",VLOOKUP($A908,'Data Feed (20C)'!$A$1:$G$14,2,FALSE))</f>
        <v>DKR250911PROLAU_20C_sample_1</v>
      </c>
      <c r="C908" s="6" t="str">
        <f>IF(ISBLANK(A908),"",VLOOKUP($A908,'Data Feed (20C)'!$A$1:$G$14,3,FALSE))</f>
        <v>Protea laurifolia</v>
      </c>
      <c r="D908" s="6" t="str">
        <f>IF(ISBLANK(A908),"",VLOOKUP($A908,'Data Feed (20C)'!$A$1:$G$14,4,FALSE))</f>
        <v>20C</v>
      </c>
      <c r="E908" s="6">
        <f>IF(ISBLANK(A908),"",VLOOKUP($A908,'Data Feed (20C)'!$A$1:$G$14,7,FALSE))</f>
        <v>1</v>
      </c>
      <c r="F908" s="7">
        <v>45913.44513888889</v>
      </c>
      <c r="G908" s="8">
        <v>1.005</v>
      </c>
    </row>
    <row r="909">
      <c r="A909" s="9" t="str">
        <f t="shared" ref="A909:A913" si="1059">A908</f>
        <v>PROLAU</v>
      </c>
      <c r="B909" s="9" t="str">
        <f>IF(ISBLANK(A908),"",LEFT(B908,27)&amp;VALUE(RIGHT(B908,1)+1))</f>
        <v>DKR250911PROLAU_20C_sample_2</v>
      </c>
      <c r="C909" s="6" t="str">
        <f t="shared" ref="C909:D909" si="1058">C908</f>
        <v>Protea laurifolia</v>
      </c>
      <c r="D909" s="6" t="str">
        <f t="shared" si="1058"/>
        <v>20C</v>
      </c>
      <c r="E909" s="10">
        <f>IF(ISBLANK(A908),"",E908+1)</f>
        <v>2</v>
      </c>
      <c r="F909" s="11">
        <f t="shared" ref="F909:F913" si="1061">F908</f>
        <v>45913.44514</v>
      </c>
      <c r="G909" s="8">
        <v>1.163</v>
      </c>
    </row>
    <row r="910">
      <c r="A910" s="9" t="str">
        <f t="shared" si="1059"/>
        <v>PROLAU</v>
      </c>
      <c r="B910" s="9" t="str">
        <f>IF(ISBLANK(A908),"",LEFT(B909,27)&amp;VALUE(RIGHT(B909,1)+1))</f>
        <v>DKR250911PROLAU_20C_sample_3</v>
      </c>
      <c r="C910" s="6" t="str">
        <f t="shared" ref="C910:D910" si="1060">C909</f>
        <v>Protea laurifolia</v>
      </c>
      <c r="D910" s="6" t="str">
        <f t="shared" si="1060"/>
        <v>20C</v>
      </c>
      <c r="E910" s="10">
        <f>IF(ISBLANK(A908),"",E909+1)</f>
        <v>3</v>
      </c>
      <c r="F910" s="11">
        <f t="shared" si="1061"/>
        <v>45913.44514</v>
      </c>
      <c r="G910" s="8">
        <v>1.116</v>
      </c>
    </row>
    <row r="911">
      <c r="A911" s="9" t="str">
        <f t="shared" si="1059"/>
        <v>PROLAU</v>
      </c>
      <c r="B911" s="9" t="str">
        <f>IF(ISBLANK(A908),"",LEFT(B910,27)&amp;VALUE(RIGHT(B910,1)+1))</f>
        <v>DKR250911PROLAU_20C_sample_4</v>
      </c>
      <c r="C911" s="6" t="str">
        <f t="shared" ref="C911:D911" si="1062">C910</f>
        <v>Protea laurifolia</v>
      </c>
      <c r="D911" s="6" t="str">
        <f t="shared" si="1062"/>
        <v>20C</v>
      </c>
      <c r="E911" s="10">
        <f>IF(ISBLANK(A908),"",E910+1)</f>
        <v>4</v>
      </c>
      <c r="F911" s="11">
        <f t="shared" si="1061"/>
        <v>45913.44514</v>
      </c>
      <c r="G911" s="8">
        <v>0.536</v>
      </c>
    </row>
    <row r="912">
      <c r="A912" s="9" t="str">
        <f t="shared" si="1059"/>
        <v>PROLAU</v>
      </c>
      <c r="B912" s="9" t="str">
        <f>IF(ISBLANK(A908),"",LEFT(B911,27)&amp;VALUE(RIGHT(B911,1)+1))</f>
        <v>DKR250911PROLAU_20C_sample_5</v>
      </c>
      <c r="C912" s="6" t="str">
        <f t="shared" ref="C912:D912" si="1063">C911</f>
        <v>Protea laurifolia</v>
      </c>
      <c r="D912" s="6" t="str">
        <f t="shared" si="1063"/>
        <v>20C</v>
      </c>
      <c r="E912" s="10">
        <f>IF(ISBLANK(A908),"",E911+1)</f>
        <v>5</v>
      </c>
      <c r="F912" s="11">
        <f t="shared" si="1061"/>
        <v>45913.44514</v>
      </c>
      <c r="G912" s="8">
        <v>0.938</v>
      </c>
    </row>
    <row r="913">
      <c r="A913" s="12" t="str">
        <f t="shared" si="1059"/>
        <v>PROLAU</v>
      </c>
      <c r="B913" s="12" t="str">
        <f>IF(ISBLANK(A908),"",LEFT(B912,27)&amp;VALUE(RIGHT(B912,1)+1))</f>
        <v>DKR250911PROLAU_20C_sample_6</v>
      </c>
      <c r="C913" s="13" t="str">
        <f t="shared" ref="C913:D913" si="1064">C912</f>
        <v>Protea laurifolia</v>
      </c>
      <c r="D913" s="13" t="str">
        <f t="shared" si="1064"/>
        <v>20C</v>
      </c>
      <c r="E913" s="14">
        <f>IF(ISBLANK(A908),"",E912+1)</f>
        <v>6</v>
      </c>
      <c r="F913" s="15">
        <f t="shared" si="1061"/>
        <v>45913.44514</v>
      </c>
      <c r="G913" s="16">
        <v>0.948</v>
      </c>
    </row>
    <row r="914">
      <c r="A914" s="5" t="s">
        <v>8</v>
      </c>
      <c r="B914" s="6" t="str">
        <f>IF(ISBLANK(A914),"",VLOOKUP($A914,'Data Feed (20C)'!$A$1:$G$14,2,FALSE))</f>
        <v>DKF250911PROLOR_20C_sample_1</v>
      </c>
      <c r="C914" s="6" t="str">
        <f>IF(ISBLANK(A914),"",VLOOKUP($A914,'Data Feed (20C)'!$A$1:$G$14,3,FALSE))</f>
        <v>Protea lorifolia</v>
      </c>
      <c r="D914" s="6" t="str">
        <f>IF(ISBLANK(A914),"",VLOOKUP($A914,'Data Feed (20C)'!$A$1:$G$14,4,FALSE))</f>
        <v>20C</v>
      </c>
      <c r="E914" s="6">
        <f>IF(ISBLANK(A914),"",VLOOKUP($A914,'Data Feed (20C)'!$A$1:$G$14,7,FALSE))</f>
        <v>1</v>
      </c>
      <c r="F914" s="7">
        <v>45913.447222222225</v>
      </c>
      <c r="G914" s="8">
        <v>3.206</v>
      </c>
    </row>
    <row r="915">
      <c r="A915" s="9" t="str">
        <f t="shared" ref="A915:A919" si="1066">A914</f>
        <v>PROLOR</v>
      </c>
      <c r="B915" s="9" t="str">
        <f>IF(ISBLANK(A914),"",LEFT(B914,27)&amp;VALUE(RIGHT(B914,1)+1))</f>
        <v>DKF250911PROLOR_20C_sample_2</v>
      </c>
      <c r="C915" s="6" t="str">
        <f t="shared" ref="C915:D915" si="1065">C914</f>
        <v>Protea lorifolia</v>
      </c>
      <c r="D915" s="6" t="str">
        <f t="shared" si="1065"/>
        <v>20C</v>
      </c>
      <c r="E915" s="10">
        <f>IF(ISBLANK(A914),"",E914+1)</f>
        <v>2</v>
      </c>
      <c r="F915" s="11">
        <f t="shared" ref="F915:F919" si="1068">F914</f>
        <v>45913.44722</v>
      </c>
      <c r="G915" s="8">
        <v>3.526</v>
      </c>
    </row>
    <row r="916">
      <c r="A916" s="9" t="str">
        <f t="shared" si="1066"/>
        <v>PROLOR</v>
      </c>
      <c r="B916" s="9" t="str">
        <f>IF(ISBLANK(A914),"",LEFT(B915,27)&amp;VALUE(RIGHT(B915,1)+1))</f>
        <v>DKF250911PROLOR_20C_sample_3</v>
      </c>
      <c r="C916" s="6" t="str">
        <f t="shared" ref="C916:D916" si="1067">C915</f>
        <v>Protea lorifolia</v>
      </c>
      <c r="D916" s="6" t="str">
        <f t="shared" si="1067"/>
        <v>20C</v>
      </c>
      <c r="E916" s="10">
        <f>IF(ISBLANK(A914),"",E915+1)</f>
        <v>3</v>
      </c>
      <c r="F916" s="11">
        <f t="shared" si="1068"/>
        <v>45913.44722</v>
      </c>
      <c r="G916" s="8">
        <v>3.835</v>
      </c>
    </row>
    <row r="917">
      <c r="A917" s="9" t="str">
        <f t="shared" si="1066"/>
        <v>PROLOR</v>
      </c>
      <c r="B917" s="9" t="str">
        <f>IF(ISBLANK(A914),"",LEFT(B916,27)&amp;VALUE(RIGHT(B916,1)+1))</f>
        <v>DKF250911PROLOR_20C_sample_4</v>
      </c>
      <c r="C917" s="6" t="str">
        <f t="shared" ref="C917:D917" si="1069">C916</f>
        <v>Protea lorifolia</v>
      </c>
      <c r="D917" s="6" t="str">
        <f t="shared" si="1069"/>
        <v>20C</v>
      </c>
      <c r="E917" s="10">
        <f>IF(ISBLANK(A914),"",E916+1)</f>
        <v>4</v>
      </c>
      <c r="F917" s="11">
        <f t="shared" si="1068"/>
        <v>45913.44722</v>
      </c>
      <c r="G917" s="8">
        <v>2.947</v>
      </c>
    </row>
    <row r="918">
      <c r="A918" s="9" t="str">
        <f t="shared" si="1066"/>
        <v>PROLOR</v>
      </c>
      <c r="B918" s="9" t="str">
        <f>IF(ISBLANK(A914),"",LEFT(B917,27)&amp;VALUE(RIGHT(B917,1)+1))</f>
        <v>DKF250911PROLOR_20C_sample_5</v>
      </c>
      <c r="C918" s="6" t="str">
        <f t="shared" ref="C918:D918" si="1070">C917</f>
        <v>Protea lorifolia</v>
      </c>
      <c r="D918" s="6" t="str">
        <f t="shared" si="1070"/>
        <v>20C</v>
      </c>
      <c r="E918" s="10">
        <f>IF(ISBLANK(A914),"",E917+1)</f>
        <v>5</v>
      </c>
      <c r="F918" s="11">
        <f t="shared" si="1068"/>
        <v>45913.44722</v>
      </c>
      <c r="G918" s="8">
        <v>5.742</v>
      </c>
    </row>
    <row r="919">
      <c r="A919" s="12" t="str">
        <f t="shared" si="1066"/>
        <v>PROLOR</v>
      </c>
      <c r="B919" s="12" t="str">
        <f>IF(ISBLANK(A914),"",LEFT(B918,27)&amp;VALUE(RIGHT(B918,1)+1))</f>
        <v>DKF250911PROLOR_20C_sample_6</v>
      </c>
      <c r="C919" s="13" t="str">
        <f t="shared" ref="C919:D919" si="1071">C918</f>
        <v>Protea lorifolia</v>
      </c>
      <c r="D919" s="13" t="str">
        <f t="shared" si="1071"/>
        <v>20C</v>
      </c>
      <c r="E919" s="14">
        <f>IF(ISBLANK(A914),"",E918+1)</f>
        <v>6</v>
      </c>
      <c r="F919" s="15">
        <f t="shared" si="1068"/>
        <v>45913.44722</v>
      </c>
      <c r="G919" s="16">
        <v>4.614</v>
      </c>
    </row>
    <row r="920">
      <c r="A920" s="5" t="s">
        <v>13</v>
      </c>
      <c r="B920" s="6" t="str">
        <f>IF(ISBLANK(A920),"",VLOOKUP($A920,'Data Feed (20C)'!$A$1:$G$14,2,FALSE))</f>
        <v>DKR250911RUSMUL_20C_sample_1</v>
      </c>
      <c r="C920" s="6" t="str">
        <f>IF(ISBLANK(A920),"",VLOOKUP($A920,'Data Feed (20C)'!$A$1:$G$14,3,FALSE))</f>
        <v>Ruschia multiflora</v>
      </c>
      <c r="D920" s="6" t="str">
        <f>IF(ISBLANK(A920),"",VLOOKUP($A920,'Data Feed (20C)'!$A$1:$G$14,4,FALSE))</f>
        <v>20C</v>
      </c>
      <c r="E920" s="6">
        <f>IF(ISBLANK(A920),"",VLOOKUP($A920,'Data Feed (20C)'!$A$1:$G$14,7,FALSE))</f>
        <v>1</v>
      </c>
      <c r="F920" s="7">
        <v>45913.44930555556</v>
      </c>
      <c r="G920" s="8"/>
    </row>
    <row r="921">
      <c r="A921" s="9" t="str">
        <f t="shared" ref="A921:A925" si="1073">A920</f>
        <v>RUSMUL</v>
      </c>
      <c r="B921" s="9" t="str">
        <f>IF(ISBLANK(A920),"",LEFT(B920,27)&amp;VALUE(RIGHT(B920,1)+1))</f>
        <v>DKR250911RUSMUL_20C_sample_2</v>
      </c>
      <c r="C921" s="6" t="str">
        <f t="shared" ref="C921:D921" si="1072">C920</f>
        <v>Ruschia multiflora</v>
      </c>
      <c r="D921" s="6" t="str">
        <f t="shared" si="1072"/>
        <v>20C</v>
      </c>
      <c r="E921" s="10">
        <f>IF(ISBLANK(A920),"",E920+1)</f>
        <v>2</v>
      </c>
      <c r="F921" s="11">
        <f t="shared" ref="F921:F925" si="1075">F920</f>
        <v>45913.44931</v>
      </c>
      <c r="G921" s="8">
        <v>4.035</v>
      </c>
    </row>
    <row r="922">
      <c r="A922" s="9" t="str">
        <f t="shared" si="1073"/>
        <v>RUSMUL</v>
      </c>
      <c r="B922" s="9" t="str">
        <f>IF(ISBLANK(A920),"",LEFT(B921,27)&amp;VALUE(RIGHT(B921,1)+1))</f>
        <v>DKR250911RUSMUL_20C_sample_3</v>
      </c>
      <c r="C922" s="6" t="str">
        <f t="shared" ref="C922:D922" si="1074">C921</f>
        <v>Ruschia multiflora</v>
      </c>
      <c r="D922" s="6" t="str">
        <f t="shared" si="1074"/>
        <v>20C</v>
      </c>
      <c r="E922" s="10">
        <f>IF(ISBLANK(A920),"",E921+1)</f>
        <v>3</v>
      </c>
      <c r="F922" s="11">
        <f t="shared" si="1075"/>
        <v>45913.44931</v>
      </c>
      <c r="G922" s="8">
        <v>7.921</v>
      </c>
    </row>
    <row r="923">
      <c r="A923" s="9" t="str">
        <f t="shared" si="1073"/>
        <v>RUSMUL</v>
      </c>
      <c r="B923" s="9" t="str">
        <f>IF(ISBLANK(A920),"",LEFT(B922,27)&amp;VALUE(RIGHT(B922,1)+1))</f>
        <v>DKR250911RUSMUL_20C_sample_4</v>
      </c>
      <c r="C923" s="6" t="str">
        <f t="shared" ref="C923:D923" si="1076">C922</f>
        <v>Ruschia multiflora</v>
      </c>
      <c r="D923" s="6" t="str">
        <f t="shared" si="1076"/>
        <v>20C</v>
      </c>
      <c r="E923" s="10">
        <f>IF(ISBLANK(A920),"",E922+1)</f>
        <v>4</v>
      </c>
      <c r="F923" s="11">
        <f t="shared" si="1075"/>
        <v>45913.44931</v>
      </c>
      <c r="G923" s="8">
        <v>4.264</v>
      </c>
    </row>
    <row r="924">
      <c r="A924" s="9" t="str">
        <f t="shared" si="1073"/>
        <v>RUSMUL</v>
      </c>
      <c r="B924" s="9" t="str">
        <f>IF(ISBLANK(A920),"",LEFT(B923,27)&amp;VALUE(RIGHT(B923,1)+1))</f>
        <v>DKR250911RUSMUL_20C_sample_5</v>
      </c>
      <c r="C924" s="6" t="str">
        <f t="shared" ref="C924:D924" si="1077">C923</f>
        <v>Ruschia multiflora</v>
      </c>
      <c r="D924" s="6" t="str">
        <f t="shared" si="1077"/>
        <v>20C</v>
      </c>
      <c r="E924" s="10">
        <f>IF(ISBLANK(A920),"",E923+1)</f>
        <v>5</v>
      </c>
      <c r="F924" s="11">
        <f t="shared" si="1075"/>
        <v>45913.44931</v>
      </c>
      <c r="G924" s="8">
        <v>3.595</v>
      </c>
    </row>
    <row r="925">
      <c r="A925" s="12" t="str">
        <f t="shared" si="1073"/>
        <v>RUSMUL</v>
      </c>
      <c r="B925" s="12" t="str">
        <f>IF(ISBLANK(A920),"",LEFT(B924,27)&amp;VALUE(RIGHT(B924,1)+1))</f>
        <v>DKR250911RUSMUL_20C_sample_6</v>
      </c>
      <c r="C925" s="13" t="str">
        <f t="shared" ref="C925:D925" si="1078">C924</f>
        <v>Ruschia multiflora</v>
      </c>
      <c r="D925" s="13" t="str">
        <f t="shared" si="1078"/>
        <v>20C</v>
      </c>
      <c r="E925" s="14">
        <f>IF(ISBLANK(A920),"",E924+1)</f>
        <v>6</v>
      </c>
      <c r="F925" s="15">
        <f t="shared" si="1075"/>
        <v>45913.44931</v>
      </c>
      <c r="G925" s="16">
        <v>3.02</v>
      </c>
    </row>
    <row r="926">
      <c r="A926" s="5" t="s">
        <v>11</v>
      </c>
      <c r="B926" s="6" t="str">
        <f>IF(ISBLANK(A926),"",VLOOKUP($A926,'Data Feed (20C)'!$A$1:$G$14,2,FALSE))</f>
        <v>DKF250911SELDOL_20C_sample_1</v>
      </c>
      <c r="C926" s="6" t="str">
        <f>IF(ISBLANK(A926),"",VLOOKUP($A926,'Data Feed (20C)'!$A$1:$G$14,3,FALSE))</f>
        <v>Selago dolosa</v>
      </c>
      <c r="D926" s="6" t="str">
        <f>IF(ISBLANK(A926),"",VLOOKUP($A926,'Data Feed (20C)'!$A$1:$G$14,4,FALSE))</f>
        <v>20C</v>
      </c>
      <c r="E926" s="6">
        <f>IF(ISBLANK(A926),"",VLOOKUP($A926,'Data Feed (20C)'!$A$1:$G$14,7,FALSE))</f>
        <v>1</v>
      </c>
      <c r="F926" s="7">
        <v>45913.450694444444</v>
      </c>
      <c r="G926" s="8">
        <v>1.256</v>
      </c>
    </row>
    <row r="927">
      <c r="A927" s="9" t="str">
        <f t="shared" ref="A927:A931" si="1080">A926</f>
        <v>SELDOL</v>
      </c>
      <c r="B927" s="9" t="str">
        <f>IF(ISBLANK(A926),"",LEFT(B926,27)&amp;VALUE(RIGHT(B926,1)+1))</f>
        <v>DKF250911SELDOL_20C_sample_2</v>
      </c>
      <c r="C927" s="6" t="str">
        <f t="shared" ref="C927:D927" si="1079">C926</f>
        <v>Selago dolosa</v>
      </c>
      <c r="D927" s="6" t="str">
        <f t="shared" si="1079"/>
        <v>20C</v>
      </c>
      <c r="E927" s="10">
        <f>IF(ISBLANK(A926),"",E926+1)</f>
        <v>2</v>
      </c>
      <c r="F927" s="11">
        <f t="shared" ref="F927:F931" si="1082">F926</f>
        <v>45913.45069</v>
      </c>
      <c r="G927" s="8">
        <v>1.738</v>
      </c>
    </row>
    <row r="928">
      <c r="A928" s="9" t="str">
        <f t="shared" si="1080"/>
        <v>SELDOL</v>
      </c>
      <c r="B928" s="9" t="str">
        <f>IF(ISBLANK(A926),"",LEFT(B927,27)&amp;VALUE(RIGHT(B927,1)+1))</f>
        <v>DKF250911SELDOL_20C_sample_3</v>
      </c>
      <c r="C928" s="6" t="str">
        <f t="shared" ref="C928:D928" si="1081">C927</f>
        <v>Selago dolosa</v>
      </c>
      <c r="D928" s="6" t="str">
        <f t="shared" si="1081"/>
        <v>20C</v>
      </c>
      <c r="E928" s="10">
        <f>IF(ISBLANK(A926),"",E927+1)</f>
        <v>3</v>
      </c>
      <c r="F928" s="11">
        <f t="shared" si="1082"/>
        <v>45913.45069</v>
      </c>
      <c r="G928" s="8">
        <v>1.603</v>
      </c>
    </row>
    <row r="929">
      <c r="A929" s="9" t="str">
        <f t="shared" si="1080"/>
        <v>SELDOL</v>
      </c>
      <c r="B929" s="9" t="str">
        <f>IF(ISBLANK(A926),"",LEFT(B928,27)&amp;VALUE(RIGHT(B928,1)+1))</f>
        <v>DKF250911SELDOL_20C_sample_4</v>
      </c>
      <c r="C929" s="6" t="str">
        <f t="shared" ref="C929:D929" si="1083">C928</f>
        <v>Selago dolosa</v>
      </c>
      <c r="D929" s="6" t="str">
        <f t="shared" si="1083"/>
        <v>20C</v>
      </c>
      <c r="E929" s="10">
        <f>IF(ISBLANK(A926),"",E928+1)</f>
        <v>4</v>
      </c>
      <c r="F929" s="11">
        <f t="shared" si="1082"/>
        <v>45913.45069</v>
      </c>
      <c r="G929" s="8">
        <v>1.65</v>
      </c>
    </row>
    <row r="930">
      <c r="A930" s="9" t="str">
        <f t="shared" si="1080"/>
        <v>SELDOL</v>
      </c>
      <c r="B930" s="9" t="str">
        <f>IF(ISBLANK(A926),"",LEFT(B929,27)&amp;VALUE(RIGHT(B929,1)+1))</f>
        <v>DKF250911SELDOL_20C_sample_5</v>
      </c>
      <c r="C930" s="6" t="str">
        <f t="shared" ref="C930:D930" si="1084">C929</f>
        <v>Selago dolosa</v>
      </c>
      <c r="D930" s="6" t="str">
        <f t="shared" si="1084"/>
        <v>20C</v>
      </c>
      <c r="E930" s="10">
        <f>IF(ISBLANK(A926),"",E929+1)</f>
        <v>5</v>
      </c>
      <c r="F930" s="11">
        <f t="shared" si="1082"/>
        <v>45913.45069</v>
      </c>
      <c r="G930" s="8"/>
    </row>
    <row r="931">
      <c r="A931" s="12" t="str">
        <f t="shared" si="1080"/>
        <v>SELDOL</v>
      </c>
      <c r="B931" s="12" t="str">
        <f>IF(ISBLANK(A926),"",LEFT(B930,27)&amp;VALUE(RIGHT(B930,1)+1))</f>
        <v>DKF250911SELDOL_20C_sample_6</v>
      </c>
      <c r="C931" s="13" t="str">
        <f t="shared" ref="C931:D931" si="1085">C930</f>
        <v>Selago dolosa</v>
      </c>
      <c r="D931" s="13" t="str">
        <f t="shared" si="1085"/>
        <v>20C</v>
      </c>
      <c r="E931" s="14">
        <f>IF(ISBLANK(A926),"",E930+1)</f>
        <v>6</v>
      </c>
      <c r="F931" s="15">
        <f t="shared" si="1082"/>
        <v>45913.45069</v>
      </c>
      <c r="G931" s="16">
        <v>1.1</v>
      </c>
    </row>
    <row r="932">
      <c r="A932" s="5" t="s">
        <v>18</v>
      </c>
      <c r="B932" s="6" t="str">
        <f>IF(ISBLANK(A932),"",VLOOKUP($A932,'Data Feed (20C)'!$A$1:$G$14,2,FALSE))</f>
        <v>DKR250911WAHNOD_20C_sample_1</v>
      </c>
      <c r="C932" s="6" t="str">
        <f>IF(ISBLANK(A932),"",VLOOKUP($A932,'Data Feed (20C)'!$A$1:$G$14,3,FALSE))</f>
        <v>Wahlenbergia nodosa</v>
      </c>
      <c r="D932" s="6" t="str">
        <f>IF(ISBLANK(A932),"",VLOOKUP($A932,'Data Feed (20C)'!$A$1:$G$14,4,FALSE))</f>
        <v>20C</v>
      </c>
      <c r="E932" s="6">
        <f>IF(ISBLANK(A932),"",VLOOKUP($A932,'Data Feed (20C)'!$A$1:$G$14,7,FALSE))</f>
        <v>1</v>
      </c>
      <c r="F932" s="7">
        <v>45913.45208333333</v>
      </c>
      <c r="G932" s="8">
        <v>0.283</v>
      </c>
    </row>
    <row r="933">
      <c r="A933" s="9" t="str">
        <f t="shared" ref="A933:A937" si="1087">A932</f>
        <v>WAHNOD</v>
      </c>
      <c r="B933" s="9" t="str">
        <f>IF(ISBLANK(A932),"",LEFT(B932,27)&amp;VALUE(RIGHT(B932,1)+1))</f>
        <v>DKR250911WAHNOD_20C_sample_2</v>
      </c>
      <c r="C933" s="6" t="str">
        <f t="shared" ref="C933:D933" si="1086">C932</f>
        <v>Wahlenbergia nodosa</v>
      </c>
      <c r="D933" s="6" t="str">
        <f t="shared" si="1086"/>
        <v>20C</v>
      </c>
      <c r="E933" s="10">
        <f>IF(ISBLANK(A932),"",E932+1)</f>
        <v>2</v>
      </c>
      <c r="F933" s="11">
        <f t="shared" ref="F933:F937" si="1089">F932</f>
        <v>45913.45208</v>
      </c>
      <c r="G933" s="8">
        <v>0.165</v>
      </c>
    </row>
    <row r="934">
      <c r="A934" s="9" t="str">
        <f t="shared" si="1087"/>
        <v>WAHNOD</v>
      </c>
      <c r="B934" s="9" t="str">
        <f>IF(ISBLANK(A932),"",LEFT(B933,27)&amp;VALUE(RIGHT(B933,1)+1))</f>
        <v>DKR250911WAHNOD_20C_sample_3</v>
      </c>
      <c r="C934" s="6" t="str">
        <f t="shared" ref="C934:D934" si="1088">C933</f>
        <v>Wahlenbergia nodosa</v>
      </c>
      <c r="D934" s="6" t="str">
        <f t="shared" si="1088"/>
        <v>20C</v>
      </c>
      <c r="E934" s="10">
        <f>IF(ISBLANK(A932),"",E933+1)</f>
        <v>3</v>
      </c>
      <c r="F934" s="11">
        <f t="shared" si="1089"/>
        <v>45913.45208</v>
      </c>
      <c r="G934" s="8">
        <v>0.125</v>
      </c>
    </row>
    <row r="935">
      <c r="A935" s="9" t="str">
        <f t="shared" si="1087"/>
        <v>WAHNOD</v>
      </c>
      <c r="B935" s="9" t="str">
        <f>IF(ISBLANK(A932),"",LEFT(B934,27)&amp;VALUE(RIGHT(B934,1)+1))</f>
        <v>DKR250911WAHNOD_20C_sample_4</v>
      </c>
      <c r="C935" s="6" t="str">
        <f t="shared" ref="C935:D935" si="1090">C934</f>
        <v>Wahlenbergia nodosa</v>
      </c>
      <c r="D935" s="6" t="str">
        <f t="shared" si="1090"/>
        <v>20C</v>
      </c>
      <c r="E935" s="10">
        <f>IF(ISBLANK(A932),"",E934+1)</f>
        <v>4</v>
      </c>
      <c r="F935" s="11">
        <f t="shared" si="1089"/>
        <v>45913.45208</v>
      </c>
      <c r="G935" s="8">
        <v>0.634</v>
      </c>
    </row>
    <row r="936">
      <c r="A936" s="9" t="str">
        <f t="shared" si="1087"/>
        <v>WAHNOD</v>
      </c>
      <c r="B936" s="9" t="str">
        <f>IF(ISBLANK(A932),"",LEFT(B935,27)&amp;VALUE(RIGHT(B935,1)+1))</f>
        <v>DKR250911WAHNOD_20C_sample_5</v>
      </c>
      <c r="C936" s="6" t="str">
        <f t="shared" ref="C936:D936" si="1091">C935</f>
        <v>Wahlenbergia nodosa</v>
      </c>
      <c r="D936" s="6" t="str">
        <f t="shared" si="1091"/>
        <v>20C</v>
      </c>
      <c r="E936" s="10">
        <f>IF(ISBLANK(A932),"",E935+1)</f>
        <v>5</v>
      </c>
      <c r="F936" s="11">
        <f t="shared" si="1089"/>
        <v>45913.45208</v>
      </c>
      <c r="G936" s="8">
        <v>0.285</v>
      </c>
    </row>
    <row r="937">
      <c r="A937" s="12" t="str">
        <f t="shared" si="1087"/>
        <v>WAHNOD</v>
      </c>
      <c r="B937" s="12" t="str">
        <f>IF(ISBLANK(A932),"",LEFT(B936,27)&amp;VALUE(RIGHT(B936,1)+1))</f>
        <v>DKR250911WAHNOD_20C_sample_6</v>
      </c>
      <c r="C937" s="13" t="str">
        <f t="shared" ref="C937:D937" si="1092">C936</f>
        <v>Wahlenbergia nodosa</v>
      </c>
      <c r="D937" s="13" t="str">
        <f t="shared" si="1092"/>
        <v>20C</v>
      </c>
      <c r="E937" s="14">
        <f>IF(ISBLANK(A932),"",E936+1)</f>
        <v>6</v>
      </c>
      <c r="F937" s="15">
        <f t="shared" si="1089"/>
        <v>45913.45208</v>
      </c>
      <c r="G937" s="16">
        <v>0.365</v>
      </c>
    </row>
    <row r="938">
      <c r="A938" s="5" t="s">
        <v>12</v>
      </c>
      <c r="B938" s="6" t="str">
        <f>IF(ISBLANK(A938),"",VLOOKUP($A938,'Data Feed (20C)'!$A$1:$G$14,2,FALSE))</f>
        <v>DKF250911AGACAP_20C_sample_1</v>
      </c>
      <c r="C938" s="6" t="str">
        <f>IF(ISBLANK(A938),"",VLOOKUP($A938,'Data Feed (20C)'!$A$1:$G$14,3,FALSE))</f>
        <v>Agathosma capensis</v>
      </c>
      <c r="D938" s="6" t="str">
        <f>IF(ISBLANK(A938),"",VLOOKUP($A938,'Data Feed (20C)'!$A$1:$G$14,4,FALSE))</f>
        <v>20C</v>
      </c>
      <c r="E938" s="6">
        <f>IF(ISBLANK(A938),"",VLOOKUP($A938,'Data Feed (20C)'!$A$1:$G$14,7,FALSE))</f>
        <v>1</v>
      </c>
      <c r="F938" s="7">
        <v>45913.52361111111</v>
      </c>
      <c r="G938" s="8">
        <v>4.013</v>
      </c>
    </row>
    <row r="939">
      <c r="A939" s="9" t="str">
        <f t="shared" ref="A939:A943" si="1094">A938</f>
        <v>AGACAP</v>
      </c>
      <c r="B939" s="9" t="str">
        <f>IF(ISBLANK(A938),"",LEFT(B938,27)&amp;VALUE(RIGHT(B938,1)+1))</f>
        <v>DKF250911AGACAP_20C_sample_2</v>
      </c>
      <c r="C939" s="6" t="str">
        <f t="shared" ref="C939:D939" si="1093">C938</f>
        <v>Agathosma capensis</v>
      </c>
      <c r="D939" s="6" t="str">
        <f t="shared" si="1093"/>
        <v>20C</v>
      </c>
      <c r="E939" s="10">
        <f>IF(ISBLANK(A938),"",E938+1)</f>
        <v>2</v>
      </c>
      <c r="F939" s="11">
        <f t="shared" ref="F939:F943" si="1096">F938</f>
        <v>45913.52361</v>
      </c>
      <c r="G939" s="8">
        <v>1.478</v>
      </c>
    </row>
    <row r="940">
      <c r="A940" s="9" t="str">
        <f t="shared" si="1094"/>
        <v>AGACAP</v>
      </c>
      <c r="B940" s="9" t="str">
        <f>IF(ISBLANK(A938),"",LEFT(B939,27)&amp;VALUE(RIGHT(B939,1)+1))</f>
        <v>DKF250911AGACAP_20C_sample_3</v>
      </c>
      <c r="C940" s="6" t="str">
        <f t="shared" ref="C940:D940" si="1095">C939</f>
        <v>Agathosma capensis</v>
      </c>
      <c r="D940" s="6" t="str">
        <f t="shared" si="1095"/>
        <v>20C</v>
      </c>
      <c r="E940" s="10">
        <f>IF(ISBLANK(A938),"",E939+1)</f>
        <v>3</v>
      </c>
      <c r="F940" s="11">
        <f t="shared" si="1096"/>
        <v>45913.52361</v>
      </c>
      <c r="G940" s="8">
        <v>1.813</v>
      </c>
    </row>
    <row r="941">
      <c r="A941" s="9" t="str">
        <f t="shared" si="1094"/>
        <v>AGACAP</v>
      </c>
      <c r="B941" s="9" t="str">
        <f>IF(ISBLANK(A938),"",LEFT(B940,27)&amp;VALUE(RIGHT(B940,1)+1))</f>
        <v>DKF250911AGACAP_20C_sample_4</v>
      </c>
      <c r="C941" s="6" t="str">
        <f t="shared" ref="C941:D941" si="1097">C940</f>
        <v>Agathosma capensis</v>
      </c>
      <c r="D941" s="6" t="str">
        <f t="shared" si="1097"/>
        <v>20C</v>
      </c>
      <c r="E941" s="10">
        <f>IF(ISBLANK(A938),"",E940+1)</f>
        <v>4</v>
      </c>
      <c r="F941" s="11">
        <f t="shared" si="1096"/>
        <v>45913.52361</v>
      </c>
      <c r="G941" s="8">
        <v>1.309</v>
      </c>
    </row>
    <row r="942">
      <c r="A942" s="9" t="str">
        <f t="shared" si="1094"/>
        <v>AGACAP</v>
      </c>
      <c r="B942" s="9" t="str">
        <f>IF(ISBLANK(A938),"",LEFT(B941,27)&amp;VALUE(RIGHT(B941,1)+1))</f>
        <v>DKF250911AGACAP_20C_sample_5</v>
      </c>
      <c r="C942" s="6" t="str">
        <f t="shared" ref="C942:D942" si="1098">C941</f>
        <v>Agathosma capensis</v>
      </c>
      <c r="D942" s="6" t="str">
        <f t="shared" si="1098"/>
        <v>20C</v>
      </c>
      <c r="E942" s="10">
        <f>IF(ISBLANK(A938),"",E941+1)</f>
        <v>5</v>
      </c>
      <c r="F942" s="11">
        <f t="shared" si="1096"/>
        <v>45913.52361</v>
      </c>
      <c r="G942" s="8">
        <v>0.505</v>
      </c>
    </row>
    <row r="943">
      <c r="A943" s="12" t="str">
        <f t="shared" si="1094"/>
        <v>AGACAP</v>
      </c>
      <c r="B943" s="12" t="str">
        <f>IF(ISBLANK(A938),"",LEFT(B942,27)&amp;VALUE(RIGHT(B942,1)+1))</f>
        <v>DKF250911AGACAP_20C_sample_6</v>
      </c>
      <c r="C943" s="13" t="str">
        <f t="shared" ref="C943:D943" si="1099">C942</f>
        <v>Agathosma capensis</v>
      </c>
      <c r="D943" s="13" t="str">
        <f t="shared" si="1099"/>
        <v>20C</v>
      </c>
      <c r="E943" s="14">
        <f>IF(ISBLANK(A938),"",E942+1)</f>
        <v>6</v>
      </c>
      <c r="F943" s="15">
        <f t="shared" si="1096"/>
        <v>45913.52361</v>
      </c>
      <c r="G943" s="16">
        <v>1.446</v>
      </c>
    </row>
    <row r="944">
      <c r="A944" s="5" t="s">
        <v>14</v>
      </c>
      <c r="B944" s="6" t="str">
        <f>IF(ISBLANK(A944),"",VLOOKUP($A944,'Data Feed (20C)'!$A$1:$G$14,2,FALSE))</f>
        <v>DKF250911ASPSHA_20C_sample_1</v>
      </c>
      <c r="C944" s="6" t="str">
        <f>IF(ISBLANK(A944),"",VLOOKUP($A944,'Data Feed (20C)'!$A$1:$G$14,3,FALSE))</f>
        <v>Aspalathus shawii</v>
      </c>
      <c r="D944" s="6" t="str">
        <f>IF(ISBLANK(A944),"",VLOOKUP($A944,'Data Feed (20C)'!$A$1:$G$14,4,FALSE))</f>
        <v>20C</v>
      </c>
      <c r="E944" s="6">
        <f>IF(ISBLANK(A944),"",VLOOKUP($A944,'Data Feed (20C)'!$A$1:$G$14,7,FALSE))</f>
        <v>1</v>
      </c>
      <c r="F944" s="7">
        <v>45913.525</v>
      </c>
      <c r="G944" s="8">
        <v>13.173</v>
      </c>
    </row>
    <row r="945">
      <c r="A945" s="9" t="str">
        <f t="shared" ref="A945:A949" si="1101">A944</f>
        <v>ASPSHA</v>
      </c>
      <c r="B945" s="9" t="str">
        <f>IF(ISBLANK(A944),"",LEFT(B944,27)&amp;VALUE(RIGHT(B944,1)+1))</f>
        <v>DKF250911ASPSHA_20C_sample_2</v>
      </c>
      <c r="C945" s="6" t="str">
        <f t="shared" ref="C945:D945" si="1100">C944</f>
        <v>Aspalathus shawii</v>
      </c>
      <c r="D945" s="6" t="str">
        <f t="shared" si="1100"/>
        <v>20C</v>
      </c>
      <c r="E945" s="10">
        <f>IF(ISBLANK(A944),"",E944+1)</f>
        <v>2</v>
      </c>
      <c r="F945" s="11">
        <f t="shared" ref="F945:F949" si="1103">F944</f>
        <v>45913.525</v>
      </c>
      <c r="G945" s="8">
        <v>9.065</v>
      </c>
    </row>
    <row r="946">
      <c r="A946" s="9" t="str">
        <f t="shared" si="1101"/>
        <v>ASPSHA</v>
      </c>
      <c r="B946" s="9" t="str">
        <f>IF(ISBLANK(A944),"",LEFT(B945,27)&amp;VALUE(RIGHT(B945,1)+1))</f>
        <v>DKF250911ASPSHA_20C_sample_3</v>
      </c>
      <c r="C946" s="6" t="str">
        <f t="shared" ref="C946:D946" si="1102">C945</f>
        <v>Aspalathus shawii</v>
      </c>
      <c r="D946" s="6" t="str">
        <f t="shared" si="1102"/>
        <v>20C</v>
      </c>
      <c r="E946" s="10">
        <f>IF(ISBLANK(A944),"",E945+1)</f>
        <v>3</v>
      </c>
      <c r="F946" s="11">
        <f t="shared" si="1103"/>
        <v>45913.525</v>
      </c>
      <c r="G946" s="8">
        <v>5.165</v>
      </c>
    </row>
    <row r="947">
      <c r="A947" s="9" t="str">
        <f t="shared" si="1101"/>
        <v>ASPSHA</v>
      </c>
      <c r="B947" s="9" t="str">
        <f>IF(ISBLANK(A944),"",LEFT(B946,27)&amp;VALUE(RIGHT(B946,1)+1))</f>
        <v>DKF250911ASPSHA_20C_sample_4</v>
      </c>
      <c r="C947" s="6" t="str">
        <f t="shared" ref="C947:D947" si="1104">C946</f>
        <v>Aspalathus shawii</v>
      </c>
      <c r="D947" s="6" t="str">
        <f t="shared" si="1104"/>
        <v>20C</v>
      </c>
      <c r="E947" s="10">
        <f>IF(ISBLANK(A944),"",E946+1)</f>
        <v>4</v>
      </c>
      <c r="F947" s="11">
        <f t="shared" si="1103"/>
        <v>45913.525</v>
      </c>
      <c r="G947" s="8">
        <v>12.605</v>
      </c>
    </row>
    <row r="948">
      <c r="A948" s="9" t="str">
        <f t="shared" si="1101"/>
        <v>ASPSHA</v>
      </c>
      <c r="B948" s="9" t="str">
        <f>IF(ISBLANK(A944),"",LEFT(B947,27)&amp;VALUE(RIGHT(B947,1)+1))</f>
        <v>DKF250911ASPSHA_20C_sample_5</v>
      </c>
      <c r="C948" s="6" t="str">
        <f t="shared" ref="C948:D948" si="1105">C947</f>
        <v>Aspalathus shawii</v>
      </c>
      <c r="D948" s="6" t="str">
        <f t="shared" si="1105"/>
        <v>20C</v>
      </c>
      <c r="E948" s="10">
        <f>IF(ISBLANK(A944),"",E947+1)</f>
        <v>5</v>
      </c>
      <c r="F948" s="11">
        <f t="shared" si="1103"/>
        <v>45913.525</v>
      </c>
      <c r="G948" s="8">
        <v>3.673</v>
      </c>
    </row>
    <row r="949">
      <c r="A949" s="12" t="str">
        <f t="shared" si="1101"/>
        <v>ASPSHA</v>
      </c>
      <c r="B949" s="12" t="str">
        <f>IF(ISBLANK(A944),"",LEFT(B948,27)&amp;VALUE(RIGHT(B948,1)+1))</f>
        <v>DKF250911ASPSHA_20C_sample_6</v>
      </c>
      <c r="C949" s="13" t="str">
        <f t="shared" ref="C949:D949" si="1106">C948</f>
        <v>Aspalathus shawii</v>
      </c>
      <c r="D949" s="13" t="str">
        <f t="shared" si="1106"/>
        <v>20C</v>
      </c>
      <c r="E949" s="14">
        <f>IF(ISBLANK(A944),"",E948+1)</f>
        <v>6</v>
      </c>
      <c r="F949" s="15">
        <f t="shared" si="1103"/>
        <v>45913.525</v>
      </c>
      <c r="G949" s="16">
        <v>10.685</v>
      </c>
    </row>
    <row r="950">
      <c r="A950" s="5" t="s">
        <v>19</v>
      </c>
      <c r="B950" s="6" t="str">
        <f>IF(ISBLANK(A950),"",VLOOKUP($A950,'Data Feed (20C)'!$A$1:$G$14,2,FALSE))</f>
        <v>DKR250911CLURUB_20C_sample_1</v>
      </c>
      <c r="C950" s="6" t="str">
        <f>IF(ISBLANK(A950),"",VLOOKUP($A950,'Data Feed (20C)'!$A$1:$G$14,3,FALSE))</f>
        <v>Clutia rubricaulis</v>
      </c>
      <c r="D950" s="6" t="str">
        <f>IF(ISBLANK(A950),"",VLOOKUP($A950,'Data Feed (20C)'!$A$1:$G$14,4,FALSE))</f>
        <v>20C</v>
      </c>
      <c r="E950" s="6">
        <f>IF(ISBLANK(A950),"",VLOOKUP($A950,'Data Feed (20C)'!$A$1:$G$14,7,FALSE))</f>
        <v>1</v>
      </c>
      <c r="F950" s="7">
        <v>45913.527083333334</v>
      </c>
      <c r="G950" s="8">
        <v>0.361</v>
      </c>
    </row>
    <row r="951">
      <c r="A951" s="9" t="str">
        <f t="shared" ref="A951:A955" si="1108">A950</f>
        <v>CLURUB</v>
      </c>
      <c r="B951" s="9" t="str">
        <f>IF(ISBLANK(A950),"",LEFT(B950,27)&amp;VALUE(RIGHT(B950,1)+1))</f>
        <v>DKR250911CLURUB_20C_sample_2</v>
      </c>
      <c r="C951" s="6" t="str">
        <f t="shared" ref="C951:D951" si="1107">C950</f>
        <v>Clutia rubricaulis</v>
      </c>
      <c r="D951" s="6" t="str">
        <f t="shared" si="1107"/>
        <v>20C</v>
      </c>
      <c r="E951" s="10">
        <f>IF(ISBLANK(A950),"",E950+1)</f>
        <v>2</v>
      </c>
      <c r="F951" s="11">
        <f t="shared" ref="F951:F955" si="1110">F950</f>
        <v>45913.52708</v>
      </c>
      <c r="G951" s="8">
        <v>0.284</v>
      </c>
    </row>
    <row r="952">
      <c r="A952" s="9" t="str">
        <f t="shared" si="1108"/>
        <v>CLURUB</v>
      </c>
      <c r="B952" s="9" t="str">
        <f>IF(ISBLANK(A950),"",LEFT(B951,27)&amp;VALUE(RIGHT(B951,1)+1))</f>
        <v>DKR250911CLURUB_20C_sample_3</v>
      </c>
      <c r="C952" s="6" t="str">
        <f t="shared" ref="C952:D952" si="1109">C951</f>
        <v>Clutia rubricaulis</v>
      </c>
      <c r="D952" s="6" t="str">
        <f t="shared" si="1109"/>
        <v>20C</v>
      </c>
      <c r="E952" s="10">
        <f>IF(ISBLANK(A950),"",E951+1)</f>
        <v>3</v>
      </c>
      <c r="F952" s="11">
        <f t="shared" si="1110"/>
        <v>45913.52708</v>
      </c>
      <c r="G952" s="8">
        <v>0.362</v>
      </c>
    </row>
    <row r="953">
      <c r="A953" s="9" t="str">
        <f t="shared" si="1108"/>
        <v>CLURUB</v>
      </c>
      <c r="B953" s="9" t="str">
        <f>IF(ISBLANK(A950),"",LEFT(B952,27)&amp;VALUE(RIGHT(B952,1)+1))</f>
        <v>DKR250911CLURUB_20C_sample_4</v>
      </c>
      <c r="C953" s="6" t="str">
        <f t="shared" ref="C953:D953" si="1111">C952</f>
        <v>Clutia rubricaulis</v>
      </c>
      <c r="D953" s="6" t="str">
        <f t="shared" si="1111"/>
        <v>20C</v>
      </c>
      <c r="E953" s="10">
        <f>IF(ISBLANK(A950),"",E952+1)</f>
        <v>4</v>
      </c>
      <c r="F953" s="11">
        <f t="shared" si="1110"/>
        <v>45913.52708</v>
      </c>
      <c r="G953" s="8">
        <v>0.191</v>
      </c>
    </row>
    <row r="954">
      <c r="A954" s="9" t="str">
        <f t="shared" si="1108"/>
        <v>CLURUB</v>
      </c>
      <c r="B954" s="9" t="str">
        <f>IF(ISBLANK(A950),"",LEFT(B953,27)&amp;VALUE(RIGHT(B953,1)+1))</f>
        <v>DKR250911CLURUB_20C_sample_5</v>
      </c>
      <c r="C954" s="6" t="str">
        <f t="shared" ref="C954:D954" si="1112">C953</f>
        <v>Clutia rubricaulis</v>
      </c>
      <c r="D954" s="6" t="str">
        <f t="shared" si="1112"/>
        <v>20C</v>
      </c>
      <c r="E954" s="10">
        <f>IF(ISBLANK(A950),"",E953+1)</f>
        <v>5</v>
      </c>
      <c r="F954" s="11">
        <f t="shared" si="1110"/>
        <v>45913.52708</v>
      </c>
      <c r="G954" s="8">
        <v>0.353</v>
      </c>
    </row>
    <row r="955">
      <c r="A955" s="12" t="str">
        <f t="shared" si="1108"/>
        <v>CLURUB</v>
      </c>
      <c r="B955" s="12" t="str">
        <f>IF(ISBLANK(A950),"",LEFT(B954,27)&amp;VALUE(RIGHT(B954,1)+1))</f>
        <v>DKR250911CLURUB_20C_sample_6</v>
      </c>
      <c r="C955" s="13" t="str">
        <f t="shared" ref="C955:D955" si="1113">C954</f>
        <v>Clutia rubricaulis</v>
      </c>
      <c r="D955" s="13" t="str">
        <f t="shared" si="1113"/>
        <v>20C</v>
      </c>
      <c r="E955" s="14">
        <f>IF(ISBLANK(A950),"",E954+1)</f>
        <v>6</v>
      </c>
      <c r="F955" s="15">
        <f t="shared" si="1110"/>
        <v>45913.52708</v>
      </c>
      <c r="G955" s="16">
        <v>0.283</v>
      </c>
    </row>
    <row r="956">
      <c r="A956" s="5" t="s">
        <v>15</v>
      </c>
      <c r="B956" s="6" t="str">
        <f>IF(ISBLANK(A956),"",VLOOKUP($A956,'Data Feed (20C)'!$A$1:$G$14,2,FALSE))</f>
        <v>DKR250911ELYRHI_20C_sample_1</v>
      </c>
      <c r="C956" s="6" t="str">
        <f>IF(ISBLANK(A956),"",VLOOKUP($A956,'Data Feed (20C)'!$A$1:$G$14,3,FALSE))</f>
        <v>Elytropappus rhinocerotis</v>
      </c>
      <c r="D956" s="6" t="str">
        <f>IF(ISBLANK(A956),"",VLOOKUP($A956,'Data Feed (20C)'!$A$1:$G$14,4,FALSE))</f>
        <v>20C</v>
      </c>
      <c r="E956" s="6">
        <f>IF(ISBLANK(A956),"",VLOOKUP($A956,'Data Feed (20C)'!$A$1:$G$14,7,FALSE))</f>
        <v>1</v>
      </c>
      <c r="F956" s="7">
        <v>45913.52847222222</v>
      </c>
      <c r="G956" s="8">
        <v>3.121</v>
      </c>
    </row>
    <row r="957">
      <c r="A957" s="9" t="str">
        <f t="shared" ref="A957:A961" si="1115">A956</f>
        <v>ELYRHI</v>
      </c>
      <c r="B957" s="9" t="str">
        <f>IF(ISBLANK(A956),"",LEFT(B956,27)&amp;VALUE(RIGHT(B956,1)+1))</f>
        <v>DKR250911ELYRHI_20C_sample_2</v>
      </c>
      <c r="C957" s="6" t="str">
        <f t="shared" ref="C957:D957" si="1114">C956</f>
        <v>Elytropappus rhinocerotis</v>
      </c>
      <c r="D957" s="6" t="str">
        <f t="shared" si="1114"/>
        <v>20C</v>
      </c>
      <c r="E957" s="10">
        <f>IF(ISBLANK(A956),"",E956+1)</f>
        <v>2</v>
      </c>
      <c r="F957" s="11">
        <f t="shared" ref="F957:F961" si="1117">F956</f>
        <v>45913.52847</v>
      </c>
      <c r="G957" s="8">
        <v>3.335</v>
      </c>
    </row>
    <row r="958">
      <c r="A958" s="9" t="str">
        <f t="shared" si="1115"/>
        <v>ELYRHI</v>
      </c>
      <c r="B958" s="9" t="str">
        <f>IF(ISBLANK(A956),"",LEFT(B957,27)&amp;VALUE(RIGHT(B957,1)+1))</f>
        <v>DKR250911ELYRHI_20C_sample_3</v>
      </c>
      <c r="C958" s="6" t="str">
        <f t="shared" ref="C958:D958" si="1116">C957</f>
        <v>Elytropappus rhinocerotis</v>
      </c>
      <c r="D958" s="6" t="str">
        <f t="shared" si="1116"/>
        <v>20C</v>
      </c>
      <c r="E958" s="10">
        <f>IF(ISBLANK(A956),"",E957+1)</f>
        <v>3</v>
      </c>
      <c r="F958" s="11">
        <f t="shared" si="1117"/>
        <v>45913.52847</v>
      </c>
      <c r="G958" s="8">
        <v>5.857</v>
      </c>
    </row>
    <row r="959">
      <c r="A959" s="9" t="str">
        <f t="shared" si="1115"/>
        <v>ELYRHI</v>
      </c>
      <c r="B959" s="9" t="str">
        <f>IF(ISBLANK(A956),"",LEFT(B958,27)&amp;VALUE(RIGHT(B958,1)+1))</f>
        <v>DKR250911ELYRHI_20C_sample_4</v>
      </c>
      <c r="C959" s="6" t="str">
        <f t="shared" ref="C959:D959" si="1118">C958</f>
        <v>Elytropappus rhinocerotis</v>
      </c>
      <c r="D959" s="6" t="str">
        <f t="shared" si="1118"/>
        <v>20C</v>
      </c>
      <c r="E959" s="10">
        <f>IF(ISBLANK(A956),"",E958+1)</f>
        <v>4</v>
      </c>
      <c r="F959" s="11">
        <f t="shared" si="1117"/>
        <v>45913.52847</v>
      </c>
      <c r="G959" s="8">
        <v>3.355</v>
      </c>
    </row>
    <row r="960">
      <c r="A960" s="9" t="str">
        <f t="shared" si="1115"/>
        <v>ELYRHI</v>
      </c>
      <c r="B960" s="9" t="str">
        <f>IF(ISBLANK(A956),"",LEFT(B959,27)&amp;VALUE(RIGHT(B959,1)+1))</f>
        <v>DKR250911ELYRHI_20C_sample_5</v>
      </c>
      <c r="C960" s="6" t="str">
        <f t="shared" ref="C960:D960" si="1119">C959</f>
        <v>Elytropappus rhinocerotis</v>
      </c>
      <c r="D960" s="6" t="str">
        <f t="shared" si="1119"/>
        <v>20C</v>
      </c>
      <c r="E960" s="10">
        <f>IF(ISBLANK(A956),"",E959+1)</f>
        <v>5</v>
      </c>
      <c r="F960" s="11">
        <f t="shared" si="1117"/>
        <v>45913.52847</v>
      </c>
      <c r="G960" s="8">
        <v>2.208</v>
      </c>
    </row>
    <row r="961">
      <c r="A961" s="12" t="str">
        <f t="shared" si="1115"/>
        <v>ELYRHI</v>
      </c>
      <c r="B961" s="12" t="str">
        <f>IF(ISBLANK(A956),"",LEFT(B960,27)&amp;VALUE(RIGHT(B960,1)+1))</f>
        <v>DKR250911ELYRHI_20C_sample_6</v>
      </c>
      <c r="C961" s="13" t="str">
        <f t="shared" ref="C961:D961" si="1120">C960</f>
        <v>Elytropappus rhinocerotis</v>
      </c>
      <c r="D961" s="13" t="str">
        <f t="shared" si="1120"/>
        <v>20C</v>
      </c>
      <c r="E961" s="14">
        <f>IF(ISBLANK(A956),"",E960+1)</f>
        <v>6</v>
      </c>
      <c r="F961" s="15">
        <f t="shared" si="1117"/>
        <v>45913.52847</v>
      </c>
      <c r="G961" s="16">
        <v>1.796</v>
      </c>
    </row>
    <row r="962">
      <c r="A962" s="5" t="s">
        <v>10</v>
      </c>
      <c r="B962" s="6" t="str">
        <f>IF(ISBLANK(A962),"",VLOOKUP($A962,'Data Feed (20C)'!$A$1:$G$14,2,FALSE))</f>
        <v>DKF250911LOBDEC_20C_sample_1</v>
      </c>
      <c r="C962" s="6" t="str">
        <f>IF(ISBLANK(A962),"",VLOOKUP($A962,'Data Feed (20C)'!$A$1:$G$14,3,FALSE))</f>
        <v>Lobostemon decorus</v>
      </c>
      <c r="D962" s="6" t="str">
        <f>IF(ISBLANK(A962),"",VLOOKUP($A962,'Data Feed (20C)'!$A$1:$G$14,4,FALSE))</f>
        <v>20C</v>
      </c>
      <c r="E962" s="6">
        <f>IF(ISBLANK(A962),"",VLOOKUP($A962,'Data Feed (20C)'!$A$1:$G$14,7,FALSE))</f>
        <v>1</v>
      </c>
      <c r="F962" s="7">
        <v>45913.53055555555</v>
      </c>
      <c r="G962" s="8">
        <v>6.237</v>
      </c>
    </row>
    <row r="963">
      <c r="A963" s="9" t="str">
        <f t="shared" ref="A963:A967" si="1122">A962</f>
        <v>LOBDEC</v>
      </c>
      <c r="B963" s="9" t="str">
        <f>IF(ISBLANK(A962),"",LEFT(B962,27)&amp;VALUE(RIGHT(B962,1)+1))</f>
        <v>DKF250911LOBDEC_20C_sample_2</v>
      </c>
      <c r="C963" s="6" t="str">
        <f t="shared" ref="C963:D963" si="1121">C962</f>
        <v>Lobostemon decorus</v>
      </c>
      <c r="D963" s="6" t="str">
        <f t="shared" si="1121"/>
        <v>20C</v>
      </c>
      <c r="E963" s="10">
        <f>IF(ISBLANK(A962),"",E962+1)</f>
        <v>2</v>
      </c>
      <c r="F963" s="11">
        <f t="shared" ref="F963:F967" si="1124">F962</f>
        <v>45913.53056</v>
      </c>
      <c r="G963" s="8">
        <v>5.129</v>
      </c>
    </row>
    <row r="964">
      <c r="A964" s="9" t="str">
        <f t="shared" si="1122"/>
        <v>LOBDEC</v>
      </c>
      <c r="B964" s="9" t="str">
        <f>IF(ISBLANK(A962),"",LEFT(B963,27)&amp;VALUE(RIGHT(B963,1)+1))</f>
        <v>DKF250911LOBDEC_20C_sample_3</v>
      </c>
      <c r="C964" s="6" t="str">
        <f t="shared" ref="C964:D964" si="1123">C963</f>
        <v>Lobostemon decorus</v>
      </c>
      <c r="D964" s="6" t="str">
        <f t="shared" si="1123"/>
        <v>20C</v>
      </c>
      <c r="E964" s="10">
        <f>IF(ISBLANK(A962),"",E963+1)</f>
        <v>3</v>
      </c>
      <c r="F964" s="11">
        <f t="shared" si="1124"/>
        <v>45913.53056</v>
      </c>
      <c r="G964" s="8">
        <v>8.043</v>
      </c>
    </row>
    <row r="965">
      <c r="A965" s="9" t="str">
        <f t="shared" si="1122"/>
        <v>LOBDEC</v>
      </c>
      <c r="B965" s="9" t="str">
        <f>IF(ISBLANK(A962),"",LEFT(B964,27)&amp;VALUE(RIGHT(B964,1)+1))</f>
        <v>DKF250911LOBDEC_20C_sample_4</v>
      </c>
      <c r="C965" s="6" t="str">
        <f t="shared" ref="C965:D965" si="1125">C964</f>
        <v>Lobostemon decorus</v>
      </c>
      <c r="D965" s="6" t="str">
        <f t="shared" si="1125"/>
        <v>20C</v>
      </c>
      <c r="E965" s="10">
        <f>IF(ISBLANK(A962),"",E964+1)</f>
        <v>4</v>
      </c>
      <c r="F965" s="11">
        <f t="shared" si="1124"/>
        <v>45913.53056</v>
      </c>
      <c r="G965" s="8">
        <v>5.292</v>
      </c>
    </row>
    <row r="966">
      <c r="A966" s="9" t="str">
        <f t="shared" si="1122"/>
        <v>LOBDEC</v>
      </c>
      <c r="B966" s="9" t="str">
        <f>IF(ISBLANK(A962),"",LEFT(B965,27)&amp;VALUE(RIGHT(B965,1)+1))</f>
        <v>DKF250911LOBDEC_20C_sample_5</v>
      </c>
      <c r="C966" s="6" t="str">
        <f t="shared" ref="C966:D966" si="1126">C965</f>
        <v>Lobostemon decorus</v>
      </c>
      <c r="D966" s="6" t="str">
        <f t="shared" si="1126"/>
        <v>20C</v>
      </c>
      <c r="E966" s="10">
        <f>IF(ISBLANK(A962),"",E965+1)</f>
        <v>5</v>
      </c>
      <c r="F966" s="11">
        <f t="shared" si="1124"/>
        <v>45913.53056</v>
      </c>
      <c r="G966" s="8">
        <v>3.862</v>
      </c>
    </row>
    <row r="967">
      <c r="A967" s="12" t="str">
        <f t="shared" si="1122"/>
        <v>LOBDEC</v>
      </c>
      <c r="B967" s="12" t="str">
        <f>IF(ISBLANK(A962),"",LEFT(B966,27)&amp;VALUE(RIGHT(B966,1)+1))</f>
        <v>DKF250911LOBDEC_20C_sample_6</v>
      </c>
      <c r="C967" s="13" t="str">
        <f t="shared" ref="C967:D967" si="1127">C966</f>
        <v>Lobostemon decorus</v>
      </c>
      <c r="D967" s="13" t="str">
        <f t="shared" si="1127"/>
        <v>20C</v>
      </c>
      <c r="E967" s="14">
        <f>IF(ISBLANK(A962),"",E966+1)</f>
        <v>6</v>
      </c>
      <c r="F967" s="15">
        <f t="shared" si="1124"/>
        <v>45913.53056</v>
      </c>
      <c r="G967" s="16">
        <v>3.48</v>
      </c>
    </row>
    <row r="968">
      <c r="A968" s="5" t="s">
        <v>16</v>
      </c>
      <c r="B968" s="6" t="str">
        <f>IF(ISBLANK(A968),"",VLOOKUP($A968,'Data Feed (20C)'!$A$1:$G$14,2,FALSE))</f>
        <v>DKR250911MICPOL_20C_sample_1</v>
      </c>
      <c r="C968" s="6" t="str">
        <f>IF(ISBLANK(A968),"",VLOOKUP($A968,'Data Feed (20C)'!$A$1:$G$14,3,FALSE))</f>
        <v>Microdon polygaloides</v>
      </c>
      <c r="D968" s="6" t="str">
        <f>IF(ISBLANK(A968),"",VLOOKUP($A968,'Data Feed (20C)'!$A$1:$G$14,4,FALSE))</f>
        <v>20C</v>
      </c>
      <c r="E968" s="6">
        <f>IF(ISBLANK(A968),"",VLOOKUP($A968,'Data Feed (20C)'!$A$1:$G$14,7,FALSE))</f>
        <v>1</v>
      </c>
      <c r="F968" s="7">
        <v>45913.53194444445</v>
      </c>
      <c r="G968" s="8">
        <v>1.361</v>
      </c>
    </row>
    <row r="969">
      <c r="A969" s="9" t="str">
        <f t="shared" ref="A969:A973" si="1129">A968</f>
        <v>MICPOL</v>
      </c>
      <c r="B969" s="9" t="str">
        <f>IF(ISBLANK(A968),"",LEFT(B968,27)&amp;VALUE(RIGHT(B968,1)+1))</f>
        <v>DKR250911MICPOL_20C_sample_2</v>
      </c>
      <c r="C969" s="6" t="str">
        <f t="shared" ref="C969:D969" si="1128">C968</f>
        <v>Microdon polygaloides</v>
      </c>
      <c r="D969" s="6" t="str">
        <f t="shared" si="1128"/>
        <v>20C</v>
      </c>
      <c r="E969" s="10">
        <f>IF(ISBLANK(A968),"",E968+1)</f>
        <v>2</v>
      </c>
      <c r="F969" s="11">
        <f t="shared" ref="F969:F973" si="1131">F968</f>
        <v>45913.53194</v>
      </c>
      <c r="G969" s="8">
        <v>0.819</v>
      </c>
    </row>
    <row r="970">
      <c r="A970" s="9" t="str">
        <f t="shared" si="1129"/>
        <v>MICPOL</v>
      </c>
      <c r="B970" s="9" t="str">
        <f>IF(ISBLANK(A968),"",LEFT(B969,27)&amp;VALUE(RIGHT(B969,1)+1))</f>
        <v>DKR250911MICPOL_20C_sample_3</v>
      </c>
      <c r="C970" s="6" t="str">
        <f t="shared" ref="C970:D970" si="1130">C969</f>
        <v>Microdon polygaloides</v>
      </c>
      <c r="D970" s="6" t="str">
        <f t="shared" si="1130"/>
        <v>20C</v>
      </c>
      <c r="E970" s="10">
        <f>IF(ISBLANK(A968),"",E969+1)</f>
        <v>3</v>
      </c>
      <c r="F970" s="11">
        <f t="shared" si="1131"/>
        <v>45913.53194</v>
      </c>
      <c r="G970" s="8">
        <v>0.338</v>
      </c>
    </row>
    <row r="971">
      <c r="A971" s="9" t="str">
        <f t="shared" si="1129"/>
        <v>MICPOL</v>
      </c>
      <c r="B971" s="9" t="str">
        <f>IF(ISBLANK(A968),"",LEFT(B970,27)&amp;VALUE(RIGHT(B970,1)+1))</f>
        <v>DKR250911MICPOL_20C_sample_4</v>
      </c>
      <c r="C971" s="6" t="str">
        <f t="shared" ref="C971:D971" si="1132">C970</f>
        <v>Microdon polygaloides</v>
      </c>
      <c r="D971" s="6" t="str">
        <f t="shared" si="1132"/>
        <v>20C</v>
      </c>
      <c r="E971" s="10">
        <f>IF(ISBLANK(A968),"",E970+1)</f>
        <v>4</v>
      </c>
      <c r="F971" s="11">
        <f t="shared" si="1131"/>
        <v>45913.53194</v>
      </c>
      <c r="G971" s="8">
        <v>0.16</v>
      </c>
    </row>
    <row r="972">
      <c r="A972" s="9" t="str">
        <f t="shared" si="1129"/>
        <v>MICPOL</v>
      </c>
      <c r="B972" s="9" t="str">
        <f>IF(ISBLANK(A968),"",LEFT(B971,27)&amp;VALUE(RIGHT(B971,1)+1))</f>
        <v>DKR250911MICPOL_20C_sample_5</v>
      </c>
      <c r="C972" s="6" t="str">
        <f t="shared" ref="C972:D972" si="1133">C971</f>
        <v>Microdon polygaloides</v>
      </c>
      <c r="D972" s="6" t="str">
        <f t="shared" si="1133"/>
        <v>20C</v>
      </c>
      <c r="E972" s="10">
        <f>IF(ISBLANK(A968),"",E971+1)</f>
        <v>5</v>
      </c>
      <c r="F972" s="11">
        <f t="shared" si="1131"/>
        <v>45913.53194</v>
      </c>
      <c r="G972" s="8">
        <v>0.268</v>
      </c>
    </row>
    <row r="973">
      <c r="A973" s="12" t="str">
        <f t="shared" si="1129"/>
        <v>MICPOL</v>
      </c>
      <c r="B973" s="12" t="str">
        <f>IF(ISBLANK(A968),"",LEFT(B972,27)&amp;VALUE(RIGHT(B972,1)+1))</f>
        <v>DKR250911MICPOL_20C_sample_6</v>
      </c>
      <c r="C973" s="13" t="str">
        <f t="shared" ref="C973:D973" si="1134">C972</f>
        <v>Microdon polygaloides</v>
      </c>
      <c r="D973" s="13" t="str">
        <f t="shared" si="1134"/>
        <v>20C</v>
      </c>
      <c r="E973" s="14">
        <f>IF(ISBLANK(A968),"",E972+1)</f>
        <v>6</v>
      </c>
      <c r="F973" s="15">
        <f t="shared" si="1131"/>
        <v>45913.53194</v>
      </c>
      <c r="G973" s="16">
        <v>0.208</v>
      </c>
    </row>
    <row r="974">
      <c r="A974" s="5" t="s">
        <v>17</v>
      </c>
      <c r="B974" s="6" t="str">
        <f>IF(ISBLANK(A974),"",VLOOKUP($A974,'Data Feed (20C)'!$A$1:$G$14,2,FALSE))</f>
        <v>DKR250911OEDSQU_20C_sample_1</v>
      </c>
      <c r="C974" s="6" t="str">
        <f>IF(ISBLANK(A974),"",VLOOKUP($A974,'Data Feed (20C)'!$A$1:$G$14,3,FALSE))</f>
        <v>Oedera squarrosa</v>
      </c>
      <c r="D974" s="6" t="str">
        <f>IF(ISBLANK(A974),"",VLOOKUP($A974,'Data Feed (20C)'!$A$1:$G$14,4,FALSE))</f>
        <v>20C</v>
      </c>
      <c r="E974" s="6">
        <f>IF(ISBLANK(A974),"",VLOOKUP($A974,'Data Feed (20C)'!$A$1:$G$14,7,FALSE))</f>
        <v>1</v>
      </c>
      <c r="F974" s="7">
        <v>45913.53333333333</v>
      </c>
      <c r="G974" s="8">
        <v>1.072</v>
      </c>
    </row>
    <row r="975">
      <c r="A975" s="9" t="str">
        <f t="shared" ref="A975:A979" si="1136">A974</f>
        <v>OEDSQU</v>
      </c>
      <c r="B975" s="9" t="str">
        <f>IF(ISBLANK(A974),"",LEFT(B974,27)&amp;VALUE(RIGHT(B974,1)+1))</f>
        <v>DKR250911OEDSQU_20C_sample_2</v>
      </c>
      <c r="C975" s="6" t="str">
        <f t="shared" ref="C975:D975" si="1135">C974</f>
        <v>Oedera squarrosa</v>
      </c>
      <c r="D975" s="6" t="str">
        <f t="shared" si="1135"/>
        <v>20C</v>
      </c>
      <c r="E975" s="10">
        <f>IF(ISBLANK(A974),"",E974+1)</f>
        <v>2</v>
      </c>
      <c r="F975" s="11">
        <f t="shared" ref="F975:F979" si="1138">F974</f>
        <v>45913.53333</v>
      </c>
      <c r="G975" s="8">
        <v>0.879</v>
      </c>
    </row>
    <row r="976">
      <c r="A976" s="9" t="str">
        <f t="shared" si="1136"/>
        <v>OEDSQU</v>
      </c>
      <c r="B976" s="9" t="str">
        <f>IF(ISBLANK(A974),"",LEFT(B975,27)&amp;VALUE(RIGHT(B975,1)+1))</f>
        <v>DKR250911OEDSQU_20C_sample_3</v>
      </c>
      <c r="C976" s="6" t="str">
        <f t="shared" ref="C976:D976" si="1137">C975</f>
        <v>Oedera squarrosa</v>
      </c>
      <c r="D976" s="6" t="str">
        <f t="shared" si="1137"/>
        <v>20C</v>
      </c>
      <c r="E976" s="10">
        <f>IF(ISBLANK(A974),"",E975+1)</f>
        <v>3</v>
      </c>
      <c r="F976" s="11">
        <f t="shared" si="1138"/>
        <v>45913.53333</v>
      </c>
      <c r="G976" s="8">
        <v>1.323</v>
      </c>
    </row>
    <row r="977">
      <c r="A977" s="9" t="str">
        <f t="shared" si="1136"/>
        <v>OEDSQU</v>
      </c>
      <c r="B977" s="9" t="str">
        <f>IF(ISBLANK(A974),"",LEFT(B976,27)&amp;VALUE(RIGHT(B976,1)+1))</f>
        <v>DKR250911OEDSQU_20C_sample_4</v>
      </c>
      <c r="C977" s="6" t="str">
        <f t="shared" ref="C977:D977" si="1139">C976</f>
        <v>Oedera squarrosa</v>
      </c>
      <c r="D977" s="6" t="str">
        <f t="shared" si="1139"/>
        <v>20C</v>
      </c>
      <c r="E977" s="10">
        <f>IF(ISBLANK(A974),"",E976+1)</f>
        <v>4</v>
      </c>
      <c r="F977" s="11">
        <f t="shared" si="1138"/>
        <v>45913.53333</v>
      </c>
      <c r="G977" s="8">
        <v>1.219</v>
      </c>
    </row>
    <row r="978">
      <c r="A978" s="9" t="str">
        <f t="shared" si="1136"/>
        <v>OEDSQU</v>
      </c>
      <c r="B978" s="9" t="str">
        <f>IF(ISBLANK(A974),"",LEFT(B977,27)&amp;VALUE(RIGHT(B977,1)+1))</f>
        <v>DKR250911OEDSQU_20C_sample_5</v>
      </c>
      <c r="C978" s="6" t="str">
        <f t="shared" ref="C978:D978" si="1140">C977</f>
        <v>Oedera squarrosa</v>
      </c>
      <c r="D978" s="6" t="str">
        <f t="shared" si="1140"/>
        <v>20C</v>
      </c>
      <c r="E978" s="10">
        <f>IF(ISBLANK(A974),"",E977+1)</f>
        <v>5</v>
      </c>
      <c r="F978" s="11">
        <f t="shared" si="1138"/>
        <v>45913.53333</v>
      </c>
      <c r="G978" s="8">
        <v>0.57</v>
      </c>
    </row>
    <row r="979">
      <c r="A979" s="12" t="str">
        <f t="shared" si="1136"/>
        <v>OEDSQU</v>
      </c>
      <c r="B979" s="12" t="str">
        <f>IF(ISBLANK(A974),"",LEFT(B978,27)&amp;VALUE(RIGHT(B978,1)+1))</f>
        <v>DKR250911OEDSQU_20C_sample_6</v>
      </c>
      <c r="C979" s="13" t="str">
        <f t="shared" ref="C979:D979" si="1141">C978</f>
        <v>Oedera squarrosa</v>
      </c>
      <c r="D979" s="13" t="str">
        <f t="shared" si="1141"/>
        <v>20C</v>
      </c>
      <c r="E979" s="14">
        <f>IF(ISBLANK(A974),"",E978+1)</f>
        <v>6</v>
      </c>
      <c r="F979" s="15">
        <f t="shared" si="1138"/>
        <v>45913.53333</v>
      </c>
      <c r="G979" s="16">
        <v>0.236</v>
      </c>
    </row>
    <row r="980">
      <c r="A980" s="5" t="s">
        <v>7</v>
      </c>
      <c r="B980" s="6" t="str">
        <f>IF(ISBLANK(A980),"",VLOOKUP($A980,'Data Feed (20C)'!$A$1:$G$14,2,FALSE))</f>
        <v>DKR250911PASOBT_20C_sample_1</v>
      </c>
      <c r="C980" s="6" t="str">
        <f>IF(ISBLANK(A980),"",VLOOKUP($A980,'Data Feed (20C)'!$A$1:$G$14,3,FALSE))</f>
        <v>Passerina obtusifolia</v>
      </c>
      <c r="D980" s="6" t="str">
        <f>IF(ISBLANK(A980),"",VLOOKUP($A980,'Data Feed (20C)'!$A$1:$G$14,4,FALSE))</f>
        <v>20C</v>
      </c>
      <c r="E980" s="6">
        <f>IF(ISBLANK(A980),"",VLOOKUP($A980,'Data Feed (20C)'!$A$1:$G$14,7,FALSE))</f>
        <v>1</v>
      </c>
      <c r="F980" s="7">
        <v>45913.535416666666</v>
      </c>
      <c r="G980" s="8">
        <v>2.836</v>
      </c>
    </row>
    <row r="981">
      <c r="A981" s="9" t="str">
        <f t="shared" ref="A981:A985" si="1143">A980</f>
        <v>PASOBT</v>
      </c>
      <c r="B981" s="9" t="str">
        <f>IF(ISBLANK(A980),"",LEFT(B980,27)&amp;VALUE(RIGHT(B980,1)+1))</f>
        <v>DKR250911PASOBT_20C_sample_2</v>
      </c>
      <c r="C981" s="6" t="str">
        <f t="shared" ref="C981:D981" si="1142">C980</f>
        <v>Passerina obtusifolia</v>
      </c>
      <c r="D981" s="6" t="str">
        <f t="shared" si="1142"/>
        <v>20C</v>
      </c>
      <c r="E981" s="10">
        <f>IF(ISBLANK(A980),"",E980+1)</f>
        <v>2</v>
      </c>
      <c r="F981" s="11">
        <f t="shared" ref="F981:F985" si="1145">F980</f>
        <v>45913.53542</v>
      </c>
      <c r="G981" s="8">
        <v>3.775</v>
      </c>
    </row>
    <row r="982">
      <c r="A982" s="9" t="str">
        <f t="shared" si="1143"/>
        <v>PASOBT</v>
      </c>
      <c r="B982" s="9" t="str">
        <f>IF(ISBLANK(A980),"",LEFT(B981,27)&amp;VALUE(RIGHT(B981,1)+1))</f>
        <v>DKR250911PASOBT_20C_sample_3</v>
      </c>
      <c r="C982" s="6" t="str">
        <f t="shared" ref="C982:D982" si="1144">C981</f>
        <v>Passerina obtusifolia</v>
      </c>
      <c r="D982" s="6" t="str">
        <f t="shared" si="1144"/>
        <v>20C</v>
      </c>
      <c r="E982" s="10">
        <f>IF(ISBLANK(A980),"",E981+1)</f>
        <v>3</v>
      </c>
      <c r="F982" s="11">
        <f t="shared" si="1145"/>
        <v>45913.53542</v>
      </c>
      <c r="G982" s="8">
        <v>1.316</v>
      </c>
    </row>
    <row r="983">
      <c r="A983" s="9" t="str">
        <f t="shared" si="1143"/>
        <v>PASOBT</v>
      </c>
      <c r="B983" s="9" t="str">
        <f>IF(ISBLANK(A980),"",LEFT(B982,27)&amp;VALUE(RIGHT(B982,1)+1))</f>
        <v>DKR250911PASOBT_20C_sample_4</v>
      </c>
      <c r="C983" s="6" t="str">
        <f t="shared" ref="C983:D983" si="1146">C982</f>
        <v>Passerina obtusifolia</v>
      </c>
      <c r="D983" s="6" t="str">
        <f t="shared" si="1146"/>
        <v>20C</v>
      </c>
      <c r="E983" s="10">
        <f>IF(ISBLANK(A980),"",E982+1)</f>
        <v>4</v>
      </c>
      <c r="F983" s="11">
        <f t="shared" si="1145"/>
        <v>45913.53542</v>
      </c>
      <c r="G983" s="8">
        <v>1.798</v>
      </c>
    </row>
    <row r="984">
      <c r="A984" s="9" t="str">
        <f t="shared" si="1143"/>
        <v>PASOBT</v>
      </c>
      <c r="B984" s="9" t="str">
        <f>IF(ISBLANK(A980),"",LEFT(B983,27)&amp;VALUE(RIGHT(B983,1)+1))</f>
        <v>DKR250911PASOBT_20C_sample_5</v>
      </c>
      <c r="C984" s="6" t="str">
        <f t="shared" ref="C984:D984" si="1147">C983</f>
        <v>Passerina obtusifolia</v>
      </c>
      <c r="D984" s="6" t="str">
        <f t="shared" si="1147"/>
        <v>20C</v>
      </c>
      <c r="E984" s="10">
        <f>IF(ISBLANK(A980),"",E983+1)</f>
        <v>5</v>
      </c>
      <c r="F984" s="11">
        <f t="shared" si="1145"/>
        <v>45913.53542</v>
      </c>
      <c r="G984" s="8">
        <v>1.519</v>
      </c>
    </row>
    <row r="985">
      <c r="A985" s="12" t="str">
        <f t="shared" si="1143"/>
        <v>PASOBT</v>
      </c>
      <c r="B985" s="12" t="str">
        <f>IF(ISBLANK(A980),"",LEFT(B984,27)&amp;VALUE(RIGHT(B984,1)+1))</f>
        <v>DKR250911PASOBT_20C_sample_6</v>
      </c>
      <c r="C985" s="13" t="str">
        <f t="shared" ref="C985:D985" si="1148">C984</f>
        <v>Passerina obtusifolia</v>
      </c>
      <c r="D985" s="13" t="str">
        <f t="shared" si="1148"/>
        <v>20C</v>
      </c>
      <c r="E985" s="14">
        <f>IF(ISBLANK(A980),"",E984+1)</f>
        <v>6</v>
      </c>
      <c r="F985" s="15">
        <f t="shared" si="1145"/>
        <v>45913.53542</v>
      </c>
      <c r="G985" s="16">
        <v>2.494</v>
      </c>
    </row>
    <row r="986">
      <c r="A986" s="5" t="s">
        <v>9</v>
      </c>
      <c r="B986" s="6" t="str">
        <f>IF(ISBLANK(A986),"",VLOOKUP($A986,'Data Feed (20C)'!$A$1:$G$14,2,FALSE))</f>
        <v>DKR250911PROLAU_20C_sample_1</v>
      </c>
      <c r="C986" s="6" t="str">
        <f>IF(ISBLANK(A986),"",VLOOKUP($A986,'Data Feed (20C)'!$A$1:$G$14,3,FALSE))</f>
        <v>Protea laurifolia</v>
      </c>
      <c r="D986" s="6" t="str">
        <f>IF(ISBLANK(A986),"",VLOOKUP($A986,'Data Feed (20C)'!$A$1:$G$14,4,FALSE))</f>
        <v>20C</v>
      </c>
      <c r="E986" s="6">
        <f>IF(ISBLANK(A986),"",VLOOKUP($A986,'Data Feed (20C)'!$A$1:$G$14,7,FALSE))</f>
        <v>1</v>
      </c>
      <c r="F986" s="7">
        <v>45913.53680555556</v>
      </c>
      <c r="G986" s="8">
        <v>1.001</v>
      </c>
    </row>
    <row r="987">
      <c r="A987" s="9" t="str">
        <f t="shared" ref="A987:A991" si="1150">A986</f>
        <v>PROLAU</v>
      </c>
      <c r="B987" s="9" t="str">
        <f>IF(ISBLANK(A986),"",LEFT(B986,27)&amp;VALUE(RIGHT(B986,1)+1))</f>
        <v>DKR250911PROLAU_20C_sample_2</v>
      </c>
      <c r="C987" s="6" t="str">
        <f t="shared" ref="C987:D987" si="1149">C986</f>
        <v>Protea laurifolia</v>
      </c>
      <c r="D987" s="6" t="str">
        <f t="shared" si="1149"/>
        <v>20C</v>
      </c>
      <c r="E987" s="10">
        <f>IF(ISBLANK(A986),"",E986+1)</f>
        <v>2</v>
      </c>
      <c r="F987" s="11">
        <f t="shared" ref="F987:F991" si="1152">F986</f>
        <v>45913.53681</v>
      </c>
      <c r="G987" s="8">
        <v>1.147</v>
      </c>
    </row>
    <row r="988">
      <c r="A988" s="9" t="str">
        <f t="shared" si="1150"/>
        <v>PROLAU</v>
      </c>
      <c r="B988" s="9" t="str">
        <f>IF(ISBLANK(A986),"",LEFT(B987,27)&amp;VALUE(RIGHT(B987,1)+1))</f>
        <v>DKR250911PROLAU_20C_sample_3</v>
      </c>
      <c r="C988" s="6" t="str">
        <f t="shared" ref="C988:D988" si="1151">C987</f>
        <v>Protea laurifolia</v>
      </c>
      <c r="D988" s="6" t="str">
        <f t="shared" si="1151"/>
        <v>20C</v>
      </c>
      <c r="E988" s="10">
        <f>IF(ISBLANK(A986),"",E987+1)</f>
        <v>3</v>
      </c>
      <c r="F988" s="11">
        <f t="shared" si="1152"/>
        <v>45913.53681</v>
      </c>
      <c r="G988" s="8">
        <v>1.111</v>
      </c>
    </row>
    <row r="989">
      <c r="A989" s="9" t="str">
        <f t="shared" si="1150"/>
        <v>PROLAU</v>
      </c>
      <c r="B989" s="9" t="str">
        <f>IF(ISBLANK(A986),"",LEFT(B988,27)&amp;VALUE(RIGHT(B988,1)+1))</f>
        <v>DKR250911PROLAU_20C_sample_4</v>
      </c>
      <c r="C989" s="6" t="str">
        <f t="shared" ref="C989:D989" si="1153">C988</f>
        <v>Protea laurifolia</v>
      </c>
      <c r="D989" s="6" t="str">
        <f t="shared" si="1153"/>
        <v>20C</v>
      </c>
      <c r="E989" s="10">
        <f>IF(ISBLANK(A986),"",E988+1)</f>
        <v>4</v>
      </c>
      <c r="F989" s="11">
        <f t="shared" si="1152"/>
        <v>45913.53681</v>
      </c>
      <c r="G989" s="8">
        <v>0.543</v>
      </c>
    </row>
    <row r="990">
      <c r="A990" s="9" t="str">
        <f t="shared" si="1150"/>
        <v>PROLAU</v>
      </c>
      <c r="B990" s="9" t="str">
        <f>IF(ISBLANK(A986),"",LEFT(B989,27)&amp;VALUE(RIGHT(B989,1)+1))</f>
        <v>DKR250911PROLAU_20C_sample_5</v>
      </c>
      <c r="C990" s="6" t="str">
        <f t="shared" ref="C990:D990" si="1154">C989</f>
        <v>Protea laurifolia</v>
      </c>
      <c r="D990" s="6" t="str">
        <f t="shared" si="1154"/>
        <v>20C</v>
      </c>
      <c r="E990" s="10">
        <f>IF(ISBLANK(A986),"",E989+1)</f>
        <v>5</v>
      </c>
      <c r="F990" s="11">
        <f t="shared" si="1152"/>
        <v>45913.53681</v>
      </c>
      <c r="G990" s="8">
        <v>0.94</v>
      </c>
    </row>
    <row r="991">
      <c r="A991" s="12" t="str">
        <f t="shared" si="1150"/>
        <v>PROLAU</v>
      </c>
      <c r="B991" s="12" t="str">
        <f>IF(ISBLANK(A986),"",LEFT(B990,27)&amp;VALUE(RIGHT(B990,1)+1))</f>
        <v>DKR250911PROLAU_20C_sample_6</v>
      </c>
      <c r="C991" s="13" t="str">
        <f t="shared" ref="C991:D991" si="1155">C990</f>
        <v>Protea laurifolia</v>
      </c>
      <c r="D991" s="13" t="str">
        <f t="shared" si="1155"/>
        <v>20C</v>
      </c>
      <c r="E991" s="14">
        <f>IF(ISBLANK(A986),"",E990+1)</f>
        <v>6</v>
      </c>
      <c r="F991" s="15">
        <f t="shared" si="1152"/>
        <v>45913.53681</v>
      </c>
      <c r="G991" s="16">
        <v>0.935</v>
      </c>
    </row>
    <row r="992">
      <c r="A992" s="5" t="s">
        <v>8</v>
      </c>
      <c r="B992" s="6" t="str">
        <f>IF(ISBLANK(A992),"",VLOOKUP($A992,'Data Feed (20C)'!$A$1:$G$14,2,FALSE))</f>
        <v>DKF250911PROLOR_20C_sample_1</v>
      </c>
      <c r="C992" s="6" t="str">
        <f>IF(ISBLANK(A992),"",VLOOKUP($A992,'Data Feed (20C)'!$A$1:$G$14,3,FALSE))</f>
        <v>Protea lorifolia</v>
      </c>
      <c r="D992" s="6" t="str">
        <f>IF(ISBLANK(A992),"",VLOOKUP($A992,'Data Feed (20C)'!$A$1:$G$14,4,FALSE))</f>
        <v>20C</v>
      </c>
      <c r="E992" s="6">
        <f>IF(ISBLANK(A992),"",VLOOKUP($A992,'Data Feed (20C)'!$A$1:$G$14,7,FALSE))</f>
        <v>1</v>
      </c>
      <c r="F992" s="7">
        <v>45913.53888888889</v>
      </c>
      <c r="G992" s="8">
        <v>3.195</v>
      </c>
    </row>
    <row r="993">
      <c r="A993" s="9" t="str">
        <f t="shared" ref="A993:A997" si="1157">A992</f>
        <v>PROLOR</v>
      </c>
      <c r="B993" s="9" t="str">
        <f>IF(ISBLANK(A992),"",LEFT(B992,27)&amp;VALUE(RIGHT(B992,1)+1))</f>
        <v>DKF250911PROLOR_20C_sample_2</v>
      </c>
      <c r="C993" s="6" t="str">
        <f t="shared" ref="C993:D993" si="1156">C992</f>
        <v>Protea lorifolia</v>
      </c>
      <c r="D993" s="6" t="str">
        <f t="shared" si="1156"/>
        <v>20C</v>
      </c>
      <c r="E993" s="10">
        <f>IF(ISBLANK(A992),"",E992+1)</f>
        <v>2</v>
      </c>
      <c r="F993" s="11">
        <f t="shared" ref="F993:F997" si="1159">F992</f>
        <v>45913.53889</v>
      </c>
      <c r="G993" s="8">
        <v>3.496</v>
      </c>
    </row>
    <row r="994">
      <c r="A994" s="9" t="str">
        <f t="shared" si="1157"/>
        <v>PROLOR</v>
      </c>
      <c r="B994" s="9" t="str">
        <f>IF(ISBLANK(A992),"",LEFT(B993,27)&amp;VALUE(RIGHT(B993,1)+1))</f>
        <v>DKF250911PROLOR_20C_sample_3</v>
      </c>
      <c r="C994" s="6" t="str">
        <f t="shared" ref="C994:D994" si="1158">C993</f>
        <v>Protea lorifolia</v>
      </c>
      <c r="D994" s="6" t="str">
        <f t="shared" si="1158"/>
        <v>20C</v>
      </c>
      <c r="E994" s="10">
        <f>IF(ISBLANK(A992),"",E993+1)</f>
        <v>3</v>
      </c>
      <c r="F994" s="11">
        <f t="shared" si="1159"/>
        <v>45913.53889</v>
      </c>
      <c r="G994" s="8">
        <v>3.739</v>
      </c>
    </row>
    <row r="995">
      <c r="A995" s="9" t="str">
        <f t="shared" si="1157"/>
        <v>PROLOR</v>
      </c>
      <c r="B995" s="9" t="str">
        <f>IF(ISBLANK(A992),"",LEFT(B994,27)&amp;VALUE(RIGHT(B994,1)+1))</f>
        <v>DKF250911PROLOR_20C_sample_4</v>
      </c>
      <c r="C995" s="6" t="str">
        <f t="shared" ref="C995:D995" si="1160">C994</f>
        <v>Protea lorifolia</v>
      </c>
      <c r="D995" s="6" t="str">
        <f t="shared" si="1160"/>
        <v>20C</v>
      </c>
      <c r="E995" s="10">
        <f>IF(ISBLANK(A992),"",E994+1)</f>
        <v>4</v>
      </c>
      <c r="F995" s="11">
        <f t="shared" si="1159"/>
        <v>45913.53889</v>
      </c>
      <c r="G995" s="8">
        <v>2.934</v>
      </c>
    </row>
    <row r="996">
      <c r="A996" s="9" t="str">
        <f t="shared" si="1157"/>
        <v>PROLOR</v>
      </c>
      <c r="B996" s="9" t="str">
        <f>IF(ISBLANK(A992),"",LEFT(B995,27)&amp;VALUE(RIGHT(B995,1)+1))</f>
        <v>DKF250911PROLOR_20C_sample_5</v>
      </c>
      <c r="C996" s="6" t="str">
        <f t="shared" ref="C996:D996" si="1161">C995</f>
        <v>Protea lorifolia</v>
      </c>
      <c r="D996" s="6" t="str">
        <f t="shared" si="1161"/>
        <v>20C</v>
      </c>
      <c r="E996" s="10">
        <f>IF(ISBLANK(A992),"",E995+1)</f>
        <v>5</v>
      </c>
      <c r="F996" s="11">
        <f t="shared" si="1159"/>
        <v>45913.53889</v>
      </c>
      <c r="G996" s="8">
        <v>5.724</v>
      </c>
    </row>
    <row r="997">
      <c r="A997" s="12" t="str">
        <f t="shared" si="1157"/>
        <v>PROLOR</v>
      </c>
      <c r="B997" s="12" t="str">
        <f>IF(ISBLANK(A992),"",LEFT(B996,27)&amp;VALUE(RIGHT(B996,1)+1))</f>
        <v>DKF250911PROLOR_20C_sample_6</v>
      </c>
      <c r="C997" s="13" t="str">
        <f t="shared" ref="C997:D997" si="1162">C996</f>
        <v>Protea lorifolia</v>
      </c>
      <c r="D997" s="13" t="str">
        <f t="shared" si="1162"/>
        <v>20C</v>
      </c>
      <c r="E997" s="14">
        <f>IF(ISBLANK(A992),"",E996+1)</f>
        <v>6</v>
      </c>
      <c r="F997" s="15">
        <f t="shared" si="1159"/>
        <v>45913.53889</v>
      </c>
      <c r="G997" s="16">
        <v>4.545</v>
      </c>
    </row>
    <row r="998">
      <c r="A998" s="5" t="s">
        <v>13</v>
      </c>
      <c r="B998" s="6" t="str">
        <f>IF(ISBLANK(A998),"",VLOOKUP($A998,'Data Feed (20C)'!$A$1:$G$14,2,FALSE))</f>
        <v>DKR250911RUSMUL_20C_sample_1</v>
      </c>
      <c r="C998" s="6" t="str">
        <f>IF(ISBLANK(A998),"",VLOOKUP($A998,'Data Feed (20C)'!$A$1:$G$14,3,FALSE))</f>
        <v>Ruschia multiflora</v>
      </c>
      <c r="D998" s="6" t="str">
        <f>IF(ISBLANK(A998),"",VLOOKUP($A998,'Data Feed (20C)'!$A$1:$G$14,4,FALSE))</f>
        <v>20C</v>
      </c>
      <c r="E998" s="6">
        <f>IF(ISBLANK(A998),"",VLOOKUP($A998,'Data Feed (20C)'!$A$1:$G$14,7,FALSE))</f>
        <v>1</v>
      </c>
      <c r="F998" s="7">
        <v>45913.54027777778</v>
      </c>
      <c r="G998" s="8">
        <v>3.195</v>
      </c>
    </row>
    <row r="999">
      <c r="A999" s="9" t="str">
        <f t="shared" ref="A999:A1003" si="1164">A998</f>
        <v>RUSMUL</v>
      </c>
      <c r="B999" s="9" t="str">
        <f>IF(ISBLANK(A998),"",LEFT(B998,27)&amp;VALUE(RIGHT(B998,1)+1))</f>
        <v>DKR250911RUSMUL_20C_sample_2</v>
      </c>
      <c r="C999" s="6" t="str">
        <f t="shared" ref="C999:D999" si="1163">C998</f>
        <v>Ruschia multiflora</v>
      </c>
      <c r="D999" s="6" t="str">
        <f t="shared" si="1163"/>
        <v>20C</v>
      </c>
      <c r="E999" s="10">
        <f>IF(ISBLANK(A998),"",E998+1)</f>
        <v>2</v>
      </c>
      <c r="F999" s="11">
        <f t="shared" ref="F999:F1003" si="1166">F998</f>
        <v>45913.54028</v>
      </c>
      <c r="G999" s="8">
        <v>3.994</v>
      </c>
    </row>
    <row r="1000">
      <c r="A1000" s="9" t="str">
        <f t="shared" si="1164"/>
        <v>RUSMUL</v>
      </c>
      <c r="B1000" s="9" t="str">
        <f>IF(ISBLANK(A998),"",LEFT(B999,27)&amp;VALUE(RIGHT(B999,1)+1))</f>
        <v>DKR250911RUSMUL_20C_sample_3</v>
      </c>
      <c r="C1000" s="6" t="str">
        <f t="shared" ref="C1000:D1000" si="1165">C999</f>
        <v>Ruschia multiflora</v>
      </c>
      <c r="D1000" s="6" t="str">
        <f t="shared" si="1165"/>
        <v>20C</v>
      </c>
      <c r="E1000" s="10">
        <f>IF(ISBLANK(A998),"",E999+1)</f>
        <v>3</v>
      </c>
      <c r="F1000" s="11">
        <f t="shared" si="1166"/>
        <v>45913.54028</v>
      </c>
      <c r="G1000" s="8">
        <v>7.888</v>
      </c>
    </row>
    <row r="1001">
      <c r="A1001" s="9" t="str">
        <f t="shared" si="1164"/>
        <v>RUSMUL</v>
      </c>
      <c r="B1001" s="9" t="str">
        <f>IF(ISBLANK(A998),"",LEFT(B1000,27)&amp;VALUE(RIGHT(B1000,1)+1))</f>
        <v>DKR250911RUSMUL_20C_sample_4</v>
      </c>
      <c r="C1001" s="6" t="str">
        <f t="shared" ref="C1001:D1001" si="1167">C1000</f>
        <v>Ruschia multiflora</v>
      </c>
      <c r="D1001" s="6" t="str">
        <f t="shared" si="1167"/>
        <v>20C</v>
      </c>
      <c r="E1001" s="10">
        <f>IF(ISBLANK(A998),"",E1000+1)</f>
        <v>4</v>
      </c>
      <c r="F1001" s="11">
        <f t="shared" si="1166"/>
        <v>45913.54028</v>
      </c>
      <c r="G1001" s="8">
        <v>4.239</v>
      </c>
    </row>
    <row r="1002">
      <c r="A1002" s="9" t="str">
        <f t="shared" si="1164"/>
        <v>RUSMUL</v>
      </c>
      <c r="B1002" s="9" t="str">
        <f>IF(ISBLANK(A998),"",LEFT(B1001,27)&amp;VALUE(RIGHT(B1001,1)+1))</f>
        <v>DKR250911RUSMUL_20C_sample_5</v>
      </c>
      <c r="C1002" s="6" t="str">
        <f t="shared" ref="C1002:D1002" si="1168">C1001</f>
        <v>Ruschia multiflora</v>
      </c>
      <c r="D1002" s="6" t="str">
        <f t="shared" si="1168"/>
        <v>20C</v>
      </c>
      <c r="E1002" s="10">
        <f>IF(ISBLANK(A998),"",E1001+1)</f>
        <v>5</v>
      </c>
      <c r="F1002" s="11">
        <f t="shared" si="1166"/>
        <v>45913.54028</v>
      </c>
      <c r="G1002" s="8">
        <v>3.576</v>
      </c>
    </row>
    <row r="1003">
      <c r="A1003" s="12" t="str">
        <f t="shared" si="1164"/>
        <v>RUSMUL</v>
      </c>
      <c r="B1003" s="12" t="str">
        <f>IF(ISBLANK(A998),"",LEFT(B1002,27)&amp;VALUE(RIGHT(B1002,1)+1))</f>
        <v>DKR250911RUSMUL_20C_sample_6</v>
      </c>
      <c r="C1003" s="13" t="str">
        <f t="shared" ref="C1003:D1003" si="1169">C1002</f>
        <v>Ruschia multiflora</v>
      </c>
      <c r="D1003" s="13" t="str">
        <f t="shared" si="1169"/>
        <v>20C</v>
      </c>
      <c r="E1003" s="14">
        <f>IF(ISBLANK(A998),"",E1002+1)</f>
        <v>6</v>
      </c>
      <c r="F1003" s="15">
        <f t="shared" si="1166"/>
        <v>45913.54028</v>
      </c>
      <c r="G1003" s="16">
        <v>3.009</v>
      </c>
    </row>
    <row r="1004">
      <c r="A1004" s="5" t="s">
        <v>11</v>
      </c>
      <c r="B1004" s="6" t="str">
        <f>IF(ISBLANK(A1004),"",VLOOKUP($A1004,'Data Feed (20C)'!$A$1:$G$14,2,FALSE))</f>
        <v>DKF250911SELDOL_20C_sample_1</v>
      </c>
      <c r="C1004" s="6" t="str">
        <f>IF(ISBLANK(A1004),"",VLOOKUP($A1004,'Data Feed (20C)'!$A$1:$G$14,3,FALSE))</f>
        <v>Selago dolosa</v>
      </c>
      <c r="D1004" s="6" t="str">
        <f>IF(ISBLANK(A1004),"",VLOOKUP($A1004,'Data Feed (20C)'!$A$1:$G$14,4,FALSE))</f>
        <v>20C</v>
      </c>
      <c r="E1004" s="6">
        <f>IF(ISBLANK(A1004),"",VLOOKUP($A1004,'Data Feed (20C)'!$A$1:$G$14,7,FALSE))</f>
        <v>1</v>
      </c>
      <c r="F1004" s="7">
        <v>45913.541666666664</v>
      </c>
      <c r="G1004" s="8">
        <v>1.233</v>
      </c>
    </row>
    <row r="1005">
      <c r="A1005" s="9" t="str">
        <f t="shared" ref="A1005:A1009" si="1171">A1004</f>
        <v>SELDOL</v>
      </c>
      <c r="B1005" s="9" t="str">
        <f>IF(ISBLANK(A1004),"",LEFT(B1004,27)&amp;VALUE(RIGHT(B1004,1)+1))</f>
        <v>DKF250911SELDOL_20C_sample_2</v>
      </c>
      <c r="C1005" s="6" t="str">
        <f t="shared" ref="C1005:D1005" si="1170">C1004</f>
        <v>Selago dolosa</v>
      </c>
      <c r="D1005" s="6" t="str">
        <f t="shared" si="1170"/>
        <v>20C</v>
      </c>
      <c r="E1005" s="10">
        <f>IF(ISBLANK(A1004),"",E1004+1)</f>
        <v>2</v>
      </c>
      <c r="F1005" s="11">
        <f t="shared" ref="F1005:F1009" si="1173">F1004</f>
        <v>45913.54167</v>
      </c>
      <c r="G1005" s="8">
        <v>1.713</v>
      </c>
    </row>
    <row r="1006">
      <c r="A1006" s="9" t="str">
        <f t="shared" si="1171"/>
        <v>SELDOL</v>
      </c>
      <c r="B1006" s="9" t="str">
        <f>IF(ISBLANK(A1004),"",LEFT(B1005,27)&amp;VALUE(RIGHT(B1005,1)+1))</f>
        <v>DKF250911SELDOL_20C_sample_3</v>
      </c>
      <c r="C1006" s="6" t="str">
        <f t="shared" ref="C1006:D1006" si="1172">C1005</f>
        <v>Selago dolosa</v>
      </c>
      <c r="D1006" s="6" t="str">
        <f t="shared" si="1172"/>
        <v>20C</v>
      </c>
      <c r="E1006" s="10">
        <f>IF(ISBLANK(A1004),"",E1005+1)</f>
        <v>3</v>
      </c>
      <c r="F1006" s="11">
        <f t="shared" si="1173"/>
        <v>45913.54167</v>
      </c>
      <c r="G1006" s="8">
        <v>1.574</v>
      </c>
    </row>
    <row r="1007">
      <c r="A1007" s="9" t="str">
        <f t="shared" si="1171"/>
        <v>SELDOL</v>
      </c>
      <c r="B1007" s="9" t="str">
        <f>IF(ISBLANK(A1004),"",LEFT(B1006,27)&amp;VALUE(RIGHT(B1006,1)+1))</f>
        <v>DKF250911SELDOL_20C_sample_4</v>
      </c>
      <c r="C1007" s="6" t="str">
        <f t="shared" ref="C1007:D1007" si="1174">C1006</f>
        <v>Selago dolosa</v>
      </c>
      <c r="D1007" s="6" t="str">
        <f t="shared" si="1174"/>
        <v>20C</v>
      </c>
      <c r="E1007" s="10">
        <f>IF(ISBLANK(A1004),"",E1006+1)</f>
        <v>4</v>
      </c>
      <c r="F1007" s="11">
        <f t="shared" si="1173"/>
        <v>45913.54167</v>
      </c>
      <c r="G1007" s="8">
        <v>1.626</v>
      </c>
    </row>
    <row r="1008">
      <c r="A1008" s="9" t="str">
        <f t="shared" si="1171"/>
        <v>SELDOL</v>
      </c>
      <c r="B1008" s="9" t="str">
        <f>IF(ISBLANK(A1004),"",LEFT(B1007,27)&amp;VALUE(RIGHT(B1007,1)+1))</f>
        <v>DKF250911SELDOL_20C_sample_5</v>
      </c>
      <c r="C1008" s="6" t="str">
        <f t="shared" ref="C1008:D1008" si="1175">C1007</f>
        <v>Selago dolosa</v>
      </c>
      <c r="D1008" s="6" t="str">
        <f t="shared" si="1175"/>
        <v>20C</v>
      </c>
      <c r="E1008" s="10">
        <f>IF(ISBLANK(A1004),"",E1007+1)</f>
        <v>5</v>
      </c>
      <c r="F1008" s="11">
        <f t="shared" si="1173"/>
        <v>45913.54167</v>
      </c>
      <c r="G1008" s="8"/>
    </row>
    <row r="1009">
      <c r="A1009" s="12" t="str">
        <f t="shared" si="1171"/>
        <v>SELDOL</v>
      </c>
      <c r="B1009" s="12" t="str">
        <f>IF(ISBLANK(A1004),"",LEFT(B1008,27)&amp;VALUE(RIGHT(B1008,1)+1))</f>
        <v>DKF250911SELDOL_20C_sample_6</v>
      </c>
      <c r="C1009" s="13" t="str">
        <f t="shared" ref="C1009:D1009" si="1176">C1008</f>
        <v>Selago dolosa</v>
      </c>
      <c r="D1009" s="13" t="str">
        <f t="shared" si="1176"/>
        <v>20C</v>
      </c>
      <c r="E1009" s="14">
        <f>IF(ISBLANK(A1004),"",E1008+1)</f>
        <v>6</v>
      </c>
      <c r="F1009" s="15">
        <f t="shared" si="1173"/>
        <v>45913.54167</v>
      </c>
      <c r="G1009" s="16">
        <v>1.08</v>
      </c>
    </row>
    <row r="1010">
      <c r="A1010" s="5" t="s">
        <v>18</v>
      </c>
      <c r="B1010" s="6" t="str">
        <f>IF(ISBLANK(A1010),"",VLOOKUP($A1010,'Data Feed (20C)'!$A$1:$G$14,2,FALSE))</f>
        <v>DKR250911WAHNOD_20C_sample_1</v>
      </c>
      <c r="C1010" s="6" t="str">
        <f>IF(ISBLANK(A1010),"",VLOOKUP($A1010,'Data Feed (20C)'!$A$1:$G$14,3,FALSE))</f>
        <v>Wahlenbergia nodosa</v>
      </c>
      <c r="D1010" s="6" t="str">
        <f>IF(ISBLANK(A1010),"",VLOOKUP($A1010,'Data Feed (20C)'!$A$1:$G$14,4,FALSE))</f>
        <v>20C</v>
      </c>
      <c r="E1010" s="6">
        <f>IF(ISBLANK(A1010),"",VLOOKUP($A1010,'Data Feed (20C)'!$A$1:$G$14,7,FALSE))</f>
        <v>1</v>
      </c>
      <c r="F1010" s="7">
        <v>45913.54305555556</v>
      </c>
      <c r="G1010" s="8">
        <v>0.279</v>
      </c>
    </row>
    <row r="1011">
      <c r="A1011" s="9" t="str">
        <f t="shared" ref="A1011:A1015" si="1178">A1010</f>
        <v>WAHNOD</v>
      </c>
      <c r="B1011" s="9" t="str">
        <f>IF(ISBLANK(A1010),"",LEFT(B1010,27)&amp;VALUE(RIGHT(B1010,1)+1))</f>
        <v>DKR250911WAHNOD_20C_sample_2</v>
      </c>
      <c r="C1011" s="6" t="str">
        <f t="shared" ref="C1011:D1011" si="1177">C1010</f>
        <v>Wahlenbergia nodosa</v>
      </c>
      <c r="D1011" s="6" t="str">
        <f t="shared" si="1177"/>
        <v>20C</v>
      </c>
      <c r="E1011" s="10">
        <f>IF(ISBLANK(A1010),"",E1010+1)</f>
        <v>2</v>
      </c>
      <c r="F1011" s="11">
        <f t="shared" ref="F1011:F1015" si="1180">F1010</f>
        <v>45913.54306</v>
      </c>
      <c r="G1011" s="8">
        <v>0.162</v>
      </c>
    </row>
    <row r="1012">
      <c r="A1012" s="9" t="str">
        <f t="shared" si="1178"/>
        <v>WAHNOD</v>
      </c>
      <c r="B1012" s="9" t="str">
        <f>IF(ISBLANK(A1010),"",LEFT(B1011,27)&amp;VALUE(RIGHT(B1011,1)+1))</f>
        <v>DKR250911WAHNOD_20C_sample_3</v>
      </c>
      <c r="C1012" s="6" t="str">
        <f t="shared" ref="C1012:D1012" si="1179">C1011</f>
        <v>Wahlenbergia nodosa</v>
      </c>
      <c r="D1012" s="6" t="str">
        <f t="shared" si="1179"/>
        <v>20C</v>
      </c>
      <c r="E1012" s="10">
        <f>IF(ISBLANK(A1010),"",E1011+1)</f>
        <v>3</v>
      </c>
      <c r="F1012" s="11">
        <f t="shared" si="1180"/>
        <v>45913.54306</v>
      </c>
      <c r="G1012" s="8">
        <v>0.125</v>
      </c>
    </row>
    <row r="1013">
      <c r="A1013" s="9" t="str">
        <f t="shared" si="1178"/>
        <v>WAHNOD</v>
      </c>
      <c r="B1013" s="9" t="str">
        <f>IF(ISBLANK(A1010),"",LEFT(B1012,27)&amp;VALUE(RIGHT(B1012,1)+1))</f>
        <v>DKR250911WAHNOD_20C_sample_4</v>
      </c>
      <c r="C1013" s="6" t="str">
        <f t="shared" ref="C1013:D1013" si="1181">C1012</f>
        <v>Wahlenbergia nodosa</v>
      </c>
      <c r="D1013" s="6" t="str">
        <f t="shared" si="1181"/>
        <v>20C</v>
      </c>
      <c r="E1013" s="10">
        <f>IF(ISBLANK(A1010),"",E1012+1)</f>
        <v>4</v>
      </c>
      <c r="F1013" s="11">
        <f t="shared" si="1180"/>
        <v>45913.54306</v>
      </c>
      <c r="G1013" s="8">
        <v>0.631</v>
      </c>
    </row>
    <row r="1014">
      <c r="A1014" s="9" t="str">
        <f t="shared" si="1178"/>
        <v>WAHNOD</v>
      </c>
      <c r="B1014" s="9" t="str">
        <f>IF(ISBLANK(A1010),"",LEFT(B1013,27)&amp;VALUE(RIGHT(B1013,1)+1))</f>
        <v>DKR250911WAHNOD_20C_sample_5</v>
      </c>
      <c r="C1014" s="6" t="str">
        <f t="shared" ref="C1014:D1014" si="1182">C1013</f>
        <v>Wahlenbergia nodosa</v>
      </c>
      <c r="D1014" s="6" t="str">
        <f t="shared" si="1182"/>
        <v>20C</v>
      </c>
      <c r="E1014" s="10">
        <f>IF(ISBLANK(A1010),"",E1013+1)</f>
        <v>5</v>
      </c>
      <c r="F1014" s="11">
        <f t="shared" si="1180"/>
        <v>45913.54306</v>
      </c>
      <c r="G1014" s="8">
        <v>0.282</v>
      </c>
    </row>
    <row r="1015">
      <c r="A1015" s="12" t="str">
        <f t="shared" si="1178"/>
        <v>WAHNOD</v>
      </c>
      <c r="B1015" s="12" t="str">
        <f>IF(ISBLANK(A1010),"",LEFT(B1014,27)&amp;VALUE(RIGHT(B1014,1)+1))</f>
        <v>DKR250911WAHNOD_20C_sample_6</v>
      </c>
      <c r="C1015" s="13" t="str">
        <f t="shared" ref="C1015:D1015" si="1183">C1014</f>
        <v>Wahlenbergia nodosa</v>
      </c>
      <c r="D1015" s="13" t="str">
        <f t="shared" si="1183"/>
        <v>20C</v>
      </c>
      <c r="E1015" s="14">
        <f>IF(ISBLANK(A1010),"",E1014+1)</f>
        <v>6</v>
      </c>
      <c r="F1015" s="15">
        <f t="shared" si="1180"/>
        <v>45913.54306</v>
      </c>
      <c r="G1015" s="16">
        <v>0.365</v>
      </c>
    </row>
    <row r="1016">
      <c r="A1016" s="5" t="s">
        <v>12</v>
      </c>
      <c r="B1016" s="6" t="str">
        <f>IF(ISBLANK(A1016),"",VLOOKUP($A1016,'Data Feed (20C)'!$A$1:$G$14,2,FALSE))</f>
        <v>DKF250911AGACAP_20C_sample_1</v>
      </c>
      <c r="C1016" s="6" t="str">
        <f>IF(ISBLANK(A1016),"",VLOOKUP($A1016,'Data Feed (20C)'!$A$1:$G$14,3,FALSE))</f>
        <v>Agathosma capensis</v>
      </c>
      <c r="D1016" s="6" t="str">
        <f>IF(ISBLANK(A1016),"",VLOOKUP($A1016,'Data Feed (20C)'!$A$1:$G$14,4,FALSE))</f>
        <v>20C</v>
      </c>
      <c r="E1016" s="6">
        <f>IF(ISBLANK(A1016),"",VLOOKUP($A1016,'Data Feed (20C)'!$A$1:$G$14,7,FALSE))</f>
        <v>1</v>
      </c>
      <c r="F1016" s="7">
        <v>45913.67152777778</v>
      </c>
      <c r="G1016" s="8">
        <v>3.923</v>
      </c>
    </row>
    <row r="1017">
      <c r="A1017" s="9" t="str">
        <f t="shared" ref="A1017:A1021" si="1185">A1016</f>
        <v>AGACAP</v>
      </c>
      <c r="B1017" s="9" t="str">
        <f>IF(ISBLANK(A1016),"",LEFT(B1016,27)&amp;VALUE(RIGHT(B1016,1)+1))</f>
        <v>DKF250911AGACAP_20C_sample_2</v>
      </c>
      <c r="C1017" s="6" t="str">
        <f t="shared" ref="C1017:D1017" si="1184">C1016</f>
        <v>Agathosma capensis</v>
      </c>
      <c r="D1017" s="6" t="str">
        <f t="shared" si="1184"/>
        <v>20C</v>
      </c>
      <c r="E1017" s="10">
        <f>IF(ISBLANK(A1016),"",E1016+1)</f>
        <v>2</v>
      </c>
      <c r="F1017" s="11">
        <f t="shared" ref="F1017:F1021" si="1187">F1016</f>
        <v>45913.67153</v>
      </c>
      <c r="G1017" s="8">
        <v>1.425</v>
      </c>
    </row>
    <row r="1018">
      <c r="A1018" s="9" t="str">
        <f t="shared" si="1185"/>
        <v>AGACAP</v>
      </c>
      <c r="B1018" s="9" t="str">
        <f>IF(ISBLANK(A1016),"",LEFT(B1017,27)&amp;VALUE(RIGHT(B1017,1)+1))</f>
        <v>DKF250911AGACAP_20C_sample_3</v>
      </c>
      <c r="C1018" s="6" t="str">
        <f t="shared" ref="C1018:D1018" si="1186">C1017</f>
        <v>Agathosma capensis</v>
      </c>
      <c r="D1018" s="6" t="str">
        <f t="shared" si="1186"/>
        <v>20C</v>
      </c>
      <c r="E1018" s="10">
        <f>IF(ISBLANK(A1016),"",E1017+1)</f>
        <v>3</v>
      </c>
      <c r="F1018" s="11">
        <f t="shared" si="1187"/>
        <v>45913.67153</v>
      </c>
      <c r="G1018" s="8">
        <v>1.768</v>
      </c>
    </row>
    <row r="1019">
      <c r="A1019" s="9" t="str">
        <f t="shared" si="1185"/>
        <v>AGACAP</v>
      </c>
      <c r="B1019" s="9" t="str">
        <f>IF(ISBLANK(A1016),"",LEFT(B1018,27)&amp;VALUE(RIGHT(B1018,1)+1))</f>
        <v>DKF250911AGACAP_20C_sample_4</v>
      </c>
      <c r="C1019" s="6" t="str">
        <f t="shared" ref="C1019:D1019" si="1188">C1018</f>
        <v>Agathosma capensis</v>
      </c>
      <c r="D1019" s="6" t="str">
        <f t="shared" si="1188"/>
        <v>20C</v>
      </c>
      <c r="E1019" s="10">
        <f>IF(ISBLANK(A1016),"",E1018+1)</f>
        <v>4</v>
      </c>
      <c r="F1019" s="11">
        <f t="shared" si="1187"/>
        <v>45913.67153</v>
      </c>
      <c r="G1019" s="8">
        <v>1.289</v>
      </c>
    </row>
    <row r="1020">
      <c r="A1020" s="9" t="str">
        <f t="shared" si="1185"/>
        <v>AGACAP</v>
      </c>
      <c r="B1020" s="9" t="str">
        <f>IF(ISBLANK(A1016),"",LEFT(B1019,27)&amp;VALUE(RIGHT(B1019,1)+1))</f>
        <v>DKF250911AGACAP_20C_sample_5</v>
      </c>
      <c r="C1020" s="6" t="str">
        <f t="shared" ref="C1020:D1020" si="1189">C1019</f>
        <v>Agathosma capensis</v>
      </c>
      <c r="D1020" s="6" t="str">
        <f t="shared" si="1189"/>
        <v>20C</v>
      </c>
      <c r="E1020" s="10">
        <f>IF(ISBLANK(A1016),"",E1019+1)</f>
        <v>5</v>
      </c>
      <c r="F1020" s="11">
        <f t="shared" si="1187"/>
        <v>45913.67153</v>
      </c>
      <c r="G1020" s="8">
        <v>0.477</v>
      </c>
    </row>
    <row r="1021">
      <c r="A1021" s="12" t="str">
        <f t="shared" si="1185"/>
        <v>AGACAP</v>
      </c>
      <c r="B1021" s="12" t="str">
        <f>IF(ISBLANK(A1016),"",LEFT(B1020,27)&amp;VALUE(RIGHT(B1020,1)+1))</f>
        <v>DKF250911AGACAP_20C_sample_6</v>
      </c>
      <c r="C1021" s="13" t="str">
        <f t="shared" ref="C1021:D1021" si="1190">C1020</f>
        <v>Agathosma capensis</v>
      </c>
      <c r="D1021" s="13" t="str">
        <f t="shared" si="1190"/>
        <v>20C</v>
      </c>
      <c r="E1021" s="14">
        <f>IF(ISBLANK(A1016),"",E1020+1)</f>
        <v>6</v>
      </c>
      <c r="F1021" s="15">
        <f t="shared" si="1187"/>
        <v>45913.67153</v>
      </c>
      <c r="G1021" s="16">
        <v>1.404</v>
      </c>
    </row>
    <row r="1022">
      <c r="A1022" s="5" t="s">
        <v>14</v>
      </c>
      <c r="B1022" s="6" t="str">
        <f>IF(ISBLANK(A1022),"",VLOOKUP($A1022,'Data Feed (20C)'!$A$1:$G$14,2,FALSE))</f>
        <v>DKF250911ASPSHA_20C_sample_1</v>
      </c>
      <c r="C1022" s="6" t="str">
        <f>IF(ISBLANK(A1022),"",VLOOKUP($A1022,'Data Feed (20C)'!$A$1:$G$14,3,FALSE))</f>
        <v>Aspalathus shawii</v>
      </c>
      <c r="D1022" s="6" t="str">
        <f>IF(ISBLANK(A1022),"",VLOOKUP($A1022,'Data Feed (20C)'!$A$1:$G$14,4,FALSE))</f>
        <v>20C</v>
      </c>
      <c r="E1022" s="6">
        <f>IF(ISBLANK(A1022),"",VLOOKUP($A1022,'Data Feed (20C)'!$A$1:$G$14,7,FALSE))</f>
        <v>1</v>
      </c>
      <c r="F1022" s="7">
        <v>45913.67291666667</v>
      </c>
      <c r="G1022" s="8">
        <v>12.9</v>
      </c>
    </row>
    <row r="1023">
      <c r="A1023" s="9" t="str">
        <f t="shared" ref="A1023:A1027" si="1192">A1022</f>
        <v>ASPSHA</v>
      </c>
      <c r="B1023" s="9" t="str">
        <f>IF(ISBLANK(A1022),"",LEFT(B1022,27)&amp;VALUE(RIGHT(B1022,1)+1))</f>
        <v>DKF250911ASPSHA_20C_sample_2</v>
      </c>
      <c r="C1023" s="6" t="str">
        <f t="shared" ref="C1023:D1023" si="1191">C1022</f>
        <v>Aspalathus shawii</v>
      </c>
      <c r="D1023" s="6" t="str">
        <f t="shared" si="1191"/>
        <v>20C</v>
      </c>
      <c r="E1023" s="10">
        <f>IF(ISBLANK(A1022),"",E1022+1)</f>
        <v>2</v>
      </c>
      <c r="F1023" s="11">
        <f t="shared" ref="F1023:F1027" si="1194">F1022</f>
        <v>45913.67292</v>
      </c>
      <c r="G1023" s="8">
        <v>8.836</v>
      </c>
    </row>
    <row r="1024">
      <c r="A1024" s="9" t="str">
        <f t="shared" si="1192"/>
        <v>ASPSHA</v>
      </c>
      <c r="B1024" s="9" t="str">
        <f>IF(ISBLANK(A1022),"",LEFT(B1023,27)&amp;VALUE(RIGHT(B1023,1)+1))</f>
        <v>DKF250911ASPSHA_20C_sample_3</v>
      </c>
      <c r="C1024" s="6" t="str">
        <f t="shared" ref="C1024:D1024" si="1193">C1023</f>
        <v>Aspalathus shawii</v>
      </c>
      <c r="D1024" s="6" t="str">
        <f t="shared" si="1193"/>
        <v>20C</v>
      </c>
      <c r="E1024" s="10">
        <f>IF(ISBLANK(A1022),"",E1023+1)</f>
        <v>3</v>
      </c>
      <c r="F1024" s="11">
        <f t="shared" si="1194"/>
        <v>45913.67292</v>
      </c>
      <c r="G1024" s="8">
        <v>5.043</v>
      </c>
    </row>
    <row r="1025">
      <c r="A1025" s="9" t="str">
        <f t="shared" si="1192"/>
        <v>ASPSHA</v>
      </c>
      <c r="B1025" s="9" t="str">
        <f>IF(ISBLANK(A1022),"",LEFT(B1024,27)&amp;VALUE(RIGHT(B1024,1)+1))</f>
        <v>DKF250911ASPSHA_20C_sample_4</v>
      </c>
      <c r="C1025" s="6" t="str">
        <f t="shared" ref="C1025:D1025" si="1195">C1024</f>
        <v>Aspalathus shawii</v>
      </c>
      <c r="D1025" s="6" t="str">
        <f t="shared" si="1195"/>
        <v>20C</v>
      </c>
      <c r="E1025" s="10">
        <f>IF(ISBLANK(A1022),"",E1024+1)</f>
        <v>4</v>
      </c>
      <c r="F1025" s="11">
        <f t="shared" si="1194"/>
        <v>45913.67292</v>
      </c>
      <c r="G1025" s="8">
        <v>12.3</v>
      </c>
    </row>
    <row r="1026">
      <c r="A1026" s="9" t="str">
        <f t="shared" si="1192"/>
        <v>ASPSHA</v>
      </c>
      <c r="B1026" s="9" t="str">
        <f>IF(ISBLANK(A1022),"",LEFT(B1025,27)&amp;VALUE(RIGHT(B1025,1)+1))</f>
        <v>DKF250911ASPSHA_20C_sample_5</v>
      </c>
      <c r="C1026" s="6" t="str">
        <f t="shared" ref="C1026:D1026" si="1196">C1025</f>
        <v>Aspalathus shawii</v>
      </c>
      <c r="D1026" s="6" t="str">
        <f t="shared" si="1196"/>
        <v>20C</v>
      </c>
      <c r="E1026" s="10">
        <f>IF(ISBLANK(A1022),"",E1025+1)</f>
        <v>5</v>
      </c>
      <c r="F1026" s="11">
        <f t="shared" si="1194"/>
        <v>45913.67292</v>
      </c>
      <c r="G1026" s="8">
        <v>3.553</v>
      </c>
    </row>
    <row r="1027">
      <c r="A1027" s="12" t="str">
        <f t="shared" si="1192"/>
        <v>ASPSHA</v>
      </c>
      <c r="B1027" s="12" t="str">
        <f>IF(ISBLANK(A1022),"",LEFT(B1026,27)&amp;VALUE(RIGHT(B1026,1)+1))</f>
        <v>DKF250911ASPSHA_20C_sample_6</v>
      </c>
      <c r="C1027" s="13" t="str">
        <f t="shared" ref="C1027:D1027" si="1197">C1026</f>
        <v>Aspalathus shawii</v>
      </c>
      <c r="D1027" s="13" t="str">
        <f t="shared" si="1197"/>
        <v>20C</v>
      </c>
      <c r="E1027" s="14">
        <f>IF(ISBLANK(A1022),"",E1026+1)</f>
        <v>6</v>
      </c>
      <c r="F1027" s="15">
        <f t="shared" si="1194"/>
        <v>45913.67292</v>
      </c>
      <c r="G1027" s="16">
        <v>10.446</v>
      </c>
    </row>
    <row r="1028">
      <c r="A1028" s="5" t="s">
        <v>19</v>
      </c>
      <c r="B1028" s="6" t="str">
        <f>IF(ISBLANK(A1028),"",VLOOKUP($A1028,'Data Feed (20C)'!$A$1:$G$14,2,FALSE))</f>
        <v>DKR250911CLURUB_20C_sample_1</v>
      </c>
      <c r="C1028" s="6" t="str">
        <f>IF(ISBLANK(A1028),"",VLOOKUP($A1028,'Data Feed (20C)'!$A$1:$G$14,3,FALSE))</f>
        <v>Clutia rubricaulis</v>
      </c>
      <c r="D1028" s="6" t="str">
        <f>IF(ISBLANK(A1028),"",VLOOKUP($A1028,'Data Feed (20C)'!$A$1:$G$14,4,FALSE))</f>
        <v>20C</v>
      </c>
      <c r="E1028" s="6">
        <f>IF(ISBLANK(A1028),"",VLOOKUP($A1028,'Data Feed (20C)'!$A$1:$G$14,7,FALSE))</f>
        <v>1</v>
      </c>
      <c r="F1028" s="7">
        <v>45913.674305555556</v>
      </c>
      <c r="G1028" s="8">
        <v>0.353</v>
      </c>
    </row>
    <row r="1029">
      <c r="A1029" s="9" t="str">
        <f t="shared" ref="A1029:A1033" si="1199">A1028</f>
        <v>CLURUB</v>
      </c>
      <c r="B1029" s="9" t="str">
        <f>IF(ISBLANK(A1028),"",LEFT(B1028,27)&amp;VALUE(RIGHT(B1028,1)+1))</f>
        <v>DKR250911CLURUB_20C_sample_2</v>
      </c>
      <c r="C1029" s="6" t="str">
        <f t="shared" ref="C1029:D1029" si="1198">C1028</f>
        <v>Clutia rubricaulis</v>
      </c>
      <c r="D1029" s="6" t="str">
        <f t="shared" si="1198"/>
        <v>20C</v>
      </c>
      <c r="E1029" s="10">
        <f>IF(ISBLANK(A1028),"",E1028+1)</f>
        <v>2</v>
      </c>
      <c r="F1029" s="11">
        <f t="shared" ref="F1029:F1033" si="1201">F1028</f>
        <v>45913.67431</v>
      </c>
      <c r="G1029" s="8">
        <v>0.271</v>
      </c>
    </row>
    <row r="1030">
      <c r="A1030" s="9" t="str">
        <f t="shared" si="1199"/>
        <v>CLURUB</v>
      </c>
      <c r="B1030" s="9" t="str">
        <f>IF(ISBLANK(A1028),"",LEFT(B1029,27)&amp;VALUE(RIGHT(B1029,1)+1))</f>
        <v>DKR250911CLURUB_20C_sample_3</v>
      </c>
      <c r="C1030" s="6" t="str">
        <f t="shared" ref="C1030:D1030" si="1200">C1029</f>
        <v>Clutia rubricaulis</v>
      </c>
      <c r="D1030" s="6" t="str">
        <f t="shared" si="1200"/>
        <v>20C</v>
      </c>
      <c r="E1030" s="10">
        <f>IF(ISBLANK(A1028),"",E1029+1)</f>
        <v>3</v>
      </c>
      <c r="F1030" s="11">
        <f t="shared" si="1201"/>
        <v>45913.67431</v>
      </c>
      <c r="G1030" s="8">
        <v>0.358</v>
      </c>
    </row>
    <row r="1031">
      <c r="A1031" s="9" t="str">
        <f t="shared" si="1199"/>
        <v>CLURUB</v>
      </c>
      <c r="B1031" s="9" t="str">
        <f>IF(ISBLANK(A1028),"",LEFT(B1030,27)&amp;VALUE(RIGHT(B1030,1)+1))</f>
        <v>DKR250911CLURUB_20C_sample_4</v>
      </c>
      <c r="C1031" s="6" t="str">
        <f t="shared" ref="C1031:D1031" si="1202">C1030</f>
        <v>Clutia rubricaulis</v>
      </c>
      <c r="D1031" s="6" t="str">
        <f t="shared" si="1202"/>
        <v>20C</v>
      </c>
      <c r="E1031" s="10">
        <f>IF(ISBLANK(A1028),"",E1030+1)</f>
        <v>4</v>
      </c>
      <c r="F1031" s="11">
        <f t="shared" si="1201"/>
        <v>45913.67431</v>
      </c>
      <c r="G1031" s="8">
        <v>0.186</v>
      </c>
    </row>
    <row r="1032">
      <c r="A1032" s="9" t="str">
        <f t="shared" si="1199"/>
        <v>CLURUB</v>
      </c>
      <c r="B1032" s="9" t="str">
        <f>IF(ISBLANK(A1028),"",LEFT(B1031,27)&amp;VALUE(RIGHT(B1031,1)+1))</f>
        <v>DKR250911CLURUB_20C_sample_5</v>
      </c>
      <c r="C1032" s="6" t="str">
        <f t="shared" ref="C1032:D1032" si="1203">C1031</f>
        <v>Clutia rubricaulis</v>
      </c>
      <c r="D1032" s="6" t="str">
        <f t="shared" si="1203"/>
        <v>20C</v>
      </c>
      <c r="E1032" s="10">
        <f>IF(ISBLANK(A1028),"",E1031+1)</f>
        <v>5</v>
      </c>
      <c r="F1032" s="11">
        <f t="shared" si="1201"/>
        <v>45913.67431</v>
      </c>
      <c r="G1032" s="8">
        <v>0.353</v>
      </c>
    </row>
    <row r="1033">
      <c r="A1033" s="12" t="str">
        <f t="shared" si="1199"/>
        <v>CLURUB</v>
      </c>
      <c r="B1033" s="12" t="str">
        <f>IF(ISBLANK(A1028),"",LEFT(B1032,27)&amp;VALUE(RIGHT(B1032,1)+1))</f>
        <v>DKR250911CLURUB_20C_sample_6</v>
      </c>
      <c r="C1033" s="13" t="str">
        <f t="shared" ref="C1033:D1033" si="1204">C1032</f>
        <v>Clutia rubricaulis</v>
      </c>
      <c r="D1033" s="13" t="str">
        <f t="shared" si="1204"/>
        <v>20C</v>
      </c>
      <c r="E1033" s="14">
        <f>IF(ISBLANK(A1028),"",E1032+1)</f>
        <v>6</v>
      </c>
      <c r="F1033" s="15">
        <f t="shared" si="1201"/>
        <v>45913.67431</v>
      </c>
      <c r="G1033" s="16">
        <v>0.288</v>
      </c>
    </row>
    <row r="1034">
      <c r="A1034" s="5" t="s">
        <v>15</v>
      </c>
      <c r="B1034" s="6" t="str">
        <f>IF(ISBLANK(A1034),"",VLOOKUP($A1034,'Data Feed (20C)'!$A$1:$G$14,2,FALSE))</f>
        <v>DKR250911ELYRHI_20C_sample_1</v>
      </c>
      <c r="C1034" s="6" t="str">
        <f>IF(ISBLANK(A1034),"",VLOOKUP($A1034,'Data Feed (20C)'!$A$1:$G$14,3,FALSE))</f>
        <v>Elytropappus rhinocerotis</v>
      </c>
      <c r="D1034" s="6" t="str">
        <f>IF(ISBLANK(A1034),"",VLOOKUP($A1034,'Data Feed (20C)'!$A$1:$G$14,4,FALSE))</f>
        <v>20C</v>
      </c>
      <c r="E1034" s="6">
        <f>IF(ISBLANK(A1034),"",VLOOKUP($A1034,'Data Feed (20C)'!$A$1:$G$14,7,FALSE))</f>
        <v>1</v>
      </c>
      <c r="F1034" s="7">
        <v>45913.67638888889</v>
      </c>
      <c r="G1034" s="8">
        <v>3.03</v>
      </c>
    </row>
    <row r="1035">
      <c r="A1035" s="9" t="str">
        <f t="shared" ref="A1035:A1039" si="1206">A1034</f>
        <v>ELYRHI</v>
      </c>
      <c r="B1035" s="9" t="str">
        <f>IF(ISBLANK(A1034),"",LEFT(B1034,27)&amp;VALUE(RIGHT(B1034,1)+1))</f>
        <v>DKR250911ELYRHI_20C_sample_2</v>
      </c>
      <c r="C1035" s="6" t="str">
        <f t="shared" ref="C1035:D1035" si="1205">C1034</f>
        <v>Elytropappus rhinocerotis</v>
      </c>
      <c r="D1035" s="6" t="str">
        <f t="shared" si="1205"/>
        <v>20C</v>
      </c>
      <c r="E1035" s="10">
        <f>IF(ISBLANK(A1034),"",E1034+1)</f>
        <v>2</v>
      </c>
      <c r="F1035" s="11">
        <f t="shared" ref="F1035:F1039" si="1208">F1034</f>
        <v>45913.67639</v>
      </c>
      <c r="G1035" s="8">
        <v>3.259</v>
      </c>
    </row>
    <row r="1036">
      <c r="A1036" s="9" t="str">
        <f t="shared" si="1206"/>
        <v>ELYRHI</v>
      </c>
      <c r="B1036" s="9" t="str">
        <f>IF(ISBLANK(A1034),"",LEFT(B1035,27)&amp;VALUE(RIGHT(B1035,1)+1))</f>
        <v>DKR250911ELYRHI_20C_sample_3</v>
      </c>
      <c r="C1036" s="6" t="str">
        <f t="shared" ref="C1036:D1036" si="1207">C1035</f>
        <v>Elytropappus rhinocerotis</v>
      </c>
      <c r="D1036" s="6" t="str">
        <f t="shared" si="1207"/>
        <v>20C</v>
      </c>
      <c r="E1036" s="10">
        <f>IF(ISBLANK(A1034),"",E1035+1)</f>
        <v>3</v>
      </c>
      <c r="F1036" s="11">
        <f t="shared" si="1208"/>
        <v>45913.67639</v>
      </c>
      <c r="G1036" s="8">
        <v>5.682</v>
      </c>
    </row>
    <row r="1037">
      <c r="A1037" s="9" t="str">
        <f t="shared" si="1206"/>
        <v>ELYRHI</v>
      </c>
      <c r="B1037" s="9" t="str">
        <f>IF(ISBLANK(A1034),"",LEFT(B1036,27)&amp;VALUE(RIGHT(B1036,1)+1))</f>
        <v>DKR250911ELYRHI_20C_sample_4</v>
      </c>
      <c r="C1037" s="6" t="str">
        <f t="shared" ref="C1037:D1037" si="1209">C1036</f>
        <v>Elytropappus rhinocerotis</v>
      </c>
      <c r="D1037" s="6" t="str">
        <f t="shared" si="1209"/>
        <v>20C</v>
      </c>
      <c r="E1037" s="10">
        <f>IF(ISBLANK(A1034),"",E1036+1)</f>
        <v>4</v>
      </c>
      <c r="F1037" s="11">
        <f t="shared" si="1208"/>
        <v>45913.67639</v>
      </c>
      <c r="G1037" s="8">
        <v>3.267</v>
      </c>
    </row>
    <row r="1038">
      <c r="A1038" s="9" t="str">
        <f t="shared" si="1206"/>
        <v>ELYRHI</v>
      </c>
      <c r="B1038" s="9" t="str">
        <f>IF(ISBLANK(A1034),"",LEFT(B1037,27)&amp;VALUE(RIGHT(B1037,1)+1))</f>
        <v>DKR250911ELYRHI_20C_sample_5</v>
      </c>
      <c r="C1038" s="6" t="str">
        <f t="shared" ref="C1038:D1038" si="1210">C1037</f>
        <v>Elytropappus rhinocerotis</v>
      </c>
      <c r="D1038" s="6" t="str">
        <f t="shared" si="1210"/>
        <v>20C</v>
      </c>
      <c r="E1038" s="10">
        <f>IF(ISBLANK(A1034),"",E1037+1)</f>
        <v>5</v>
      </c>
      <c r="F1038" s="11">
        <f t="shared" si="1208"/>
        <v>45913.67639</v>
      </c>
      <c r="G1038" s="8">
        <v>2.141</v>
      </c>
    </row>
    <row r="1039">
      <c r="A1039" s="12" t="str">
        <f t="shared" si="1206"/>
        <v>ELYRHI</v>
      </c>
      <c r="B1039" s="12" t="str">
        <f>IF(ISBLANK(A1034),"",LEFT(B1038,27)&amp;VALUE(RIGHT(B1038,1)+1))</f>
        <v>DKR250911ELYRHI_20C_sample_6</v>
      </c>
      <c r="C1039" s="13" t="str">
        <f t="shared" ref="C1039:D1039" si="1211">C1038</f>
        <v>Elytropappus rhinocerotis</v>
      </c>
      <c r="D1039" s="13" t="str">
        <f t="shared" si="1211"/>
        <v>20C</v>
      </c>
      <c r="E1039" s="14">
        <f>IF(ISBLANK(A1034),"",E1038+1)</f>
        <v>6</v>
      </c>
      <c r="F1039" s="15">
        <f t="shared" si="1208"/>
        <v>45913.67639</v>
      </c>
      <c r="G1039" s="16">
        <v>1.747</v>
      </c>
    </row>
    <row r="1040">
      <c r="A1040" s="5" t="s">
        <v>10</v>
      </c>
      <c r="B1040" s="6" t="str">
        <f>IF(ISBLANK(A1040),"",VLOOKUP($A1040,'Data Feed (20C)'!$A$1:$G$14,2,FALSE))</f>
        <v>DKF250911LOBDEC_20C_sample_1</v>
      </c>
      <c r="C1040" s="6" t="str">
        <f>IF(ISBLANK(A1040),"",VLOOKUP($A1040,'Data Feed (20C)'!$A$1:$G$14,3,FALSE))</f>
        <v>Lobostemon decorus</v>
      </c>
      <c r="D1040" s="6" t="str">
        <f>IF(ISBLANK(A1040),"",VLOOKUP($A1040,'Data Feed (20C)'!$A$1:$G$14,4,FALSE))</f>
        <v>20C</v>
      </c>
      <c r="E1040" s="6">
        <f>IF(ISBLANK(A1040),"",VLOOKUP($A1040,'Data Feed (20C)'!$A$1:$G$14,7,FALSE))</f>
        <v>1</v>
      </c>
      <c r="F1040" s="7">
        <v>45913.677777777775</v>
      </c>
      <c r="G1040" s="8">
        <v>5.78</v>
      </c>
    </row>
    <row r="1041">
      <c r="A1041" s="9" t="str">
        <f t="shared" ref="A1041:A1045" si="1213">A1040</f>
        <v>LOBDEC</v>
      </c>
      <c r="B1041" s="9" t="str">
        <f>IF(ISBLANK(A1040),"",LEFT(B1040,27)&amp;VALUE(RIGHT(B1040,1)+1))</f>
        <v>DKF250911LOBDEC_20C_sample_2</v>
      </c>
      <c r="C1041" s="6" t="str">
        <f t="shared" ref="C1041:D1041" si="1212">C1040</f>
        <v>Lobostemon decorus</v>
      </c>
      <c r="D1041" s="6" t="str">
        <f t="shared" si="1212"/>
        <v>20C</v>
      </c>
      <c r="E1041" s="10">
        <f>IF(ISBLANK(A1040),"",E1040+1)</f>
        <v>2</v>
      </c>
      <c r="F1041" s="11">
        <f t="shared" ref="F1041:F1045" si="1215">F1040</f>
        <v>45913.67778</v>
      </c>
      <c r="G1041" s="8">
        <v>4.89</v>
      </c>
    </row>
    <row r="1042">
      <c r="A1042" s="9" t="str">
        <f t="shared" si="1213"/>
        <v>LOBDEC</v>
      </c>
      <c r="B1042" s="9" t="str">
        <f>IF(ISBLANK(A1040),"",LEFT(B1041,27)&amp;VALUE(RIGHT(B1041,1)+1))</f>
        <v>DKF250911LOBDEC_20C_sample_3</v>
      </c>
      <c r="C1042" s="6" t="str">
        <f t="shared" ref="C1042:D1042" si="1214">C1041</f>
        <v>Lobostemon decorus</v>
      </c>
      <c r="D1042" s="6" t="str">
        <f t="shared" si="1214"/>
        <v>20C</v>
      </c>
      <c r="E1042" s="10">
        <f>IF(ISBLANK(A1040),"",E1041+1)</f>
        <v>3</v>
      </c>
      <c r="F1042" s="11">
        <f t="shared" si="1215"/>
        <v>45913.67778</v>
      </c>
      <c r="G1042" s="8">
        <v>7.613</v>
      </c>
    </row>
    <row r="1043">
      <c r="A1043" s="9" t="str">
        <f t="shared" si="1213"/>
        <v>LOBDEC</v>
      </c>
      <c r="B1043" s="9" t="str">
        <f>IF(ISBLANK(A1040),"",LEFT(B1042,27)&amp;VALUE(RIGHT(B1042,1)+1))</f>
        <v>DKF250911LOBDEC_20C_sample_4</v>
      </c>
      <c r="C1043" s="6" t="str">
        <f t="shared" ref="C1043:D1043" si="1216">C1042</f>
        <v>Lobostemon decorus</v>
      </c>
      <c r="D1043" s="6" t="str">
        <f t="shared" si="1216"/>
        <v>20C</v>
      </c>
      <c r="E1043" s="10">
        <f>IF(ISBLANK(A1040),"",E1042+1)</f>
        <v>4</v>
      </c>
      <c r="F1043" s="11">
        <f t="shared" si="1215"/>
        <v>45913.67778</v>
      </c>
      <c r="G1043" s="8">
        <v>4.986</v>
      </c>
    </row>
    <row r="1044">
      <c r="A1044" s="9" t="str">
        <f t="shared" si="1213"/>
        <v>LOBDEC</v>
      </c>
      <c r="B1044" s="9" t="str">
        <f>IF(ISBLANK(A1040),"",LEFT(B1043,27)&amp;VALUE(RIGHT(B1043,1)+1))</f>
        <v>DKF250911LOBDEC_20C_sample_5</v>
      </c>
      <c r="C1044" s="6" t="str">
        <f t="shared" ref="C1044:D1044" si="1217">C1043</f>
        <v>Lobostemon decorus</v>
      </c>
      <c r="D1044" s="6" t="str">
        <f t="shared" si="1217"/>
        <v>20C</v>
      </c>
      <c r="E1044" s="10">
        <f>IF(ISBLANK(A1040),"",E1043+1)</f>
        <v>5</v>
      </c>
      <c r="F1044" s="11">
        <f t="shared" si="1215"/>
        <v>45913.67778</v>
      </c>
      <c r="G1044" s="8">
        <v>3.651</v>
      </c>
    </row>
    <row r="1045">
      <c r="A1045" s="12" t="str">
        <f t="shared" si="1213"/>
        <v>LOBDEC</v>
      </c>
      <c r="B1045" s="12" t="str">
        <f>IF(ISBLANK(A1040),"",LEFT(B1044,27)&amp;VALUE(RIGHT(B1044,1)+1))</f>
        <v>DKF250911LOBDEC_20C_sample_6</v>
      </c>
      <c r="C1045" s="13" t="str">
        <f t="shared" ref="C1045:D1045" si="1218">C1044</f>
        <v>Lobostemon decorus</v>
      </c>
      <c r="D1045" s="13" t="str">
        <f t="shared" si="1218"/>
        <v>20C</v>
      </c>
      <c r="E1045" s="14">
        <f>IF(ISBLANK(A1040),"",E1044+1)</f>
        <v>6</v>
      </c>
      <c r="F1045" s="15">
        <f t="shared" si="1215"/>
        <v>45913.67778</v>
      </c>
      <c r="G1045" s="16">
        <v>3.234</v>
      </c>
    </row>
    <row r="1046">
      <c r="A1046" s="5" t="s">
        <v>16</v>
      </c>
      <c r="B1046" s="6" t="str">
        <f>IF(ISBLANK(A1046),"",VLOOKUP($A1046,'Data Feed (20C)'!$A$1:$G$14,2,FALSE))</f>
        <v>DKR250911MICPOL_20C_sample_1</v>
      </c>
      <c r="C1046" s="6" t="str">
        <f>IF(ISBLANK(A1046),"",VLOOKUP($A1046,'Data Feed (20C)'!$A$1:$G$14,3,FALSE))</f>
        <v>Microdon polygaloides</v>
      </c>
      <c r="D1046" s="6" t="str">
        <f>IF(ISBLANK(A1046),"",VLOOKUP($A1046,'Data Feed (20C)'!$A$1:$G$14,4,FALSE))</f>
        <v>20C</v>
      </c>
      <c r="E1046" s="6">
        <f>IF(ISBLANK(A1046),"",VLOOKUP($A1046,'Data Feed (20C)'!$A$1:$G$14,7,FALSE))</f>
        <v>1</v>
      </c>
      <c r="F1046" s="7">
        <v>45913.67916666667</v>
      </c>
      <c r="G1046" s="8">
        <v>1.305</v>
      </c>
    </row>
    <row r="1047">
      <c r="A1047" s="9" t="str">
        <f t="shared" ref="A1047:A1051" si="1220">A1046</f>
        <v>MICPOL</v>
      </c>
      <c r="B1047" s="9" t="str">
        <f>IF(ISBLANK(A1046),"",LEFT(B1046,27)&amp;VALUE(RIGHT(B1046,1)+1))</f>
        <v>DKR250911MICPOL_20C_sample_2</v>
      </c>
      <c r="C1047" s="6" t="str">
        <f t="shared" ref="C1047:D1047" si="1219">C1046</f>
        <v>Microdon polygaloides</v>
      </c>
      <c r="D1047" s="6" t="str">
        <f t="shared" si="1219"/>
        <v>20C</v>
      </c>
      <c r="E1047" s="10">
        <f>IF(ISBLANK(A1046),"",E1046+1)</f>
        <v>2</v>
      </c>
      <c r="F1047" s="11">
        <f t="shared" ref="F1047:F1051" si="1222">F1046</f>
        <v>45913.67917</v>
      </c>
      <c r="G1047" s="8">
        <v>0.796</v>
      </c>
    </row>
    <row r="1048">
      <c r="A1048" s="9" t="str">
        <f t="shared" si="1220"/>
        <v>MICPOL</v>
      </c>
      <c r="B1048" s="9" t="str">
        <f>IF(ISBLANK(A1046),"",LEFT(B1047,27)&amp;VALUE(RIGHT(B1047,1)+1))</f>
        <v>DKR250911MICPOL_20C_sample_3</v>
      </c>
      <c r="C1048" s="6" t="str">
        <f t="shared" ref="C1048:D1048" si="1221">C1047</f>
        <v>Microdon polygaloides</v>
      </c>
      <c r="D1048" s="6" t="str">
        <f t="shared" si="1221"/>
        <v>20C</v>
      </c>
      <c r="E1048" s="10">
        <f>IF(ISBLANK(A1046),"",E1047+1)</f>
        <v>3</v>
      </c>
      <c r="F1048" s="11">
        <f t="shared" si="1222"/>
        <v>45913.67917</v>
      </c>
      <c r="G1048" s="8">
        <v>0.329</v>
      </c>
    </row>
    <row r="1049">
      <c r="A1049" s="9" t="str">
        <f t="shared" si="1220"/>
        <v>MICPOL</v>
      </c>
      <c r="B1049" s="9" t="str">
        <f>IF(ISBLANK(A1046),"",LEFT(B1048,27)&amp;VALUE(RIGHT(B1048,1)+1))</f>
        <v>DKR250911MICPOL_20C_sample_4</v>
      </c>
      <c r="C1049" s="6" t="str">
        <f t="shared" ref="C1049:D1049" si="1223">C1048</f>
        <v>Microdon polygaloides</v>
      </c>
      <c r="D1049" s="6" t="str">
        <f t="shared" si="1223"/>
        <v>20C</v>
      </c>
      <c r="E1049" s="10">
        <f>IF(ISBLANK(A1046),"",E1048+1)</f>
        <v>4</v>
      </c>
      <c r="F1049" s="11">
        <f t="shared" si="1222"/>
        <v>45913.67917</v>
      </c>
      <c r="G1049" s="8">
        <v>0.151</v>
      </c>
    </row>
    <row r="1050">
      <c r="A1050" s="9" t="str">
        <f t="shared" si="1220"/>
        <v>MICPOL</v>
      </c>
      <c r="B1050" s="9" t="str">
        <f>IF(ISBLANK(A1046),"",LEFT(B1049,27)&amp;VALUE(RIGHT(B1049,1)+1))</f>
        <v>DKR250911MICPOL_20C_sample_5</v>
      </c>
      <c r="C1050" s="6" t="str">
        <f t="shared" ref="C1050:D1050" si="1224">C1049</f>
        <v>Microdon polygaloides</v>
      </c>
      <c r="D1050" s="6" t="str">
        <f t="shared" si="1224"/>
        <v>20C</v>
      </c>
      <c r="E1050" s="10">
        <f>IF(ISBLANK(A1046),"",E1049+1)</f>
        <v>5</v>
      </c>
      <c r="F1050" s="11">
        <f t="shared" si="1222"/>
        <v>45913.67917</v>
      </c>
      <c r="G1050" s="8">
        <v>0.259</v>
      </c>
    </row>
    <row r="1051">
      <c r="A1051" s="12" t="str">
        <f t="shared" si="1220"/>
        <v>MICPOL</v>
      </c>
      <c r="B1051" s="12" t="str">
        <f>IF(ISBLANK(A1046),"",LEFT(B1050,27)&amp;VALUE(RIGHT(B1050,1)+1))</f>
        <v>DKR250911MICPOL_20C_sample_6</v>
      </c>
      <c r="C1051" s="13" t="str">
        <f t="shared" ref="C1051:D1051" si="1225">C1050</f>
        <v>Microdon polygaloides</v>
      </c>
      <c r="D1051" s="13" t="str">
        <f t="shared" si="1225"/>
        <v>20C</v>
      </c>
      <c r="E1051" s="14">
        <f>IF(ISBLANK(A1046),"",E1050+1)</f>
        <v>6</v>
      </c>
      <c r="F1051" s="15">
        <f t="shared" si="1222"/>
        <v>45913.67917</v>
      </c>
      <c r="G1051" s="16">
        <v>0.202</v>
      </c>
    </row>
    <row r="1052">
      <c r="A1052" s="5" t="s">
        <v>17</v>
      </c>
      <c r="B1052" s="6" t="str">
        <f>IF(ISBLANK(A1052),"",VLOOKUP($A1052,'Data Feed (20C)'!$A$1:$G$14,2,FALSE))</f>
        <v>DKR250911OEDSQU_20C_sample_1</v>
      </c>
      <c r="C1052" s="6" t="str">
        <f>IF(ISBLANK(A1052),"",VLOOKUP($A1052,'Data Feed (20C)'!$A$1:$G$14,3,FALSE))</f>
        <v>Oedera squarrosa</v>
      </c>
      <c r="D1052" s="6" t="str">
        <f>IF(ISBLANK(A1052),"",VLOOKUP($A1052,'Data Feed (20C)'!$A$1:$G$14,4,FALSE))</f>
        <v>20C</v>
      </c>
      <c r="E1052" s="6">
        <f>IF(ISBLANK(A1052),"",VLOOKUP($A1052,'Data Feed (20C)'!$A$1:$G$14,7,FALSE))</f>
        <v>1</v>
      </c>
      <c r="F1052" s="7">
        <v>45913.68125</v>
      </c>
      <c r="G1052" s="8">
        <v>1.039</v>
      </c>
    </row>
    <row r="1053">
      <c r="A1053" s="9" t="str">
        <f t="shared" ref="A1053:A1057" si="1227">A1052</f>
        <v>OEDSQU</v>
      </c>
      <c r="B1053" s="9" t="str">
        <f>IF(ISBLANK(A1052),"",LEFT(B1052,27)&amp;VALUE(RIGHT(B1052,1)+1))</f>
        <v>DKR250911OEDSQU_20C_sample_2</v>
      </c>
      <c r="C1053" s="6" t="str">
        <f t="shared" ref="C1053:D1053" si="1226">C1052</f>
        <v>Oedera squarrosa</v>
      </c>
      <c r="D1053" s="6" t="str">
        <f t="shared" si="1226"/>
        <v>20C</v>
      </c>
      <c r="E1053" s="10">
        <f>IF(ISBLANK(A1052),"",E1052+1)</f>
        <v>2</v>
      </c>
      <c r="F1053" s="11">
        <f t="shared" ref="F1053:F1057" si="1229">F1052</f>
        <v>45913.68125</v>
      </c>
      <c r="G1053" s="8">
        <v>0.854</v>
      </c>
    </row>
    <row r="1054">
      <c r="A1054" s="9" t="str">
        <f t="shared" si="1227"/>
        <v>OEDSQU</v>
      </c>
      <c r="B1054" s="9" t="str">
        <f>IF(ISBLANK(A1052),"",LEFT(B1053,27)&amp;VALUE(RIGHT(B1053,1)+1))</f>
        <v>DKR250911OEDSQU_20C_sample_3</v>
      </c>
      <c r="C1054" s="6" t="str">
        <f t="shared" ref="C1054:D1054" si="1228">C1053</f>
        <v>Oedera squarrosa</v>
      </c>
      <c r="D1054" s="6" t="str">
        <f t="shared" si="1228"/>
        <v>20C</v>
      </c>
      <c r="E1054" s="10">
        <f>IF(ISBLANK(A1052),"",E1053+1)</f>
        <v>3</v>
      </c>
      <c r="F1054" s="11">
        <f t="shared" si="1229"/>
        <v>45913.68125</v>
      </c>
      <c r="G1054" s="8">
        <v>1.279</v>
      </c>
    </row>
    <row r="1055">
      <c r="A1055" s="9" t="str">
        <f t="shared" si="1227"/>
        <v>OEDSQU</v>
      </c>
      <c r="B1055" s="9" t="str">
        <f>IF(ISBLANK(A1052),"",LEFT(B1054,27)&amp;VALUE(RIGHT(B1054,1)+1))</f>
        <v>DKR250911OEDSQU_20C_sample_4</v>
      </c>
      <c r="C1055" s="6" t="str">
        <f t="shared" ref="C1055:D1055" si="1230">C1054</f>
        <v>Oedera squarrosa</v>
      </c>
      <c r="D1055" s="6" t="str">
        <f t="shared" si="1230"/>
        <v>20C</v>
      </c>
      <c r="E1055" s="10">
        <f>IF(ISBLANK(A1052),"",E1054+1)</f>
        <v>4</v>
      </c>
      <c r="F1055" s="11">
        <f t="shared" si="1229"/>
        <v>45913.68125</v>
      </c>
      <c r="G1055" s="8">
        <v>1.177</v>
      </c>
    </row>
    <row r="1056">
      <c r="A1056" s="9" t="str">
        <f t="shared" si="1227"/>
        <v>OEDSQU</v>
      </c>
      <c r="B1056" s="9" t="str">
        <f>IF(ISBLANK(A1052),"",LEFT(B1055,27)&amp;VALUE(RIGHT(B1055,1)+1))</f>
        <v>DKR250911OEDSQU_20C_sample_5</v>
      </c>
      <c r="C1056" s="6" t="str">
        <f t="shared" ref="C1056:D1056" si="1231">C1055</f>
        <v>Oedera squarrosa</v>
      </c>
      <c r="D1056" s="6" t="str">
        <f t="shared" si="1231"/>
        <v>20C</v>
      </c>
      <c r="E1056" s="10">
        <f>IF(ISBLANK(A1052),"",E1055+1)</f>
        <v>5</v>
      </c>
      <c r="F1056" s="11">
        <f t="shared" si="1229"/>
        <v>45913.68125</v>
      </c>
      <c r="G1056" s="8">
        <v>0.55</v>
      </c>
    </row>
    <row r="1057">
      <c r="A1057" s="12" t="str">
        <f t="shared" si="1227"/>
        <v>OEDSQU</v>
      </c>
      <c r="B1057" s="12" t="str">
        <f>IF(ISBLANK(A1052),"",LEFT(B1056,27)&amp;VALUE(RIGHT(B1056,1)+1))</f>
        <v>DKR250911OEDSQU_20C_sample_6</v>
      </c>
      <c r="C1057" s="13" t="str">
        <f t="shared" ref="C1057:D1057" si="1232">C1056</f>
        <v>Oedera squarrosa</v>
      </c>
      <c r="D1057" s="13" t="str">
        <f t="shared" si="1232"/>
        <v>20C</v>
      </c>
      <c r="E1057" s="14">
        <f>IF(ISBLANK(A1052),"",E1056+1)</f>
        <v>6</v>
      </c>
      <c r="F1057" s="15">
        <f t="shared" si="1229"/>
        <v>45913.68125</v>
      </c>
      <c r="G1057" s="16">
        <v>0.224</v>
      </c>
    </row>
    <row r="1058">
      <c r="A1058" s="5" t="s">
        <v>7</v>
      </c>
      <c r="B1058" s="6" t="str">
        <f>IF(ISBLANK(A1058),"",VLOOKUP($A1058,'Data Feed (20C)'!$A$1:$G$14,2,FALSE))</f>
        <v>DKR250911PASOBT_20C_sample_1</v>
      </c>
      <c r="C1058" s="6" t="str">
        <f>IF(ISBLANK(A1058),"",VLOOKUP($A1058,'Data Feed (20C)'!$A$1:$G$14,3,FALSE))</f>
        <v>Passerina obtusifolia</v>
      </c>
      <c r="D1058" s="6" t="str">
        <f>IF(ISBLANK(A1058),"",VLOOKUP($A1058,'Data Feed (20C)'!$A$1:$G$14,4,FALSE))</f>
        <v>20C</v>
      </c>
      <c r="E1058" s="6">
        <f>IF(ISBLANK(A1058),"",VLOOKUP($A1058,'Data Feed (20C)'!$A$1:$G$14,7,FALSE))</f>
        <v>1</v>
      </c>
      <c r="F1058" s="7">
        <v>45913.68263888889</v>
      </c>
      <c r="G1058" s="8">
        <v>2.781</v>
      </c>
    </row>
    <row r="1059">
      <c r="A1059" s="9" t="str">
        <f t="shared" ref="A1059:A1063" si="1234">A1058</f>
        <v>PASOBT</v>
      </c>
      <c r="B1059" s="9" t="str">
        <f>IF(ISBLANK(A1058),"",LEFT(B1058,27)&amp;VALUE(RIGHT(B1058,1)+1))</f>
        <v>DKR250911PASOBT_20C_sample_2</v>
      </c>
      <c r="C1059" s="6" t="str">
        <f t="shared" ref="C1059:D1059" si="1233">C1058</f>
        <v>Passerina obtusifolia</v>
      </c>
      <c r="D1059" s="6" t="str">
        <f t="shared" si="1233"/>
        <v>20C</v>
      </c>
      <c r="E1059" s="10">
        <f>IF(ISBLANK(A1058),"",E1058+1)</f>
        <v>2</v>
      </c>
      <c r="F1059" s="11">
        <f t="shared" ref="F1059:F1063" si="1236">F1058</f>
        <v>45913.68264</v>
      </c>
      <c r="G1059" s="8">
        <v>3.675</v>
      </c>
    </row>
    <row r="1060">
      <c r="A1060" s="9" t="str">
        <f t="shared" si="1234"/>
        <v>PASOBT</v>
      </c>
      <c r="B1060" s="9" t="str">
        <f>IF(ISBLANK(A1058),"",LEFT(B1059,27)&amp;VALUE(RIGHT(B1059,1)+1))</f>
        <v>DKR250911PASOBT_20C_sample_3</v>
      </c>
      <c r="C1060" s="6" t="str">
        <f t="shared" ref="C1060:D1060" si="1235">C1059</f>
        <v>Passerina obtusifolia</v>
      </c>
      <c r="D1060" s="6" t="str">
        <f t="shared" si="1235"/>
        <v>20C</v>
      </c>
      <c r="E1060" s="10">
        <f>IF(ISBLANK(A1058),"",E1059+1)</f>
        <v>3</v>
      </c>
      <c r="F1060" s="11">
        <f t="shared" si="1236"/>
        <v>45913.68264</v>
      </c>
      <c r="G1060" s="8">
        <v>1.283</v>
      </c>
    </row>
    <row r="1061">
      <c r="A1061" s="9" t="str">
        <f t="shared" si="1234"/>
        <v>PASOBT</v>
      </c>
      <c r="B1061" s="9" t="str">
        <f>IF(ISBLANK(A1058),"",LEFT(B1060,27)&amp;VALUE(RIGHT(B1060,1)+1))</f>
        <v>DKR250911PASOBT_20C_sample_4</v>
      </c>
      <c r="C1061" s="6" t="str">
        <f t="shared" ref="C1061:D1061" si="1237">C1060</f>
        <v>Passerina obtusifolia</v>
      </c>
      <c r="D1061" s="6" t="str">
        <f t="shared" si="1237"/>
        <v>20C</v>
      </c>
      <c r="E1061" s="10">
        <f>IF(ISBLANK(A1058),"",E1060+1)</f>
        <v>4</v>
      </c>
      <c r="F1061" s="11">
        <f t="shared" si="1236"/>
        <v>45913.68264</v>
      </c>
      <c r="G1061" s="8">
        <v>1.741</v>
      </c>
    </row>
    <row r="1062">
      <c r="A1062" s="9" t="str">
        <f t="shared" si="1234"/>
        <v>PASOBT</v>
      </c>
      <c r="B1062" s="9" t="str">
        <f>IF(ISBLANK(A1058),"",LEFT(B1061,27)&amp;VALUE(RIGHT(B1061,1)+1))</f>
        <v>DKR250911PASOBT_20C_sample_5</v>
      </c>
      <c r="C1062" s="6" t="str">
        <f t="shared" ref="C1062:D1062" si="1238">C1061</f>
        <v>Passerina obtusifolia</v>
      </c>
      <c r="D1062" s="6" t="str">
        <f t="shared" si="1238"/>
        <v>20C</v>
      </c>
      <c r="E1062" s="10">
        <f>IF(ISBLANK(A1058),"",E1061+1)</f>
        <v>5</v>
      </c>
      <c r="F1062" s="11">
        <f t="shared" si="1236"/>
        <v>45913.68264</v>
      </c>
      <c r="G1062" s="8">
        <v>1.48</v>
      </c>
    </row>
    <row r="1063">
      <c r="A1063" s="12" t="str">
        <f t="shared" si="1234"/>
        <v>PASOBT</v>
      </c>
      <c r="B1063" s="12" t="str">
        <f>IF(ISBLANK(A1058),"",LEFT(B1062,27)&amp;VALUE(RIGHT(B1062,1)+1))</f>
        <v>DKR250911PASOBT_20C_sample_6</v>
      </c>
      <c r="C1063" s="13" t="str">
        <f t="shared" ref="C1063:D1063" si="1239">C1062</f>
        <v>Passerina obtusifolia</v>
      </c>
      <c r="D1063" s="13" t="str">
        <f t="shared" si="1239"/>
        <v>20C</v>
      </c>
      <c r="E1063" s="14">
        <f>IF(ISBLANK(A1058),"",E1062+1)</f>
        <v>6</v>
      </c>
      <c r="F1063" s="15">
        <f t="shared" si="1236"/>
        <v>45913.68264</v>
      </c>
      <c r="G1063" s="16">
        <v>2.425</v>
      </c>
    </row>
    <row r="1064">
      <c r="A1064" s="5" t="s">
        <v>9</v>
      </c>
      <c r="B1064" s="6" t="str">
        <f>IF(ISBLANK(A1064),"",VLOOKUP($A1064,'Data Feed (20C)'!$A$1:$G$14,2,FALSE))</f>
        <v>DKR250911PROLAU_20C_sample_1</v>
      </c>
      <c r="C1064" s="6" t="str">
        <f>IF(ISBLANK(A1064),"",VLOOKUP($A1064,'Data Feed (20C)'!$A$1:$G$14,3,FALSE))</f>
        <v>Protea laurifolia</v>
      </c>
      <c r="D1064" s="6" t="str">
        <f>IF(ISBLANK(A1064),"",VLOOKUP($A1064,'Data Feed (20C)'!$A$1:$G$14,4,FALSE))</f>
        <v>20C</v>
      </c>
      <c r="E1064" s="6">
        <f>IF(ISBLANK(A1064),"",VLOOKUP($A1064,'Data Feed (20C)'!$A$1:$G$14,7,FALSE))</f>
        <v>1</v>
      </c>
      <c r="F1064" s="7">
        <v>45913.68472222222</v>
      </c>
      <c r="G1064" s="8">
        <v>0.993</v>
      </c>
    </row>
    <row r="1065">
      <c r="A1065" s="9" t="str">
        <f t="shared" ref="A1065:A1069" si="1241">A1064</f>
        <v>PROLAU</v>
      </c>
      <c r="B1065" s="9" t="str">
        <f>IF(ISBLANK(A1064),"",LEFT(B1064,27)&amp;VALUE(RIGHT(B1064,1)+1))</f>
        <v>DKR250911PROLAU_20C_sample_2</v>
      </c>
      <c r="C1065" s="6" t="str">
        <f t="shared" ref="C1065:D1065" si="1240">C1064</f>
        <v>Protea laurifolia</v>
      </c>
      <c r="D1065" s="6" t="str">
        <f t="shared" si="1240"/>
        <v>20C</v>
      </c>
      <c r="E1065" s="10">
        <f>IF(ISBLANK(A1064),"",E1064+1)</f>
        <v>2</v>
      </c>
      <c r="F1065" s="11">
        <f t="shared" ref="F1065:F1069" si="1243">F1064</f>
        <v>45913.68472</v>
      </c>
      <c r="G1065" s="8">
        <v>1.127</v>
      </c>
    </row>
    <row r="1066">
      <c r="A1066" s="9" t="str">
        <f t="shared" si="1241"/>
        <v>PROLAU</v>
      </c>
      <c r="B1066" s="9" t="str">
        <f>IF(ISBLANK(A1064),"",LEFT(B1065,27)&amp;VALUE(RIGHT(B1065,1)+1))</f>
        <v>DKR250911PROLAU_20C_sample_3</v>
      </c>
      <c r="C1066" s="6" t="str">
        <f t="shared" ref="C1066:D1066" si="1242">C1065</f>
        <v>Protea laurifolia</v>
      </c>
      <c r="D1066" s="6" t="str">
        <f t="shared" si="1242"/>
        <v>20C</v>
      </c>
      <c r="E1066" s="10">
        <f>IF(ISBLANK(A1064),"",E1065+1)</f>
        <v>3</v>
      </c>
      <c r="F1066" s="11">
        <f t="shared" si="1243"/>
        <v>45913.68472</v>
      </c>
      <c r="G1066" s="8">
        <v>1.105</v>
      </c>
    </row>
    <row r="1067">
      <c r="A1067" s="9" t="str">
        <f t="shared" si="1241"/>
        <v>PROLAU</v>
      </c>
      <c r="B1067" s="9" t="str">
        <f>IF(ISBLANK(A1064),"",LEFT(B1066,27)&amp;VALUE(RIGHT(B1066,1)+1))</f>
        <v>DKR250911PROLAU_20C_sample_4</v>
      </c>
      <c r="C1067" s="6" t="str">
        <f t="shared" ref="C1067:D1067" si="1244">C1066</f>
        <v>Protea laurifolia</v>
      </c>
      <c r="D1067" s="6" t="str">
        <f t="shared" si="1244"/>
        <v>20C</v>
      </c>
      <c r="E1067" s="10">
        <f>IF(ISBLANK(A1064),"",E1066+1)</f>
        <v>4</v>
      </c>
      <c r="F1067" s="11">
        <f t="shared" si="1243"/>
        <v>45913.68472</v>
      </c>
      <c r="G1067" s="8">
        <v>0.531</v>
      </c>
    </row>
    <row r="1068">
      <c r="A1068" s="9" t="str">
        <f t="shared" si="1241"/>
        <v>PROLAU</v>
      </c>
      <c r="B1068" s="9" t="str">
        <f>IF(ISBLANK(A1064),"",LEFT(B1067,27)&amp;VALUE(RIGHT(B1067,1)+1))</f>
        <v>DKR250911PROLAU_20C_sample_5</v>
      </c>
      <c r="C1068" s="6" t="str">
        <f t="shared" ref="C1068:D1068" si="1245">C1067</f>
        <v>Protea laurifolia</v>
      </c>
      <c r="D1068" s="6" t="str">
        <f t="shared" si="1245"/>
        <v>20C</v>
      </c>
      <c r="E1068" s="10">
        <f>IF(ISBLANK(A1064),"",E1067+1)</f>
        <v>5</v>
      </c>
      <c r="F1068" s="11">
        <f t="shared" si="1243"/>
        <v>45913.68472</v>
      </c>
      <c r="G1068" s="8">
        <v>0.932</v>
      </c>
    </row>
    <row r="1069">
      <c r="A1069" s="12" t="str">
        <f t="shared" si="1241"/>
        <v>PROLAU</v>
      </c>
      <c r="B1069" s="12" t="str">
        <f>IF(ISBLANK(A1064),"",LEFT(B1068,27)&amp;VALUE(RIGHT(B1068,1)+1))</f>
        <v>DKR250911PROLAU_20C_sample_6</v>
      </c>
      <c r="C1069" s="13" t="str">
        <f t="shared" ref="C1069:D1069" si="1246">C1068</f>
        <v>Protea laurifolia</v>
      </c>
      <c r="D1069" s="13" t="str">
        <f t="shared" si="1246"/>
        <v>20C</v>
      </c>
      <c r="E1069" s="14">
        <f>IF(ISBLANK(A1064),"",E1068+1)</f>
        <v>6</v>
      </c>
      <c r="F1069" s="15">
        <f t="shared" si="1243"/>
        <v>45913.68472</v>
      </c>
      <c r="G1069" s="16">
        <v>0.927</v>
      </c>
    </row>
    <row r="1070">
      <c r="A1070" s="5" t="s">
        <v>8</v>
      </c>
      <c r="B1070" s="6" t="str">
        <f>IF(ISBLANK(A1070),"",VLOOKUP($A1070,'Data Feed (20C)'!$A$1:$G$14,2,FALSE))</f>
        <v>DKF250911PROLOR_20C_sample_1</v>
      </c>
      <c r="C1070" s="6" t="str">
        <f>IF(ISBLANK(A1070),"",VLOOKUP($A1070,'Data Feed (20C)'!$A$1:$G$14,3,FALSE))</f>
        <v>Protea lorifolia</v>
      </c>
      <c r="D1070" s="6" t="str">
        <f>IF(ISBLANK(A1070),"",VLOOKUP($A1070,'Data Feed (20C)'!$A$1:$G$14,4,FALSE))</f>
        <v>20C</v>
      </c>
      <c r="E1070" s="6">
        <f>IF(ISBLANK(A1070),"",VLOOKUP($A1070,'Data Feed (20C)'!$A$1:$G$14,7,FALSE))</f>
        <v>1</v>
      </c>
      <c r="F1070" s="7">
        <v>45913.686111111114</v>
      </c>
      <c r="G1070" s="8">
        <v>3.174</v>
      </c>
    </row>
    <row r="1071">
      <c r="A1071" s="9" t="str">
        <f t="shared" ref="A1071:A1075" si="1248">A1070</f>
        <v>PROLOR</v>
      </c>
      <c r="B1071" s="9" t="str">
        <f>IF(ISBLANK(A1070),"",LEFT(B1070,27)&amp;VALUE(RIGHT(B1070,1)+1))</f>
        <v>DKF250911PROLOR_20C_sample_2</v>
      </c>
      <c r="C1071" s="6" t="str">
        <f t="shared" ref="C1071:D1071" si="1247">C1070</f>
        <v>Protea lorifolia</v>
      </c>
      <c r="D1071" s="6" t="str">
        <f t="shared" si="1247"/>
        <v>20C</v>
      </c>
      <c r="E1071" s="10">
        <f>IF(ISBLANK(A1070),"",E1070+1)</f>
        <v>2</v>
      </c>
      <c r="F1071" s="11">
        <f t="shared" ref="F1071:F1075" si="1250">F1070</f>
        <v>45913.68611</v>
      </c>
      <c r="G1071" s="8">
        <v>3.419</v>
      </c>
    </row>
    <row r="1072">
      <c r="A1072" s="9" t="str">
        <f t="shared" si="1248"/>
        <v>PROLOR</v>
      </c>
      <c r="B1072" s="9" t="str">
        <f>IF(ISBLANK(A1070),"",LEFT(B1071,27)&amp;VALUE(RIGHT(B1071,1)+1))</f>
        <v>DKF250911PROLOR_20C_sample_3</v>
      </c>
      <c r="C1072" s="6" t="str">
        <f t="shared" ref="C1072:D1072" si="1249">C1071</f>
        <v>Protea lorifolia</v>
      </c>
      <c r="D1072" s="6" t="str">
        <f t="shared" si="1249"/>
        <v>20C</v>
      </c>
      <c r="E1072" s="10">
        <f>IF(ISBLANK(A1070),"",E1071+1)</f>
        <v>3</v>
      </c>
      <c r="F1072" s="11">
        <f t="shared" si="1250"/>
        <v>45913.68611</v>
      </c>
      <c r="G1072" s="8">
        <v>3.661</v>
      </c>
    </row>
    <row r="1073">
      <c r="A1073" s="9" t="str">
        <f t="shared" si="1248"/>
        <v>PROLOR</v>
      </c>
      <c r="B1073" s="9" t="str">
        <f>IF(ISBLANK(A1070),"",LEFT(B1072,27)&amp;VALUE(RIGHT(B1072,1)+1))</f>
        <v>DKF250911PROLOR_20C_sample_4</v>
      </c>
      <c r="C1073" s="6" t="str">
        <f t="shared" ref="C1073:D1073" si="1251">C1072</f>
        <v>Protea lorifolia</v>
      </c>
      <c r="D1073" s="6" t="str">
        <f t="shared" si="1251"/>
        <v>20C</v>
      </c>
      <c r="E1073" s="10">
        <f>IF(ISBLANK(A1070),"",E1072+1)</f>
        <v>4</v>
      </c>
      <c r="F1073" s="11">
        <f t="shared" si="1250"/>
        <v>45913.68611</v>
      </c>
      <c r="G1073" s="8">
        <v>2.92</v>
      </c>
    </row>
    <row r="1074">
      <c r="A1074" s="9" t="str">
        <f t="shared" si="1248"/>
        <v>PROLOR</v>
      </c>
      <c r="B1074" s="9" t="str">
        <f>IF(ISBLANK(A1070),"",LEFT(B1073,27)&amp;VALUE(RIGHT(B1073,1)+1))</f>
        <v>DKF250911PROLOR_20C_sample_5</v>
      </c>
      <c r="C1074" s="6" t="str">
        <f t="shared" ref="C1074:D1074" si="1252">C1073</f>
        <v>Protea lorifolia</v>
      </c>
      <c r="D1074" s="6" t="str">
        <f t="shared" si="1252"/>
        <v>20C</v>
      </c>
      <c r="E1074" s="10">
        <f>IF(ISBLANK(A1070),"",E1073+1)</f>
        <v>5</v>
      </c>
      <c r="F1074" s="11">
        <f t="shared" si="1250"/>
        <v>45913.68611</v>
      </c>
      <c r="G1074" s="8">
        <v>5.691</v>
      </c>
    </row>
    <row r="1075">
      <c r="A1075" s="12" t="str">
        <f t="shared" si="1248"/>
        <v>PROLOR</v>
      </c>
      <c r="B1075" s="12" t="str">
        <f>IF(ISBLANK(A1070),"",LEFT(B1074,27)&amp;VALUE(RIGHT(B1074,1)+1))</f>
        <v>DKF250911PROLOR_20C_sample_6</v>
      </c>
      <c r="C1075" s="13" t="str">
        <f t="shared" ref="C1075:D1075" si="1253">C1074</f>
        <v>Protea lorifolia</v>
      </c>
      <c r="D1075" s="13" t="str">
        <f t="shared" si="1253"/>
        <v>20C</v>
      </c>
      <c r="E1075" s="14">
        <f>IF(ISBLANK(A1070),"",E1074+1)</f>
        <v>6</v>
      </c>
      <c r="F1075" s="15">
        <f t="shared" si="1250"/>
        <v>45913.68611</v>
      </c>
      <c r="G1075" s="16">
        <v>4.513</v>
      </c>
    </row>
    <row r="1076">
      <c r="A1076" s="5" t="s">
        <v>13</v>
      </c>
      <c r="B1076" s="6" t="str">
        <f>IF(ISBLANK(A1076),"",VLOOKUP($A1076,'Data Feed (20C)'!$A$1:$G$14,2,FALSE))</f>
        <v>DKR250911RUSMUL_20C_sample_1</v>
      </c>
      <c r="C1076" s="6" t="str">
        <f>IF(ISBLANK(A1076),"",VLOOKUP($A1076,'Data Feed (20C)'!$A$1:$G$14,3,FALSE))</f>
        <v>Ruschia multiflora</v>
      </c>
      <c r="D1076" s="6" t="str">
        <f>IF(ISBLANK(A1076),"",VLOOKUP($A1076,'Data Feed (20C)'!$A$1:$G$14,4,FALSE))</f>
        <v>20C</v>
      </c>
      <c r="E1076" s="6">
        <f>IF(ISBLANK(A1076),"",VLOOKUP($A1076,'Data Feed (20C)'!$A$1:$G$14,7,FALSE))</f>
        <v>1</v>
      </c>
      <c r="F1076" s="7">
        <v>45913.68819444445</v>
      </c>
      <c r="G1076" s="8">
        <v>3.165</v>
      </c>
    </row>
    <row r="1077">
      <c r="A1077" s="9" t="str">
        <f t="shared" ref="A1077:A1081" si="1255">A1076</f>
        <v>RUSMUL</v>
      </c>
      <c r="B1077" s="9" t="str">
        <f>IF(ISBLANK(A1076),"",LEFT(B1076,27)&amp;VALUE(RIGHT(B1076,1)+1))</f>
        <v>DKR250911RUSMUL_20C_sample_2</v>
      </c>
      <c r="C1077" s="6" t="str">
        <f t="shared" ref="C1077:D1077" si="1254">C1076</f>
        <v>Ruschia multiflora</v>
      </c>
      <c r="D1077" s="6" t="str">
        <f t="shared" si="1254"/>
        <v>20C</v>
      </c>
      <c r="E1077" s="10">
        <f>IF(ISBLANK(A1076),"",E1076+1)</f>
        <v>2</v>
      </c>
      <c r="F1077" s="11">
        <f t="shared" ref="F1077:F1081" si="1257">F1076</f>
        <v>45913.68819</v>
      </c>
      <c r="G1077" s="8">
        <v>3.929</v>
      </c>
    </row>
    <row r="1078">
      <c r="A1078" s="9" t="str">
        <f t="shared" si="1255"/>
        <v>RUSMUL</v>
      </c>
      <c r="B1078" s="9" t="str">
        <f>IF(ISBLANK(A1076),"",LEFT(B1077,27)&amp;VALUE(RIGHT(B1077,1)+1))</f>
        <v>DKR250911RUSMUL_20C_sample_3</v>
      </c>
      <c r="C1078" s="6" t="str">
        <f t="shared" ref="C1078:D1078" si="1256">C1077</f>
        <v>Ruschia multiflora</v>
      </c>
      <c r="D1078" s="6" t="str">
        <f t="shared" si="1256"/>
        <v>20C</v>
      </c>
      <c r="E1078" s="10">
        <f>IF(ISBLANK(A1076),"",E1077+1)</f>
        <v>3</v>
      </c>
      <c r="F1078" s="11">
        <f t="shared" si="1257"/>
        <v>45913.68819</v>
      </c>
      <c r="G1078" s="8">
        <v>7.829</v>
      </c>
    </row>
    <row r="1079">
      <c r="A1079" s="9" t="str">
        <f t="shared" si="1255"/>
        <v>RUSMUL</v>
      </c>
      <c r="B1079" s="9" t="str">
        <f>IF(ISBLANK(A1076),"",LEFT(B1078,27)&amp;VALUE(RIGHT(B1078,1)+1))</f>
        <v>DKR250911RUSMUL_20C_sample_4</v>
      </c>
      <c r="C1079" s="6" t="str">
        <f t="shared" ref="C1079:D1079" si="1258">C1078</f>
        <v>Ruschia multiflora</v>
      </c>
      <c r="D1079" s="6" t="str">
        <f t="shared" si="1258"/>
        <v>20C</v>
      </c>
      <c r="E1079" s="10">
        <f>IF(ISBLANK(A1076),"",E1078+1)</f>
        <v>4</v>
      </c>
      <c r="F1079" s="11">
        <f t="shared" si="1257"/>
        <v>45913.68819</v>
      </c>
      <c r="G1079" s="8">
        <v>4.191</v>
      </c>
    </row>
    <row r="1080">
      <c r="A1080" s="9" t="str">
        <f t="shared" si="1255"/>
        <v>RUSMUL</v>
      </c>
      <c r="B1080" s="9" t="str">
        <f>IF(ISBLANK(A1076),"",LEFT(B1079,27)&amp;VALUE(RIGHT(B1079,1)+1))</f>
        <v>DKR250911RUSMUL_20C_sample_5</v>
      </c>
      <c r="C1080" s="6" t="str">
        <f t="shared" ref="C1080:D1080" si="1259">C1079</f>
        <v>Ruschia multiflora</v>
      </c>
      <c r="D1080" s="6" t="str">
        <f t="shared" si="1259"/>
        <v>20C</v>
      </c>
      <c r="E1080" s="10">
        <f>IF(ISBLANK(A1076),"",E1079+1)</f>
        <v>5</v>
      </c>
      <c r="F1080" s="11">
        <f t="shared" si="1257"/>
        <v>45913.68819</v>
      </c>
      <c r="G1080" s="8">
        <v>3.547</v>
      </c>
    </row>
    <row r="1081">
      <c r="A1081" s="12" t="str">
        <f t="shared" si="1255"/>
        <v>RUSMUL</v>
      </c>
      <c r="B1081" s="12" t="str">
        <f>IF(ISBLANK(A1076),"",LEFT(B1080,27)&amp;VALUE(RIGHT(B1080,1)+1))</f>
        <v>DKR250911RUSMUL_20C_sample_6</v>
      </c>
      <c r="C1081" s="13" t="str">
        <f t="shared" ref="C1081:D1081" si="1260">C1080</f>
        <v>Ruschia multiflora</v>
      </c>
      <c r="D1081" s="13" t="str">
        <f t="shared" si="1260"/>
        <v>20C</v>
      </c>
      <c r="E1081" s="14">
        <f>IF(ISBLANK(A1076),"",E1080+1)</f>
        <v>6</v>
      </c>
      <c r="F1081" s="15">
        <f t="shared" si="1257"/>
        <v>45913.68819</v>
      </c>
      <c r="G1081" s="16">
        <v>2.991</v>
      </c>
    </row>
    <row r="1082">
      <c r="A1082" s="5" t="s">
        <v>11</v>
      </c>
      <c r="B1082" s="6" t="str">
        <f>IF(ISBLANK(A1082),"",VLOOKUP($A1082,'Data Feed (20C)'!$A$1:$G$14,2,FALSE))</f>
        <v>DKF250911SELDOL_20C_sample_1</v>
      </c>
      <c r="C1082" s="6" t="str">
        <f>IF(ISBLANK(A1082),"",VLOOKUP($A1082,'Data Feed (20C)'!$A$1:$G$14,3,FALSE))</f>
        <v>Selago dolosa</v>
      </c>
      <c r="D1082" s="6" t="str">
        <f>IF(ISBLANK(A1082),"",VLOOKUP($A1082,'Data Feed (20C)'!$A$1:$G$14,4,FALSE))</f>
        <v>20C</v>
      </c>
      <c r="E1082" s="6">
        <f>IF(ISBLANK(A1082),"",VLOOKUP($A1082,'Data Feed (20C)'!$A$1:$G$14,7,FALSE))</f>
        <v>1</v>
      </c>
      <c r="F1082" s="7">
        <v>45913.68958333333</v>
      </c>
      <c r="G1082" s="8">
        <v>1.193</v>
      </c>
    </row>
    <row r="1083">
      <c r="A1083" s="9" t="str">
        <f t="shared" ref="A1083:A1087" si="1262">A1082</f>
        <v>SELDOL</v>
      </c>
      <c r="B1083" s="9" t="str">
        <f>IF(ISBLANK(A1082),"",LEFT(B1082,27)&amp;VALUE(RIGHT(B1082,1)+1))</f>
        <v>DKF250911SELDOL_20C_sample_2</v>
      </c>
      <c r="C1083" s="6" t="str">
        <f t="shared" ref="C1083:D1083" si="1261">C1082</f>
        <v>Selago dolosa</v>
      </c>
      <c r="D1083" s="6" t="str">
        <f t="shared" si="1261"/>
        <v>20C</v>
      </c>
      <c r="E1083" s="10">
        <f>IF(ISBLANK(A1082),"",E1082+1)</f>
        <v>2</v>
      </c>
      <c r="F1083" s="11">
        <f t="shared" ref="F1083:F1087" si="1264">F1082</f>
        <v>45913.68958</v>
      </c>
      <c r="G1083" s="8">
        <v>1.673</v>
      </c>
    </row>
    <row r="1084">
      <c r="A1084" s="9" t="str">
        <f t="shared" si="1262"/>
        <v>SELDOL</v>
      </c>
      <c r="B1084" s="9" t="str">
        <f>IF(ISBLANK(A1082),"",LEFT(B1083,27)&amp;VALUE(RIGHT(B1083,1)+1))</f>
        <v>DKF250911SELDOL_20C_sample_3</v>
      </c>
      <c r="C1084" s="6" t="str">
        <f t="shared" ref="C1084:D1084" si="1263">C1083</f>
        <v>Selago dolosa</v>
      </c>
      <c r="D1084" s="6" t="str">
        <f t="shared" si="1263"/>
        <v>20C</v>
      </c>
      <c r="E1084" s="10">
        <f>IF(ISBLANK(A1082),"",E1083+1)</f>
        <v>3</v>
      </c>
      <c r="F1084" s="11">
        <f t="shared" si="1264"/>
        <v>45913.68958</v>
      </c>
      <c r="G1084" s="8">
        <v>1.528</v>
      </c>
    </row>
    <row r="1085">
      <c r="A1085" s="9" t="str">
        <f t="shared" si="1262"/>
        <v>SELDOL</v>
      </c>
      <c r="B1085" s="9" t="str">
        <f>IF(ISBLANK(A1082),"",LEFT(B1084,27)&amp;VALUE(RIGHT(B1084,1)+1))</f>
        <v>DKF250911SELDOL_20C_sample_4</v>
      </c>
      <c r="C1085" s="6" t="str">
        <f t="shared" ref="C1085:D1085" si="1265">C1084</f>
        <v>Selago dolosa</v>
      </c>
      <c r="D1085" s="6" t="str">
        <f t="shared" si="1265"/>
        <v>20C</v>
      </c>
      <c r="E1085" s="10">
        <f>IF(ISBLANK(A1082),"",E1084+1)</f>
        <v>4</v>
      </c>
      <c r="F1085" s="11">
        <f t="shared" si="1264"/>
        <v>45913.68958</v>
      </c>
      <c r="G1085" s="8">
        <v>1.582</v>
      </c>
    </row>
    <row r="1086">
      <c r="A1086" s="9" t="str">
        <f t="shared" si="1262"/>
        <v>SELDOL</v>
      </c>
      <c r="B1086" s="9" t="str">
        <f>IF(ISBLANK(A1082),"",LEFT(B1085,27)&amp;VALUE(RIGHT(B1085,1)+1))</f>
        <v>DKF250911SELDOL_20C_sample_5</v>
      </c>
      <c r="C1086" s="6" t="str">
        <f t="shared" ref="C1086:D1086" si="1266">C1085</f>
        <v>Selago dolosa</v>
      </c>
      <c r="D1086" s="6" t="str">
        <f t="shared" si="1266"/>
        <v>20C</v>
      </c>
      <c r="E1086" s="10">
        <f>IF(ISBLANK(A1082),"",E1085+1)</f>
        <v>5</v>
      </c>
      <c r="F1086" s="11">
        <f t="shared" si="1264"/>
        <v>45913.68958</v>
      </c>
      <c r="G1086" s="8"/>
    </row>
    <row r="1087">
      <c r="A1087" s="12" t="str">
        <f t="shared" si="1262"/>
        <v>SELDOL</v>
      </c>
      <c r="B1087" s="12" t="str">
        <f>IF(ISBLANK(A1082),"",LEFT(B1086,27)&amp;VALUE(RIGHT(B1086,1)+1))</f>
        <v>DKF250911SELDOL_20C_sample_6</v>
      </c>
      <c r="C1087" s="13" t="str">
        <f t="shared" ref="C1087:D1087" si="1267">C1086</f>
        <v>Selago dolosa</v>
      </c>
      <c r="D1087" s="13" t="str">
        <f t="shared" si="1267"/>
        <v>20C</v>
      </c>
      <c r="E1087" s="14">
        <f>IF(ISBLANK(A1082),"",E1086+1)</f>
        <v>6</v>
      </c>
      <c r="F1087" s="15">
        <f t="shared" si="1264"/>
        <v>45913.68958</v>
      </c>
      <c r="G1087" s="16">
        <v>1.053</v>
      </c>
    </row>
    <row r="1088">
      <c r="A1088" s="5" t="s">
        <v>18</v>
      </c>
      <c r="B1088" s="6" t="str">
        <f>IF(ISBLANK(A1088),"",VLOOKUP($A1088,'Data Feed (20C)'!$A$1:$G$14,2,FALSE))</f>
        <v>DKR250911WAHNOD_20C_sample_1</v>
      </c>
      <c r="C1088" s="6" t="str">
        <f>IF(ISBLANK(A1088),"",VLOOKUP($A1088,'Data Feed (20C)'!$A$1:$G$14,3,FALSE))</f>
        <v>Wahlenbergia nodosa</v>
      </c>
      <c r="D1088" s="6" t="str">
        <f>IF(ISBLANK(A1088),"",VLOOKUP($A1088,'Data Feed (20C)'!$A$1:$G$14,4,FALSE))</f>
        <v>20C</v>
      </c>
      <c r="E1088" s="6">
        <f>IF(ISBLANK(A1088),"",VLOOKUP($A1088,'Data Feed (20C)'!$A$1:$G$14,7,FALSE))</f>
        <v>1</v>
      </c>
      <c r="F1088" s="7">
        <v>45913.69097222222</v>
      </c>
      <c r="G1088" s="8">
        <v>0.271</v>
      </c>
    </row>
    <row r="1089">
      <c r="A1089" s="9" t="str">
        <f t="shared" ref="A1089:A1093" si="1269">A1088</f>
        <v>WAHNOD</v>
      </c>
      <c r="B1089" s="9" t="str">
        <f>IF(ISBLANK(A1088),"",LEFT(B1088,27)&amp;VALUE(RIGHT(B1088,1)+1))</f>
        <v>DKR250911WAHNOD_20C_sample_2</v>
      </c>
      <c r="C1089" s="6" t="str">
        <f t="shared" ref="C1089:D1089" si="1268">C1088</f>
        <v>Wahlenbergia nodosa</v>
      </c>
      <c r="D1089" s="6" t="str">
        <f t="shared" si="1268"/>
        <v>20C</v>
      </c>
      <c r="E1089" s="10">
        <f>IF(ISBLANK(A1088),"",E1088+1)</f>
        <v>2</v>
      </c>
      <c r="F1089" s="11">
        <f t="shared" ref="F1089:F1093" si="1271">F1088</f>
        <v>45913.69097</v>
      </c>
      <c r="G1089" s="8">
        <v>0.159</v>
      </c>
    </row>
    <row r="1090">
      <c r="A1090" s="9" t="str">
        <f t="shared" si="1269"/>
        <v>WAHNOD</v>
      </c>
      <c r="B1090" s="9" t="str">
        <f>IF(ISBLANK(A1088),"",LEFT(B1089,27)&amp;VALUE(RIGHT(B1089,1)+1))</f>
        <v>DKR250911WAHNOD_20C_sample_3</v>
      </c>
      <c r="C1090" s="6" t="str">
        <f t="shared" ref="C1090:D1090" si="1270">C1089</f>
        <v>Wahlenbergia nodosa</v>
      </c>
      <c r="D1090" s="6" t="str">
        <f t="shared" si="1270"/>
        <v>20C</v>
      </c>
      <c r="E1090" s="10">
        <f>IF(ISBLANK(A1088),"",E1089+1)</f>
        <v>3</v>
      </c>
      <c r="F1090" s="11">
        <f t="shared" si="1271"/>
        <v>45913.69097</v>
      </c>
      <c r="G1090" s="8">
        <v>0.123</v>
      </c>
    </row>
    <row r="1091">
      <c r="A1091" s="9" t="str">
        <f t="shared" si="1269"/>
        <v>WAHNOD</v>
      </c>
      <c r="B1091" s="9" t="str">
        <f>IF(ISBLANK(A1088),"",LEFT(B1090,27)&amp;VALUE(RIGHT(B1090,1)+1))</f>
        <v>DKR250911WAHNOD_20C_sample_4</v>
      </c>
      <c r="C1091" s="6" t="str">
        <f t="shared" ref="C1091:D1091" si="1272">C1090</f>
        <v>Wahlenbergia nodosa</v>
      </c>
      <c r="D1091" s="6" t="str">
        <f t="shared" si="1272"/>
        <v>20C</v>
      </c>
      <c r="E1091" s="10">
        <f>IF(ISBLANK(A1088),"",E1090+1)</f>
        <v>4</v>
      </c>
      <c r="F1091" s="11">
        <f t="shared" si="1271"/>
        <v>45913.69097</v>
      </c>
      <c r="G1091" s="8">
        <v>0.623</v>
      </c>
    </row>
    <row r="1092">
      <c r="A1092" s="9" t="str">
        <f t="shared" si="1269"/>
        <v>WAHNOD</v>
      </c>
      <c r="B1092" s="9" t="str">
        <f>IF(ISBLANK(A1088),"",LEFT(B1091,27)&amp;VALUE(RIGHT(B1091,1)+1))</f>
        <v>DKR250911WAHNOD_20C_sample_5</v>
      </c>
      <c r="C1092" s="6" t="str">
        <f t="shared" ref="C1092:D1092" si="1273">C1091</f>
        <v>Wahlenbergia nodosa</v>
      </c>
      <c r="D1092" s="6" t="str">
        <f t="shared" si="1273"/>
        <v>20C</v>
      </c>
      <c r="E1092" s="10">
        <f>IF(ISBLANK(A1088),"",E1091+1)</f>
        <v>5</v>
      </c>
      <c r="F1092" s="11">
        <f t="shared" si="1271"/>
        <v>45913.69097</v>
      </c>
      <c r="G1092" s="8">
        <v>0.263</v>
      </c>
    </row>
    <row r="1093">
      <c r="A1093" s="12" t="str">
        <f t="shared" si="1269"/>
        <v>WAHNOD</v>
      </c>
      <c r="B1093" s="12" t="str">
        <f>IF(ISBLANK(A1088),"",LEFT(B1092,27)&amp;VALUE(RIGHT(B1092,1)+1))</f>
        <v>DKR250911WAHNOD_20C_sample_6</v>
      </c>
      <c r="C1093" s="13" t="str">
        <f t="shared" ref="C1093:D1093" si="1274">C1092</f>
        <v>Wahlenbergia nodosa</v>
      </c>
      <c r="D1093" s="13" t="str">
        <f t="shared" si="1274"/>
        <v>20C</v>
      </c>
      <c r="E1093" s="14">
        <f>IF(ISBLANK(A1088),"",E1092+1)</f>
        <v>6</v>
      </c>
      <c r="F1093" s="15">
        <f t="shared" si="1271"/>
        <v>45913.69097</v>
      </c>
      <c r="G1093" s="16">
        <v>0.352</v>
      </c>
    </row>
    <row r="1094">
      <c r="A1094" s="5" t="s">
        <v>12</v>
      </c>
      <c r="B1094" s="6" t="str">
        <f>IF(ISBLANK(A1094),"",VLOOKUP($A1094,'Data Feed (20C)'!$A$1:$G$14,2,FALSE))</f>
        <v>DKF250911AGACAP_20C_sample_1</v>
      </c>
      <c r="C1094" s="6" t="str">
        <f>IF(ISBLANK(A1094),"",VLOOKUP($A1094,'Data Feed (20C)'!$A$1:$G$14,3,FALSE))</f>
        <v>Agathosma capensis</v>
      </c>
      <c r="D1094" s="6" t="str">
        <f>IF(ISBLANK(A1094),"",VLOOKUP($A1094,'Data Feed (20C)'!$A$1:$G$14,4,FALSE))</f>
        <v>20C</v>
      </c>
      <c r="E1094" s="6">
        <f>IF(ISBLANK(A1094),"",VLOOKUP($A1094,'Data Feed (20C)'!$A$1:$G$14,7,FALSE))</f>
        <v>1</v>
      </c>
      <c r="F1094" s="7">
        <v>45913.80486111111</v>
      </c>
      <c r="G1094" s="8">
        <v>3.865</v>
      </c>
    </row>
    <row r="1095">
      <c r="A1095" s="9" t="str">
        <f t="shared" ref="A1095:A1099" si="1276">A1094</f>
        <v>AGACAP</v>
      </c>
      <c r="B1095" s="9" t="str">
        <f>IF(ISBLANK(A1094),"",LEFT(B1094,27)&amp;VALUE(RIGHT(B1094,1)+1))</f>
        <v>DKF250911AGACAP_20C_sample_2</v>
      </c>
      <c r="C1095" s="6" t="str">
        <f t="shared" ref="C1095:D1095" si="1275">C1094</f>
        <v>Agathosma capensis</v>
      </c>
      <c r="D1095" s="6" t="str">
        <f t="shared" si="1275"/>
        <v>20C</v>
      </c>
      <c r="E1095" s="10">
        <f>IF(ISBLANK(A1094),"",E1094+1)</f>
        <v>2</v>
      </c>
      <c r="F1095" s="11">
        <f t="shared" ref="F1095:F1099" si="1278">F1094</f>
        <v>45913.80486</v>
      </c>
      <c r="G1095" s="8">
        <v>1.385</v>
      </c>
    </row>
    <row r="1096">
      <c r="A1096" s="9" t="str">
        <f t="shared" si="1276"/>
        <v>AGACAP</v>
      </c>
      <c r="B1096" s="9" t="str">
        <f>IF(ISBLANK(A1094),"",LEFT(B1095,27)&amp;VALUE(RIGHT(B1095,1)+1))</f>
        <v>DKF250911AGACAP_20C_sample_3</v>
      </c>
      <c r="C1096" s="6" t="str">
        <f t="shared" ref="C1096:D1096" si="1277">C1095</f>
        <v>Agathosma capensis</v>
      </c>
      <c r="D1096" s="6" t="str">
        <f t="shared" si="1277"/>
        <v>20C</v>
      </c>
      <c r="E1096" s="10">
        <f>IF(ISBLANK(A1094),"",E1095+1)</f>
        <v>3</v>
      </c>
      <c r="F1096" s="11">
        <f t="shared" si="1278"/>
        <v>45913.80486</v>
      </c>
      <c r="G1096" s="8">
        <v>1.738</v>
      </c>
    </row>
    <row r="1097">
      <c r="A1097" s="9" t="str">
        <f t="shared" si="1276"/>
        <v>AGACAP</v>
      </c>
      <c r="B1097" s="9" t="str">
        <f>IF(ISBLANK(A1094),"",LEFT(B1096,27)&amp;VALUE(RIGHT(B1096,1)+1))</f>
        <v>DKF250911AGACAP_20C_sample_4</v>
      </c>
      <c r="C1097" s="6" t="str">
        <f t="shared" ref="C1097:D1097" si="1279">C1096</f>
        <v>Agathosma capensis</v>
      </c>
      <c r="D1097" s="6" t="str">
        <f t="shared" si="1279"/>
        <v>20C</v>
      </c>
      <c r="E1097" s="10">
        <f>IF(ISBLANK(A1094),"",E1096+1)</f>
        <v>4</v>
      </c>
      <c r="F1097" s="11">
        <f t="shared" si="1278"/>
        <v>45913.80486</v>
      </c>
      <c r="G1097" s="8">
        <v>1.281</v>
      </c>
    </row>
    <row r="1098">
      <c r="A1098" s="9" t="str">
        <f t="shared" si="1276"/>
        <v>AGACAP</v>
      </c>
      <c r="B1098" s="9" t="str">
        <f>IF(ISBLANK(A1094),"",LEFT(B1097,27)&amp;VALUE(RIGHT(B1097,1)+1))</f>
        <v>DKF250911AGACAP_20C_sample_5</v>
      </c>
      <c r="C1098" s="6" t="str">
        <f t="shared" ref="C1098:D1098" si="1280">C1097</f>
        <v>Agathosma capensis</v>
      </c>
      <c r="D1098" s="6" t="str">
        <f t="shared" si="1280"/>
        <v>20C</v>
      </c>
      <c r="E1098" s="10">
        <f>IF(ISBLANK(A1094),"",E1097+1)</f>
        <v>5</v>
      </c>
      <c r="F1098" s="11">
        <f t="shared" si="1278"/>
        <v>45913.80486</v>
      </c>
      <c r="G1098" s="8">
        <v>0.471</v>
      </c>
    </row>
    <row r="1099">
      <c r="A1099" s="12" t="str">
        <f t="shared" si="1276"/>
        <v>AGACAP</v>
      </c>
      <c r="B1099" s="12" t="str">
        <f>IF(ISBLANK(A1094),"",LEFT(B1098,27)&amp;VALUE(RIGHT(B1098,1)+1))</f>
        <v>DKF250911AGACAP_20C_sample_6</v>
      </c>
      <c r="C1099" s="13" t="str">
        <f t="shared" ref="C1099:D1099" si="1281">C1098</f>
        <v>Agathosma capensis</v>
      </c>
      <c r="D1099" s="13" t="str">
        <f t="shared" si="1281"/>
        <v>20C</v>
      </c>
      <c r="E1099" s="14">
        <f>IF(ISBLANK(A1094),"",E1098+1)</f>
        <v>6</v>
      </c>
      <c r="F1099" s="15">
        <f t="shared" si="1278"/>
        <v>45913.80486</v>
      </c>
      <c r="G1099" s="16">
        <v>1.383</v>
      </c>
    </row>
    <row r="1100">
      <c r="A1100" s="5" t="s">
        <v>14</v>
      </c>
      <c r="B1100" s="6" t="str">
        <f>IF(ISBLANK(A1100),"",VLOOKUP($A1100,'Data Feed (20C)'!$A$1:$G$14,2,FALSE))</f>
        <v>DKF250911ASPSHA_20C_sample_1</v>
      </c>
      <c r="C1100" s="6" t="str">
        <f>IF(ISBLANK(A1100),"",VLOOKUP($A1100,'Data Feed (20C)'!$A$1:$G$14,3,FALSE))</f>
        <v>Aspalathus shawii</v>
      </c>
      <c r="D1100" s="6" t="str">
        <f>IF(ISBLANK(A1100),"",VLOOKUP($A1100,'Data Feed (20C)'!$A$1:$G$14,4,FALSE))</f>
        <v>20C</v>
      </c>
      <c r="E1100" s="6">
        <f>IF(ISBLANK(A1100),"",VLOOKUP($A1100,'Data Feed (20C)'!$A$1:$G$14,7,FALSE))</f>
        <v>1</v>
      </c>
      <c r="F1100" s="7">
        <v>45913.80763888889</v>
      </c>
      <c r="G1100" s="8">
        <v>12.697</v>
      </c>
    </row>
    <row r="1101">
      <c r="A1101" s="9" t="str">
        <f t="shared" ref="A1101:A1105" si="1283">A1100</f>
        <v>ASPSHA</v>
      </c>
      <c r="B1101" s="9" t="str">
        <f>IF(ISBLANK(A1100),"",LEFT(B1100,27)&amp;VALUE(RIGHT(B1100,1)+1))</f>
        <v>DKF250911ASPSHA_20C_sample_2</v>
      </c>
      <c r="C1101" s="6" t="str">
        <f t="shared" ref="C1101:D1101" si="1282">C1100</f>
        <v>Aspalathus shawii</v>
      </c>
      <c r="D1101" s="6" t="str">
        <f t="shared" si="1282"/>
        <v>20C</v>
      </c>
      <c r="E1101" s="10">
        <f>IF(ISBLANK(A1100),"",E1100+1)</f>
        <v>2</v>
      </c>
      <c r="F1101" s="11">
        <f t="shared" ref="F1101:F1105" si="1285">F1100</f>
        <v>45913.80764</v>
      </c>
      <c r="G1101" s="8">
        <v>8.664</v>
      </c>
    </row>
    <row r="1102">
      <c r="A1102" s="9" t="str">
        <f t="shared" si="1283"/>
        <v>ASPSHA</v>
      </c>
      <c r="B1102" s="9" t="str">
        <f>IF(ISBLANK(A1100),"",LEFT(B1101,27)&amp;VALUE(RIGHT(B1101,1)+1))</f>
        <v>DKF250911ASPSHA_20C_sample_3</v>
      </c>
      <c r="C1102" s="6" t="str">
        <f t="shared" ref="C1102:D1102" si="1284">C1101</f>
        <v>Aspalathus shawii</v>
      </c>
      <c r="D1102" s="6" t="str">
        <f t="shared" si="1284"/>
        <v>20C</v>
      </c>
      <c r="E1102" s="10">
        <f>IF(ISBLANK(A1100),"",E1101+1)</f>
        <v>3</v>
      </c>
      <c r="F1102" s="11">
        <f t="shared" si="1285"/>
        <v>45913.80764</v>
      </c>
      <c r="G1102" s="8">
        <v>4.962</v>
      </c>
    </row>
    <row r="1103">
      <c r="A1103" s="9" t="str">
        <f t="shared" si="1283"/>
        <v>ASPSHA</v>
      </c>
      <c r="B1103" s="9" t="str">
        <f>IF(ISBLANK(A1100),"",LEFT(B1102,27)&amp;VALUE(RIGHT(B1102,1)+1))</f>
        <v>DKF250911ASPSHA_20C_sample_4</v>
      </c>
      <c r="C1103" s="6" t="str">
        <f t="shared" ref="C1103:D1103" si="1286">C1102</f>
        <v>Aspalathus shawii</v>
      </c>
      <c r="D1103" s="6" t="str">
        <f t="shared" si="1286"/>
        <v>20C</v>
      </c>
      <c r="E1103" s="10">
        <f>IF(ISBLANK(A1100),"",E1102+1)</f>
        <v>4</v>
      </c>
      <c r="F1103" s="11">
        <f t="shared" si="1285"/>
        <v>45913.80764</v>
      </c>
      <c r="G1103" s="8">
        <v>12.062</v>
      </c>
    </row>
    <row r="1104">
      <c r="A1104" s="9" t="str">
        <f t="shared" si="1283"/>
        <v>ASPSHA</v>
      </c>
      <c r="B1104" s="9" t="str">
        <f>IF(ISBLANK(A1100),"",LEFT(B1103,27)&amp;VALUE(RIGHT(B1103,1)+1))</f>
        <v>DKF250911ASPSHA_20C_sample_5</v>
      </c>
      <c r="C1104" s="6" t="str">
        <f t="shared" ref="C1104:D1104" si="1287">C1103</f>
        <v>Aspalathus shawii</v>
      </c>
      <c r="D1104" s="6" t="str">
        <f t="shared" si="1287"/>
        <v>20C</v>
      </c>
      <c r="E1104" s="10">
        <f>IF(ISBLANK(A1100),"",E1103+1)</f>
        <v>5</v>
      </c>
      <c r="F1104" s="11">
        <f t="shared" si="1285"/>
        <v>45913.80764</v>
      </c>
      <c r="G1104" s="8">
        <v>3.47</v>
      </c>
    </row>
    <row r="1105">
      <c r="A1105" s="12" t="str">
        <f t="shared" si="1283"/>
        <v>ASPSHA</v>
      </c>
      <c r="B1105" s="12" t="str">
        <f>IF(ISBLANK(A1100),"",LEFT(B1104,27)&amp;VALUE(RIGHT(B1104,1)+1))</f>
        <v>DKF250911ASPSHA_20C_sample_6</v>
      </c>
      <c r="C1105" s="13" t="str">
        <f t="shared" ref="C1105:D1105" si="1288">C1104</f>
        <v>Aspalathus shawii</v>
      </c>
      <c r="D1105" s="13" t="str">
        <f t="shared" si="1288"/>
        <v>20C</v>
      </c>
      <c r="E1105" s="14">
        <f>IF(ISBLANK(A1100),"",E1104+1)</f>
        <v>6</v>
      </c>
      <c r="F1105" s="15">
        <f t="shared" si="1285"/>
        <v>45913.80764</v>
      </c>
      <c r="G1105" s="16">
        <v>10.207</v>
      </c>
    </row>
    <row r="1106">
      <c r="A1106" s="5" t="s">
        <v>19</v>
      </c>
      <c r="B1106" s="6" t="str">
        <f>IF(ISBLANK(A1106),"",VLOOKUP($A1106,'Data Feed (20C)'!$A$1:$G$14,2,FALSE))</f>
        <v>DKR250911CLURUB_20C_sample_1</v>
      </c>
      <c r="C1106" s="6" t="str">
        <f>IF(ISBLANK(A1106),"",VLOOKUP($A1106,'Data Feed (20C)'!$A$1:$G$14,3,FALSE))</f>
        <v>Clutia rubricaulis</v>
      </c>
      <c r="D1106" s="6" t="str">
        <f>IF(ISBLANK(A1106),"",VLOOKUP($A1106,'Data Feed (20C)'!$A$1:$G$14,4,FALSE))</f>
        <v>20C</v>
      </c>
      <c r="E1106" s="6">
        <f>IF(ISBLANK(A1106),"",VLOOKUP($A1106,'Data Feed (20C)'!$A$1:$G$14,7,FALSE))</f>
        <v>1</v>
      </c>
      <c r="F1106" s="7">
        <v>45913.808333333334</v>
      </c>
      <c r="G1106" s="8">
        <v>0.355</v>
      </c>
    </row>
    <row r="1107">
      <c r="A1107" s="9" t="str">
        <f t="shared" ref="A1107:A1111" si="1290">A1106</f>
        <v>CLURUB</v>
      </c>
      <c r="B1107" s="9" t="str">
        <f>IF(ISBLANK(A1106),"",LEFT(B1106,27)&amp;VALUE(RIGHT(B1106,1)+1))</f>
        <v>DKR250911CLURUB_20C_sample_2</v>
      </c>
      <c r="C1107" s="6" t="str">
        <f t="shared" ref="C1107:D1107" si="1289">C1106</f>
        <v>Clutia rubricaulis</v>
      </c>
      <c r="D1107" s="6" t="str">
        <f t="shared" si="1289"/>
        <v>20C</v>
      </c>
      <c r="E1107" s="10">
        <f>IF(ISBLANK(A1106),"",E1106+1)</f>
        <v>2</v>
      </c>
      <c r="F1107" s="11">
        <f t="shared" ref="F1107:F1111" si="1292">F1106</f>
        <v>45913.80833</v>
      </c>
      <c r="G1107" s="8">
        <v>0.279</v>
      </c>
    </row>
    <row r="1108">
      <c r="A1108" s="9" t="str">
        <f t="shared" si="1290"/>
        <v>CLURUB</v>
      </c>
      <c r="B1108" s="9" t="str">
        <f>IF(ISBLANK(A1106),"",LEFT(B1107,27)&amp;VALUE(RIGHT(B1107,1)+1))</f>
        <v>DKR250911CLURUB_20C_sample_3</v>
      </c>
      <c r="C1108" s="6" t="str">
        <f t="shared" ref="C1108:D1108" si="1291">C1107</f>
        <v>Clutia rubricaulis</v>
      </c>
      <c r="D1108" s="6" t="str">
        <f t="shared" si="1291"/>
        <v>20C</v>
      </c>
      <c r="E1108" s="10">
        <f>IF(ISBLANK(A1106),"",E1107+1)</f>
        <v>3</v>
      </c>
      <c r="F1108" s="11">
        <f t="shared" si="1292"/>
        <v>45913.80833</v>
      </c>
      <c r="G1108" s="8">
        <v>0.365</v>
      </c>
    </row>
    <row r="1109">
      <c r="A1109" s="9" t="str">
        <f t="shared" si="1290"/>
        <v>CLURUB</v>
      </c>
      <c r="B1109" s="9" t="str">
        <f>IF(ISBLANK(A1106),"",LEFT(B1108,27)&amp;VALUE(RIGHT(B1108,1)+1))</f>
        <v>DKR250911CLURUB_20C_sample_4</v>
      </c>
      <c r="C1109" s="6" t="str">
        <f t="shared" ref="C1109:D1109" si="1293">C1108</f>
        <v>Clutia rubricaulis</v>
      </c>
      <c r="D1109" s="6" t="str">
        <f t="shared" si="1293"/>
        <v>20C</v>
      </c>
      <c r="E1109" s="10">
        <f>IF(ISBLANK(A1106),"",E1108+1)</f>
        <v>4</v>
      </c>
      <c r="F1109" s="11">
        <f t="shared" si="1292"/>
        <v>45913.80833</v>
      </c>
      <c r="G1109" s="8">
        <v>0.18</v>
      </c>
    </row>
    <row r="1110">
      <c r="A1110" s="9" t="str">
        <f t="shared" si="1290"/>
        <v>CLURUB</v>
      </c>
      <c r="B1110" s="9" t="str">
        <f>IF(ISBLANK(A1106),"",LEFT(B1109,27)&amp;VALUE(RIGHT(B1109,1)+1))</f>
        <v>DKR250911CLURUB_20C_sample_5</v>
      </c>
      <c r="C1110" s="6" t="str">
        <f t="shared" ref="C1110:D1110" si="1294">C1109</f>
        <v>Clutia rubricaulis</v>
      </c>
      <c r="D1110" s="6" t="str">
        <f t="shared" si="1294"/>
        <v>20C</v>
      </c>
      <c r="E1110" s="10">
        <f>IF(ISBLANK(A1106),"",E1109+1)</f>
        <v>5</v>
      </c>
      <c r="F1110" s="11">
        <f t="shared" si="1292"/>
        <v>45913.80833</v>
      </c>
      <c r="G1110" s="8">
        <v>0.35</v>
      </c>
    </row>
    <row r="1111">
      <c r="A1111" s="12" t="str">
        <f t="shared" si="1290"/>
        <v>CLURUB</v>
      </c>
      <c r="B1111" s="12" t="str">
        <f>IF(ISBLANK(A1106),"",LEFT(B1110,27)&amp;VALUE(RIGHT(B1110,1)+1))</f>
        <v>DKR250911CLURUB_20C_sample_6</v>
      </c>
      <c r="C1111" s="13" t="str">
        <f t="shared" ref="C1111:D1111" si="1295">C1110</f>
        <v>Clutia rubricaulis</v>
      </c>
      <c r="D1111" s="13" t="str">
        <f t="shared" si="1295"/>
        <v>20C</v>
      </c>
      <c r="E1111" s="14">
        <f>IF(ISBLANK(A1106),"",E1110+1)</f>
        <v>6</v>
      </c>
      <c r="F1111" s="15">
        <f t="shared" si="1292"/>
        <v>45913.80833</v>
      </c>
      <c r="G1111" s="16">
        <v>0.282</v>
      </c>
    </row>
    <row r="1112">
      <c r="A1112" s="5" t="s">
        <v>15</v>
      </c>
      <c r="B1112" s="6" t="str">
        <f>IF(ISBLANK(A1112),"",VLOOKUP($A1112,'Data Feed (20C)'!$A$1:$G$14,2,FALSE))</f>
        <v>DKR250911ELYRHI_20C_sample_1</v>
      </c>
      <c r="C1112" s="6" t="str">
        <f>IF(ISBLANK(A1112),"",VLOOKUP($A1112,'Data Feed (20C)'!$A$1:$G$14,3,FALSE))</f>
        <v>Elytropappus rhinocerotis</v>
      </c>
      <c r="D1112" s="6" t="str">
        <f>IF(ISBLANK(A1112),"",VLOOKUP($A1112,'Data Feed (20C)'!$A$1:$G$14,4,FALSE))</f>
        <v>20C</v>
      </c>
      <c r="E1112" s="6">
        <f>IF(ISBLANK(A1112),"",VLOOKUP($A1112,'Data Feed (20C)'!$A$1:$G$14,7,FALSE))</f>
        <v>1</v>
      </c>
      <c r="F1112" s="7">
        <v>45913.81041666667</v>
      </c>
      <c r="G1112" s="8">
        <v>2.963</v>
      </c>
    </row>
    <row r="1113">
      <c r="A1113" s="9" t="str">
        <f t="shared" ref="A1113:A1117" si="1297">A1112</f>
        <v>ELYRHI</v>
      </c>
      <c r="B1113" s="9" t="str">
        <f>IF(ISBLANK(A1112),"",LEFT(B1112,27)&amp;VALUE(RIGHT(B1112,1)+1))</f>
        <v>DKR250911ELYRHI_20C_sample_2</v>
      </c>
      <c r="C1113" s="6" t="str">
        <f t="shared" ref="C1113:D1113" si="1296">C1112</f>
        <v>Elytropappus rhinocerotis</v>
      </c>
      <c r="D1113" s="6" t="str">
        <f t="shared" si="1296"/>
        <v>20C</v>
      </c>
      <c r="E1113" s="10">
        <f>IF(ISBLANK(A1112),"",E1112+1)</f>
        <v>2</v>
      </c>
      <c r="F1113" s="11">
        <f t="shared" ref="F1113:F1117" si="1299">F1112</f>
        <v>45913.81042</v>
      </c>
      <c r="G1113" s="8">
        <v>3.208</v>
      </c>
    </row>
    <row r="1114">
      <c r="A1114" s="9" t="str">
        <f t="shared" si="1297"/>
        <v>ELYRHI</v>
      </c>
      <c r="B1114" s="9" t="str">
        <f>IF(ISBLANK(A1112),"",LEFT(B1113,27)&amp;VALUE(RIGHT(B1113,1)+1))</f>
        <v>DKR250911ELYRHI_20C_sample_3</v>
      </c>
      <c r="C1114" s="6" t="str">
        <f t="shared" ref="C1114:D1114" si="1298">C1113</f>
        <v>Elytropappus rhinocerotis</v>
      </c>
      <c r="D1114" s="6" t="str">
        <f t="shared" si="1298"/>
        <v>20C</v>
      </c>
      <c r="E1114" s="10">
        <f>IF(ISBLANK(A1112),"",E1113+1)</f>
        <v>3</v>
      </c>
      <c r="F1114" s="11">
        <f t="shared" si="1299"/>
        <v>45913.81042</v>
      </c>
      <c r="G1114" s="8">
        <v>5.56</v>
      </c>
    </row>
    <row r="1115">
      <c r="A1115" s="9" t="str">
        <f t="shared" si="1297"/>
        <v>ELYRHI</v>
      </c>
      <c r="B1115" s="9" t="str">
        <f>IF(ISBLANK(A1112),"",LEFT(B1114,27)&amp;VALUE(RIGHT(B1114,1)+1))</f>
        <v>DKR250911ELYRHI_20C_sample_4</v>
      </c>
      <c r="C1115" s="6" t="str">
        <f t="shared" ref="C1115:D1115" si="1300">C1114</f>
        <v>Elytropappus rhinocerotis</v>
      </c>
      <c r="D1115" s="6" t="str">
        <f t="shared" si="1300"/>
        <v>20C</v>
      </c>
      <c r="E1115" s="10">
        <f>IF(ISBLANK(A1112),"",E1114+1)</f>
        <v>4</v>
      </c>
      <c r="F1115" s="11">
        <f t="shared" si="1299"/>
        <v>45913.81042</v>
      </c>
      <c r="G1115" s="8">
        <v>3.206</v>
      </c>
    </row>
    <row r="1116">
      <c r="A1116" s="9" t="str">
        <f t="shared" si="1297"/>
        <v>ELYRHI</v>
      </c>
      <c r="B1116" s="9" t="str">
        <f>IF(ISBLANK(A1112),"",LEFT(B1115,27)&amp;VALUE(RIGHT(B1115,1)+1))</f>
        <v>DKR250911ELYRHI_20C_sample_5</v>
      </c>
      <c r="C1116" s="6" t="str">
        <f t="shared" ref="C1116:D1116" si="1301">C1115</f>
        <v>Elytropappus rhinocerotis</v>
      </c>
      <c r="D1116" s="6" t="str">
        <f t="shared" si="1301"/>
        <v>20C</v>
      </c>
      <c r="E1116" s="10">
        <f>IF(ISBLANK(A1112),"",E1115+1)</f>
        <v>5</v>
      </c>
      <c r="F1116" s="11">
        <f t="shared" si="1299"/>
        <v>45913.81042</v>
      </c>
      <c r="G1116" s="8">
        <v>2.097</v>
      </c>
    </row>
    <row r="1117">
      <c r="A1117" s="12" t="str">
        <f t="shared" si="1297"/>
        <v>ELYRHI</v>
      </c>
      <c r="B1117" s="12" t="str">
        <f>IF(ISBLANK(A1112),"",LEFT(B1116,27)&amp;VALUE(RIGHT(B1116,1)+1))</f>
        <v>DKR250911ELYRHI_20C_sample_6</v>
      </c>
      <c r="C1117" s="13" t="str">
        <f t="shared" ref="C1117:D1117" si="1302">C1116</f>
        <v>Elytropappus rhinocerotis</v>
      </c>
      <c r="D1117" s="13" t="str">
        <f t="shared" si="1302"/>
        <v>20C</v>
      </c>
      <c r="E1117" s="14">
        <f>IF(ISBLANK(A1112),"",E1116+1)</f>
        <v>6</v>
      </c>
      <c r="F1117" s="15">
        <f t="shared" si="1299"/>
        <v>45913.81042</v>
      </c>
      <c r="G1117" s="16">
        <v>1.71</v>
      </c>
    </row>
    <row r="1118">
      <c r="A1118" s="5" t="s">
        <v>10</v>
      </c>
      <c r="B1118" s="6" t="str">
        <f>IF(ISBLANK(A1118),"",VLOOKUP($A1118,'Data Feed (20C)'!$A$1:$G$14,2,FALSE))</f>
        <v>DKF250911LOBDEC_20C_sample_1</v>
      </c>
      <c r="C1118" s="6" t="str">
        <f>IF(ISBLANK(A1118),"",VLOOKUP($A1118,'Data Feed (20C)'!$A$1:$G$14,3,FALSE))</f>
        <v>Lobostemon decorus</v>
      </c>
      <c r="D1118" s="6" t="str">
        <f>IF(ISBLANK(A1118),"",VLOOKUP($A1118,'Data Feed (20C)'!$A$1:$G$14,4,FALSE))</f>
        <v>20C</v>
      </c>
      <c r="E1118" s="6">
        <f>IF(ISBLANK(A1118),"",VLOOKUP($A1118,'Data Feed (20C)'!$A$1:$G$14,7,FALSE))</f>
        <v>1</v>
      </c>
      <c r="F1118" s="7">
        <v>45913.81180555555</v>
      </c>
      <c r="G1118" s="8">
        <v>5.476</v>
      </c>
    </row>
    <row r="1119">
      <c r="A1119" s="9" t="str">
        <f t="shared" ref="A1119:A1123" si="1304">A1118</f>
        <v>LOBDEC</v>
      </c>
      <c r="B1119" s="9" t="str">
        <f>IF(ISBLANK(A1118),"",LEFT(B1118,27)&amp;VALUE(RIGHT(B1118,1)+1))</f>
        <v>DKF250911LOBDEC_20C_sample_2</v>
      </c>
      <c r="C1119" s="6" t="str">
        <f t="shared" ref="C1119:D1119" si="1303">C1118</f>
        <v>Lobostemon decorus</v>
      </c>
      <c r="D1119" s="6" t="str">
        <f t="shared" si="1303"/>
        <v>20C</v>
      </c>
      <c r="E1119" s="10">
        <f>IF(ISBLANK(A1118),"",E1118+1)</f>
        <v>2</v>
      </c>
      <c r="F1119" s="11">
        <f t="shared" ref="F1119:F1123" si="1306">F1118</f>
        <v>45913.81181</v>
      </c>
      <c r="G1119" s="8">
        <v>4.751</v>
      </c>
    </row>
    <row r="1120">
      <c r="A1120" s="9" t="str">
        <f t="shared" si="1304"/>
        <v>LOBDEC</v>
      </c>
      <c r="B1120" s="9" t="str">
        <f>IF(ISBLANK(A1118),"",LEFT(B1119,27)&amp;VALUE(RIGHT(B1119,1)+1))</f>
        <v>DKF250911LOBDEC_20C_sample_3</v>
      </c>
      <c r="C1120" s="6" t="str">
        <f t="shared" ref="C1120:D1120" si="1305">C1119</f>
        <v>Lobostemon decorus</v>
      </c>
      <c r="D1120" s="6" t="str">
        <f t="shared" si="1305"/>
        <v>20C</v>
      </c>
      <c r="E1120" s="10">
        <f>IF(ISBLANK(A1118),"",E1119+1)</f>
        <v>3</v>
      </c>
      <c r="F1120" s="11">
        <f t="shared" si="1306"/>
        <v>45913.81181</v>
      </c>
      <c r="G1120" s="8">
        <v>7.313</v>
      </c>
    </row>
    <row r="1121">
      <c r="A1121" s="9" t="str">
        <f t="shared" si="1304"/>
        <v>LOBDEC</v>
      </c>
      <c r="B1121" s="9" t="str">
        <f>IF(ISBLANK(A1118),"",LEFT(B1120,27)&amp;VALUE(RIGHT(B1120,1)+1))</f>
        <v>DKF250911LOBDEC_20C_sample_4</v>
      </c>
      <c r="C1121" s="6" t="str">
        <f t="shared" ref="C1121:D1121" si="1307">C1120</f>
        <v>Lobostemon decorus</v>
      </c>
      <c r="D1121" s="6" t="str">
        <f t="shared" si="1307"/>
        <v>20C</v>
      </c>
      <c r="E1121" s="10">
        <f>IF(ISBLANK(A1118),"",E1120+1)</f>
        <v>4</v>
      </c>
      <c r="F1121" s="11">
        <f t="shared" si="1306"/>
        <v>45913.81181</v>
      </c>
      <c r="G1121" s="8">
        <v>4.767</v>
      </c>
    </row>
    <row r="1122">
      <c r="A1122" s="9" t="str">
        <f t="shared" si="1304"/>
        <v>LOBDEC</v>
      </c>
      <c r="B1122" s="9" t="str">
        <f>IF(ISBLANK(A1118),"",LEFT(B1121,27)&amp;VALUE(RIGHT(B1121,1)+1))</f>
        <v>DKF250911LOBDEC_20C_sample_5</v>
      </c>
      <c r="C1122" s="6" t="str">
        <f t="shared" ref="C1122:D1122" si="1308">C1121</f>
        <v>Lobostemon decorus</v>
      </c>
      <c r="D1122" s="6" t="str">
        <f t="shared" si="1308"/>
        <v>20C</v>
      </c>
      <c r="E1122" s="10">
        <f>IF(ISBLANK(A1118),"",E1121+1)</f>
        <v>5</v>
      </c>
      <c r="F1122" s="11">
        <f t="shared" si="1306"/>
        <v>45913.81181</v>
      </c>
      <c r="G1122" s="8">
        <v>3.486</v>
      </c>
    </row>
    <row r="1123">
      <c r="A1123" s="12" t="str">
        <f t="shared" si="1304"/>
        <v>LOBDEC</v>
      </c>
      <c r="B1123" s="12" t="str">
        <f>IF(ISBLANK(A1118),"",LEFT(B1122,27)&amp;VALUE(RIGHT(B1122,1)+1))</f>
        <v>DKF250911LOBDEC_20C_sample_6</v>
      </c>
      <c r="C1123" s="13" t="str">
        <f t="shared" ref="C1123:D1123" si="1309">C1122</f>
        <v>Lobostemon decorus</v>
      </c>
      <c r="D1123" s="13" t="str">
        <f t="shared" si="1309"/>
        <v>20C</v>
      </c>
      <c r="E1123" s="14">
        <f>IF(ISBLANK(A1118),"",E1122+1)</f>
        <v>6</v>
      </c>
      <c r="F1123" s="15">
        <f t="shared" si="1306"/>
        <v>45913.81181</v>
      </c>
      <c r="G1123" s="16">
        <v>3.045</v>
      </c>
    </row>
    <row r="1124">
      <c r="A1124" s="5" t="s">
        <v>16</v>
      </c>
      <c r="B1124" s="6" t="str">
        <f>IF(ISBLANK(A1124),"",VLOOKUP($A1124,'Data Feed (20C)'!$A$1:$G$14,2,FALSE))</f>
        <v>DKR250911MICPOL_20C_sample_1</v>
      </c>
      <c r="C1124" s="6" t="str">
        <f>IF(ISBLANK(A1124),"",VLOOKUP($A1124,'Data Feed (20C)'!$A$1:$G$14,3,FALSE))</f>
        <v>Microdon polygaloides</v>
      </c>
      <c r="D1124" s="6" t="str">
        <f>IF(ISBLANK(A1124),"",VLOOKUP($A1124,'Data Feed (20C)'!$A$1:$G$14,4,FALSE))</f>
        <v>20C</v>
      </c>
      <c r="E1124" s="6">
        <f>IF(ISBLANK(A1124),"",VLOOKUP($A1124,'Data Feed (20C)'!$A$1:$G$14,7,FALSE))</f>
        <v>1</v>
      </c>
      <c r="F1124" s="7">
        <v>45913.81319444445</v>
      </c>
      <c r="G1124" s="8">
        <v>1.255</v>
      </c>
    </row>
    <row r="1125">
      <c r="A1125" s="9" t="str">
        <f t="shared" ref="A1125:A1129" si="1311">A1124</f>
        <v>MICPOL</v>
      </c>
      <c r="B1125" s="9" t="str">
        <f>IF(ISBLANK(A1124),"",LEFT(B1124,27)&amp;VALUE(RIGHT(B1124,1)+1))</f>
        <v>DKR250911MICPOL_20C_sample_2</v>
      </c>
      <c r="C1125" s="6" t="str">
        <f t="shared" ref="C1125:D1125" si="1310">C1124</f>
        <v>Microdon polygaloides</v>
      </c>
      <c r="D1125" s="6" t="str">
        <f t="shared" si="1310"/>
        <v>20C</v>
      </c>
      <c r="E1125" s="10">
        <f>IF(ISBLANK(A1124),"",E1124+1)</f>
        <v>2</v>
      </c>
      <c r="F1125" s="11">
        <f t="shared" ref="F1125:F1129" si="1313">F1124</f>
        <v>45913.81319</v>
      </c>
      <c r="G1125" s="8">
        <v>0.786</v>
      </c>
    </row>
    <row r="1126">
      <c r="A1126" s="9" t="str">
        <f t="shared" si="1311"/>
        <v>MICPOL</v>
      </c>
      <c r="B1126" s="9" t="str">
        <f>IF(ISBLANK(A1124),"",LEFT(B1125,27)&amp;VALUE(RIGHT(B1125,1)+1))</f>
        <v>DKR250911MICPOL_20C_sample_3</v>
      </c>
      <c r="C1126" s="6" t="str">
        <f t="shared" ref="C1126:D1126" si="1312">C1125</f>
        <v>Microdon polygaloides</v>
      </c>
      <c r="D1126" s="6" t="str">
        <f t="shared" si="1312"/>
        <v>20C</v>
      </c>
      <c r="E1126" s="10">
        <f>IF(ISBLANK(A1124),"",E1125+1)</f>
        <v>3</v>
      </c>
      <c r="F1126" s="11">
        <f t="shared" si="1313"/>
        <v>45913.81319</v>
      </c>
      <c r="G1126" s="8">
        <v>0.324</v>
      </c>
    </row>
    <row r="1127">
      <c r="A1127" s="9" t="str">
        <f t="shared" si="1311"/>
        <v>MICPOL</v>
      </c>
      <c r="B1127" s="9" t="str">
        <f>IF(ISBLANK(A1124),"",LEFT(B1126,27)&amp;VALUE(RIGHT(B1126,1)+1))</f>
        <v>DKR250911MICPOL_20C_sample_4</v>
      </c>
      <c r="C1127" s="6" t="str">
        <f t="shared" ref="C1127:D1127" si="1314">C1126</f>
        <v>Microdon polygaloides</v>
      </c>
      <c r="D1127" s="6" t="str">
        <f t="shared" si="1314"/>
        <v>20C</v>
      </c>
      <c r="E1127" s="10">
        <f>IF(ISBLANK(A1124),"",E1126+1)</f>
        <v>4</v>
      </c>
      <c r="F1127" s="11">
        <f t="shared" si="1313"/>
        <v>45913.81319</v>
      </c>
      <c r="G1127" s="8">
        <v>0.16</v>
      </c>
    </row>
    <row r="1128">
      <c r="A1128" s="9" t="str">
        <f t="shared" si="1311"/>
        <v>MICPOL</v>
      </c>
      <c r="B1128" s="9" t="str">
        <f>IF(ISBLANK(A1124),"",LEFT(B1127,27)&amp;VALUE(RIGHT(B1127,1)+1))</f>
        <v>DKR250911MICPOL_20C_sample_5</v>
      </c>
      <c r="C1128" s="6" t="str">
        <f t="shared" ref="C1128:D1128" si="1315">C1127</f>
        <v>Microdon polygaloides</v>
      </c>
      <c r="D1128" s="6" t="str">
        <f t="shared" si="1315"/>
        <v>20C</v>
      </c>
      <c r="E1128" s="10">
        <f>IF(ISBLANK(A1124),"",E1127+1)</f>
        <v>5</v>
      </c>
      <c r="F1128" s="11">
        <f t="shared" si="1313"/>
        <v>45913.81319</v>
      </c>
      <c r="G1128" s="8">
        <v>0.257</v>
      </c>
    </row>
    <row r="1129">
      <c r="A1129" s="12" t="str">
        <f t="shared" si="1311"/>
        <v>MICPOL</v>
      </c>
      <c r="B1129" s="12" t="str">
        <f>IF(ISBLANK(A1124),"",LEFT(B1128,27)&amp;VALUE(RIGHT(B1128,1)+1))</f>
        <v>DKR250911MICPOL_20C_sample_6</v>
      </c>
      <c r="C1129" s="13" t="str">
        <f t="shared" ref="C1129:D1129" si="1316">C1128</f>
        <v>Microdon polygaloides</v>
      </c>
      <c r="D1129" s="13" t="str">
        <f t="shared" si="1316"/>
        <v>20C</v>
      </c>
      <c r="E1129" s="14">
        <f>IF(ISBLANK(A1124),"",E1128+1)</f>
        <v>6</v>
      </c>
      <c r="F1129" s="15">
        <f t="shared" si="1313"/>
        <v>45913.81319</v>
      </c>
      <c r="G1129" s="16">
        <v>0.195</v>
      </c>
    </row>
    <row r="1130">
      <c r="A1130" s="5" t="s">
        <v>17</v>
      </c>
      <c r="B1130" s="6" t="str">
        <f>IF(ISBLANK(A1130),"",VLOOKUP($A1130,'Data Feed (20C)'!$A$1:$G$14,2,FALSE))</f>
        <v>DKR250911OEDSQU_20C_sample_1</v>
      </c>
      <c r="C1130" s="6" t="str">
        <f>IF(ISBLANK(A1130),"",VLOOKUP($A1130,'Data Feed (20C)'!$A$1:$G$14,3,FALSE))</f>
        <v>Oedera squarrosa</v>
      </c>
      <c r="D1130" s="6" t="str">
        <f>IF(ISBLANK(A1130),"",VLOOKUP($A1130,'Data Feed (20C)'!$A$1:$G$14,4,FALSE))</f>
        <v>20C</v>
      </c>
      <c r="E1130" s="6">
        <f>IF(ISBLANK(A1130),"",VLOOKUP($A1130,'Data Feed (20C)'!$A$1:$G$14,7,FALSE))</f>
        <v>1</v>
      </c>
      <c r="F1130" s="7">
        <v>45913.81527777778</v>
      </c>
      <c r="G1130" s="8">
        <v>1.016</v>
      </c>
    </row>
    <row r="1131">
      <c r="A1131" s="9" t="str">
        <f t="shared" ref="A1131:A1135" si="1318">A1130</f>
        <v>OEDSQU</v>
      </c>
      <c r="B1131" s="9" t="str">
        <f>IF(ISBLANK(A1130),"",LEFT(B1130,27)&amp;VALUE(RIGHT(B1130,1)+1))</f>
        <v>DKR250911OEDSQU_20C_sample_2</v>
      </c>
      <c r="C1131" s="6" t="str">
        <f t="shared" ref="C1131:D1131" si="1317">C1130</f>
        <v>Oedera squarrosa</v>
      </c>
      <c r="D1131" s="6" t="str">
        <f t="shared" si="1317"/>
        <v>20C</v>
      </c>
      <c r="E1131" s="10">
        <f>IF(ISBLANK(A1130),"",E1130+1)</f>
        <v>2</v>
      </c>
      <c r="F1131" s="11">
        <f t="shared" ref="F1131:F1135" si="1320">F1130</f>
        <v>45913.81528</v>
      </c>
      <c r="G1131" s="8">
        <v>0.84</v>
      </c>
    </row>
    <row r="1132">
      <c r="A1132" s="9" t="str">
        <f t="shared" si="1318"/>
        <v>OEDSQU</v>
      </c>
      <c r="B1132" s="9" t="str">
        <f>IF(ISBLANK(A1130),"",LEFT(B1131,27)&amp;VALUE(RIGHT(B1131,1)+1))</f>
        <v>DKR250911OEDSQU_20C_sample_3</v>
      </c>
      <c r="C1132" s="6" t="str">
        <f t="shared" ref="C1132:D1132" si="1319">C1131</f>
        <v>Oedera squarrosa</v>
      </c>
      <c r="D1132" s="6" t="str">
        <f t="shared" si="1319"/>
        <v>20C</v>
      </c>
      <c r="E1132" s="10">
        <f>IF(ISBLANK(A1130),"",E1131+1)</f>
        <v>3</v>
      </c>
      <c r="F1132" s="11">
        <f t="shared" si="1320"/>
        <v>45913.81528</v>
      </c>
      <c r="G1132" s="8">
        <v>1.26</v>
      </c>
    </row>
    <row r="1133">
      <c r="A1133" s="9" t="str">
        <f t="shared" si="1318"/>
        <v>OEDSQU</v>
      </c>
      <c r="B1133" s="9" t="str">
        <f>IF(ISBLANK(A1130),"",LEFT(B1132,27)&amp;VALUE(RIGHT(B1132,1)+1))</f>
        <v>DKR250911OEDSQU_20C_sample_4</v>
      </c>
      <c r="C1133" s="6" t="str">
        <f t="shared" ref="C1133:D1133" si="1321">C1132</f>
        <v>Oedera squarrosa</v>
      </c>
      <c r="D1133" s="6" t="str">
        <f t="shared" si="1321"/>
        <v>20C</v>
      </c>
      <c r="E1133" s="10">
        <f>IF(ISBLANK(A1130),"",E1132+1)</f>
        <v>4</v>
      </c>
      <c r="F1133" s="11">
        <f t="shared" si="1320"/>
        <v>45913.81528</v>
      </c>
      <c r="G1133" s="8">
        <v>1.145</v>
      </c>
    </row>
    <row r="1134">
      <c r="A1134" s="9" t="str">
        <f t="shared" si="1318"/>
        <v>OEDSQU</v>
      </c>
      <c r="B1134" s="9" t="str">
        <f>IF(ISBLANK(A1130),"",LEFT(B1133,27)&amp;VALUE(RIGHT(B1133,1)+1))</f>
        <v>DKR250911OEDSQU_20C_sample_5</v>
      </c>
      <c r="C1134" s="6" t="str">
        <f t="shared" ref="C1134:D1134" si="1322">C1133</f>
        <v>Oedera squarrosa</v>
      </c>
      <c r="D1134" s="6" t="str">
        <f t="shared" si="1322"/>
        <v>20C</v>
      </c>
      <c r="E1134" s="10">
        <f>IF(ISBLANK(A1130),"",E1133+1)</f>
        <v>5</v>
      </c>
      <c r="F1134" s="11">
        <f t="shared" si="1320"/>
        <v>45913.81528</v>
      </c>
      <c r="G1134" s="8">
        <v>0.531</v>
      </c>
    </row>
    <row r="1135">
      <c r="A1135" s="12" t="str">
        <f t="shared" si="1318"/>
        <v>OEDSQU</v>
      </c>
      <c r="B1135" s="12" t="str">
        <f>IF(ISBLANK(A1130),"",LEFT(B1134,27)&amp;VALUE(RIGHT(B1134,1)+1))</f>
        <v>DKR250911OEDSQU_20C_sample_6</v>
      </c>
      <c r="C1135" s="13" t="str">
        <f t="shared" ref="C1135:D1135" si="1323">C1134</f>
        <v>Oedera squarrosa</v>
      </c>
      <c r="D1135" s="13" t="str">
        <f t="shared" si="1323"/>
        <v>20C</v>
      </c>
      <c r="E1135" s="14">
        <f>IF(ISBLANK(A1130),"",E1134+1)</f>
        <v>6</v>
      </c>
      <c r="F1135" s="15">
        <f t="shared" si="1320"/>
        <v>45913.81528</v>
      </c>
      <c r="G1135" s="16">
        <v>0.211</v>
      </c>
    </row>
    <row r="1136">
      <c r="A1136" s="5" t="s">
        <v>7</v>
      </c>
      <c r="B1136" s="6" t="str">
        <f>IF(ISBLANK(A1136),"",VLOOKUP($A1136,'Data Feed (20C)'!$A$1:$G$14,2,FALSE))</f>
        <v>DKR250911PASOBT_20C_sample_1</v>
      </c>
      <c r="C1136" s="6" t="str">
        <f>IF(ISBLANK(A1136),"",VLOOKUP($A1136,'Data Feed (20C)'!$A$1:$G$14,3,FALSE))</f>
        <v>Passerina obtusifolia</v>
      </c>
      <c r="D1136" s="6" t="str">
        <f>IF(ISBLANK(A1136),"",VLOOKUP($A1136,'Data Feed (20C)'!$A$1:$G$14,4,FALSE))</f>
        <v>20C</v>
      </c>
      <c r="E1136" s="6">
        <f>IF(ISBLANK(A1136),"",VLOOKUP($A1136,'Data Feed (20C)'!$A$1:$G$14,7,FALSE))</f>
        <v>1</v>
      </c>
      <c r="F1136" s="7">
        <v>45913.81736111111</v>
      </c>
      <c r="G1136" s="8">
        <v>2.735</v>
      </c>
    </row>
    <row r="1137">
      <c r="A1137" s="9" t="str">
        <f t="shared" ref="A1137:A1141" si="1325">A1136</f>
        <v>PASOBT</v>
      </c>
      <c r="B1137" s="9" t="str">
        <f>IF(ISBLANK(A1136),"",LEFT(B1136,27)&amp;VALUE(RIGHT(B1136,1)+1))</f>
        <v>DKR250911PASOBT_20C_sample_2</v>
      </c>
      <c r="C1137" s="6" t="str">
        <f t="shared" ref="C1137:D1137" si="1324">C1136</f>
        <v>Passerina obtusifolia</v>
      </c>
      <c r="D1137" s="6" t="str">
        <f t="shared" si="1324"/>
        <v>20C</v>
      </c>
      <c r="E1137" s="10">
        <f>IF(ISBLANK(A1136),"",E1136+1)</f>
        <v>2</v>
      </c>
      <c r="F1137" s="11">
        <f t="shared" ref="F1137:F1141" si="1327">F1136</f>
        <v>45913.81736</v>
      </c>
      <c r="G1137" s="8">
        <v>3.595</v>
      </c>
    </row>
    <row r="1138">
      <c r="A1138" s="9" t="str">
        <f t="shared" si="1325"/>
        <v>PASOBT</v>
      </c>
      <c r="B1138" s="9" t="str">
        <f>IF(ISBLANK(A1136),"",LEFT(B1137,27)&amp;VALUE(RIGHT(B1137,1)+1))</f>
        <v>DKR250911PASOBT_20C_sample_3</v>
      </c>
      <c r="C1138" s="6" t="str">
        <f t="shared" ref="C1138:D1138" si="1326">C1137</f>
        <v>Passerina obtusifolia</v>
      </c>
      <c r="D1138" s="6" t="str">
        <f t="shared" si="1326"/>
        <v>20C</v>
      </c>
      <c r="E1138" s="10">
        <f>IF(ISBLANK(A1136),"",E1137+1)</f>
        <v>3</v>
      </c>
      <c r="F1138" s="11">
        <f t="shared" si="1327"/>
        <v>45913.81736</v>
      </c>
      <c r="G1138" s="8">
        <v>1.256</v>
      </c>
    </row>
    <row r="1139">
      <c r="A1139" s="9" t="str">
        <f t="shared" si="1325"/>
        <v>PASOBT</v>
      </c>
      <c r="B1139" s="9" t="str">
        <f>IF(ISBLANK(A1136),"",LEFT(B1138,27)&amp;VALUE(RIGHT(B1138,1)+1))</f>
        <v>DKR250911PASOBT_20C_sample_4</v>
      </c>
      <c r="C1139" s="6" t="str">
        <f t="shared" ref="C1139:D1139" si="1328">C1138</f>
        <v>Passerina obtusifolia</v>
      </c>
      <c r="D1139" s="6" t="str">
        <f t="shared" si="1328"/>
        <v>20C</v>
      </c>
      <c r="E1139" s="10">
        <f>IF(ISBLANK(A1136),"",E1138+1)</f>
        <v>4</v>
      </c>
      <c r="F1139" s="11">
        <f t="shared" si="1327"/>
        <v>45913.81736</v>
      </c>
      <c r="G1139" s="8">
        <v>1.703</v>
      </c>
    </row>
    <row r="1140">
      <c r="A1140" s="9" t="str">
        <f t="shared" si="1325"/>
        <v>PASOBT</v>
      </c>
      <c r="B1140" s="9" t="str">
        <f>IF(ISBLANK(A1136),"",LEFT(B1139,27)&amp;VALUE(RIGHT(B1139,1)+1))</f>
        <v>DKR250911PASOBT_20C_sample_5</v>
      </c>
      <c r="C1140" s="6" t="str">
        <f t="shared" ref="C1140:D1140" si="1329">C1139</f>
        <v>Passerina obtusifolia</v>
      </c>
      <c r="D1140" s="6" t="str">
        <f t="shared" si="1329"/>
        <v>20C</v>
      </c>
      <c r="E1140" s="10">
        <f>IF(ISBLANK(A1136),"",E1139+1)</f>
        <v>5</v>
      </c>
      <c r="F1140" s="11">
        <f t="shared" si="1327"/>
        <v>45913.81736</v>
      </c>
      <c r="G1140" s="8">
        <v>1.435</v>
      </c>
    </row>
    <row r="1141">
      <c r="A1141" s="12" t="str">
        <f t="shared" si="1325"/>
        <v>PASOBT</v>
      </c>
      <c r="B1141" s="12" t="str">
        <f>IF(ISBLANK(A1136),"",LEFT(B1140,27)&amp;VALUE(RIGHT(B1140,1)+1))</f>
        <v>DKR250911PASOBT_20C_sample_6</v>
      </c>
      <c r="C1141" s="13" t="str">
        <f t="shared" ref="C1141:D1141" si="1330">C1140</f>
        <v>Passerina obtusifolia</v>
      </c>
      <c r="D1141" s="13" t="str">
        <f t="shared" si="1330"/>
        <v>20C</v>
      </c>
      <c r="E1141" s="14">
        <f>IF(ISBLANK(A1136),"",E1140+1)</f>
        <v>6</v>
      </c>
      <c r="F1141" s="15">
        <f t="shared" si="1327"/>
        <v>45913.81736</v>
      </c>
      <c r="G1141" s="16">
        <v>2.365</v>
      </c>
    </row>
    <row r="1142">
      <c r="A1142" s="5" t="s">
        <v>9</v>
      </c>
      <c r="B1142" s="6" t="str">
        <f>IF(ISBLANK(A1142),"",VLOOKUP($A1142,'Data Feed (20C)'!$A$1:$G$14,2,FALSE))</f>
        <v>DKR250911PROLAU_20C_sample_1</v>
      </c>
      <c r="C1142" s="6" t="str">
        <f>IF(ISBLANK(A1142),"",VLOOKUP($A1142,'Data Feed (20C)'!$A$1:$G$14,3,FALSE))</f>
        <v>Protea laurifolia</v>
      </c>
      <c r="D1142" s="6" t="str">
        <f>IF(ISBLANK(A1142),"",VLOOKUP($A1142,'Data Feed (20C)'!$A$1:$G$14,4,FALSE))</f>
        <v>20C</v>
      </c>
      <c r="E1142" s="6">
        <f>IF(ISBLANK(A1142),"",VLOOKUP($A1142,'Data Feed (20C)'!$A$1:$G$14,7,FALSE))</f>
        <v>1</v>
      </c>
      <c r="F1142" s="7">
        <v>45913.81875</v>
      </c>
      <c r="G1142" s="8">
        <v>0.993</v>
      </c>
    </row>
    <row r="1143">
      <c r="A1143" s="9" t="str">
        <f t="shared" ref="A1143:A1147" si="1332">A1142</f>
        <v>PROLAU</v>
      </c>
      <c r="B1143" s="9" t="str">
        <f>IF(ISBLANK(A1142),"",LEFT(B1142,27)&amp;VALUE(RIGHT(B1142,1)+1))</f>
        <v>DKR250911PROLAU_20C_sample_2</v>
      </c>
      <c r="C1143" s="6" t="str">
        <f t="shared" ref="C1143:D1143" si="1331">C1142</f>
        <v>Protea laurifolia</v>
      </c>
      <c r="D1143" s="6" t="str">
        <f t="shared" si="1331"/>
        <v>20C</v>
      </c>
      <c r="E1143" s="10">
        <f>IF(ISBLANK(A1142),"",E1142+1)</f>
        <v>2</v>
      </c>
      <c r="F1143" s="11">
        <f t="shared" ref="F1143:F1147" si="1334">F1142</f>
        <v>45913.81875</v>
      </c>
      <c r="G1143" s="8">
        <v>1.115</v>
      </c>
    </row>
    <row r="1144">
      <c r="A1144" s="9" t="str">
        <f t="shared" si="1332"/>
        <v>PROLAU</v>
      </c>
      <c r="B1144" s="9" t="str">
        <f>IF(ISBLANK(A1142),"",LEFT(B1143,27)&amp;VALUE(RIGHT(B1143,1)+1))</f>
        <v>DKR250911PROLAU_20C_sample_3</v>
      </c>
      <c r="C1144" s="6" t="str">
        <f t="shared" ref="C1144:D1144" si="1333">C1143</f>
        <v>Protea laurifolia</v>
      </c>
      <c r="D1144" s="6" t="str">
        <f t="shared" si="1333"/>
        <v>20C</v>
      </c>
      <c r="E1144" s="10">
        <f>IF(ISBLANK(A1142),"",E1143+1)</f>
        <v>3</v>
      </c>
      <c r="F1144" s="11">
        <f t="shared" si="1334"/>
        <v>45913.81875</v>
      </c>
      <c r="G1144" s="8">
        <v>1.103</v>
      </c>
    </row>
    <row r="1145">
      <c r="A1145" s="9" t="str">
        <f t="shared" si="1332"/>
        <v>PROLAU</v>
      </c>
      <c r="B1145" s="9" t="str">
        <f>IF(ISBLANK(A1142),"",LEFT(B1144,27)&amp;VALUE(RIGHT(B1144,1)+1))</f>
        <v>DKR250911PROLAU_20C_sample_4</v>
      </c>
      <c r="C1145" s="6" t="str">
        <f t="shared" ref="C1145:D1145" si="1335">C1144</f>
        <v>Protea laurifolia</v>
      </c>
      <c r="D1145" s="6" t="str">
        <f t="shared" si="1335"/>
        <v>20C</v>
      </c>
      <c r="E1145" s="10">
        <f>IF(ISBLANK(A1142),"",E1144+1)</f>
        <v>4</v>
      </c>
      <c r="F1145" s="11">
        <f t="shared" si="1334"/>
        <v>45913.81875</v>
      </c>
      <c r="G1145" s="8">
        <v>0.535</v>
      </c>
    </row>
    <row r="1146">
      <c r="A1146" s="9" t="str">
        <f t="shared" si="1332"/>
        <v>PROLAU</v>
      </c>
      <c r="B1146" s="9" t="str">
        <f>IF(ISBLANK(A1142),"",LEFT(B1145,27)&amp;VALUE(RIGHT(B1145,1)+1))</f>
        <v>DKR250911PROLAU_20C_sample_5</v>
      </c>
      <c r="C1146" s="6" t="str">
        <f t="shared" ref="C1146:D1146" si="1336">C1145</f>
        <v>Protea laurifolia</v>
      </c>
      <c r="D1146" s="6" t="str">
        <f t="shared" si="1336"/>
        <v>20C</v>
      </c>
      <c r="E1146" s="10">
        <f>IF(ISBLANK(A1142),"",E1145+1)</f>
        <v>5</v>
      </c>
      <c r="F1146" s="11">
        <f t="shared" si="1334"/>
        <v>45913.81875</v>
      </c>
      <c r="G1146" s="8">
        <v>0.928</v>
      </c>
    </row>
    <row r="1147">
      <c r="A1147" s="12" t="str">
        <f t="shared" si="1332"/>
        <v>PROLAU</v>
      </c>
      <c r="B1147" s="12" t="str">
        <f>IF(ISBLANK(A1142),"",LEFT(B1146,27)&amp;VALUE(RIGHT(B1146,1)+1))</f>
        <v>DKR250911PROLAU_20C_sample_6</v>
      </c>
      <c r="C1147" s="13" t="str">
        <f t="shared" ref="C1147:D1147" si="1337">C1146</f>
        <v>Protea laurifolia</v>
      </c>
      <c r="D1147" s="13" t="str">
        <f t="shared" si="1337"/>
        <v>20C</v>
      </c>
      <c r="E1147" s="14">
        <f>IF(ISBLANK(A1142),"",E1146+1)</f>
        <v>6</v>
      </c>
      <c r="F1147" s="15">
        <f t="shared" si="1334"/>
        <v>45913.81875</v>
      </c>
      <c r="G1147" s="16">
        <v>0.913</v>
      </c>
    </row>
    <row r="1148">
      <c r="A1148" s="5" t="s">
        <v>8</v>
      </c>
      <c r="B1148" s="6" t="str">
        <f>IF(ISBLANK(A1148),"",VLOOKUP($A1148,'Data Feed (20C)'!$A$1:$G$14,2,FALSE))</f>
        <v>DKF250911PROLOR_20C_sample_1</v>
      </c>
      <c r="C1148" s="6" t="str">
        <f>IF(ISBLANK(A1148),"",VLOOKUP($A1148,'Data Feed (20C)'!$A$1:$G$14,3,FALSE))</f>
        <v>Protea lorifolia</v>
      </c>
      <c r="D1148" s="6" t="str">
        <f>IF(ISBLANK(A1148),"",VLOOKUP($A1148,'Data Feed (20C)'!$A$1:$G$14,4,FALSE))</f>
        <v>20C</v>
      </c>
      <c r="E1148" s="6">
        <f>IF(ISBLANK(A1148),"",VLOOKUP($A1148,'Data Feed (20C)'!$A$1:$G$14,7,FALSE))</f>
        <v>1</v>
      </c>
      <c r="F1148" s="7">
        <v>45913.82013888889</v>
      </c>
      <c r="G1148" s="8">
        <v>3.153</v>
      </c>
    </row>
    <row r="1149">
      <c r="A1149" s="9" t="str">
        <f t="shared" ref="A1149:A1153" si="1339">A1148</f>
        <v>PROLOR</v>
      </c>
      <c r="B1149" s="9" t="str">
        <f>IF(ISBLANK(A1148),"",LEFT(B1148,27)&amp;VALUE(RIGHT(B1148,1)+1))</f>
        <v>DKF250911PROLOR_20C_sample_2</v>
      </c>
      <c r="C1149" s="6" t="str">
        <f t="shared" ref="C1149:D1149" si="1338">C1148</f>
        <v>Protea lorifolia</v>
      </c>
      <c r="D1149" s="6" t="str">
        <f t="shared" si="1338"/>
        <v>20C</v>
      </c>
      <c r="E1149" s="10">
        <f>IF(ISBLANK(A1148),"",E1148+1)</f>
        <v>2</v>
      </c>
      <c r="F1149" s="11">
        <f t="shared" ref="F1149:F1153" si="1341">F1148</f>
        <v>45913.82014</v>
      </c>
      <c r="G1149" s="8">
        <v>3.355</v>
      </c>
    </row>
    <row r="1150">
      <c r="A1150" s="9" t="str">
        <f t="shared" si="1339"/>
        <v>PROLOR</v>
      </c>
      <c r="B1150" s="9" t="str">
        <f>IF(ISBLANK(A1148),"",LEFT(B1149,27)&amp;VALUE(RIGHT(B1149,1)+1))</f>
        <v>DKF250911PROLOR_20C_sample_3</v>
      </c>
      <c r="C1150" s="6" t="str">
        <f t="shared" ref="C1150:D1150" si="1340">C1149</f>
        <v>Protea lorifolia</v>
      </c>
      <c r="D1150" s="6" t="str">
        <f t="shared" si="1340"/>
        <v>20C</v>
      </c>
      <c r="E1150" s="10">
        <f>IF(ISBLANK(A1148),"",E1149+1)</f>
        <v>3</v>
      </c>
      <c r="F1150" s="11">
        <f t="shared" si="1341"/>
        <v>45913.82014</v>
      </c>
      <c r="G1150" s="8">
        <v>3.613</v>
      </c>
    </row>
    <row r="1151">
      <c r="A1151" s="9" t="str">
        <f t="shared" si="1339"/>
        <v>PROLOR</v>
      </c>
      <c r="B1151" s="9" t="str">
        <f>IF(ISBLANK(A1148),"",LEFT(B1150,27)&amp;VALUE(RIGHT(B1150,1)+1))</f>
        <v>DKF250911PROLOR_20C_sample_4</v>
      </c>
      <c r="C1151" s="6" t="str">
        <f t="shared" ref="C1151:D1151" si="1342">C1150</f>
        <v>Protea lorifolia</v>
      </c>
      <c r="D1151" s="6" t="str">
        <f t="shared" si="1342"/>
        <v>20C</v>
      </c>
      <c r="E1151" s="10">
        <f>IF(ISBLANK(A1148),"",E1150+1)</f>
        <v>4</v>
      </c>
      <c r="F1151" s="11">
        <f t="shared" si="1341"/>
        <v>45913.82014</v>
      </c>
      <c r="G1151" s="8">
        <v>2.9</v>
      </c>
    </row>
    <row r="1152">
      <c r="A1152" s="9" t="str">
        <f t="shared" si="1339"/>
        <v>PROLOR</v>
      </c>
      <c r="B1152" s="9" t="str">
        <f>IF(ISBLANK(A1148),"",LEFT(B1151,27)&amp;VALUE(RIGHT(B1151,1)+1))</f>
        <v>DKF250911PROLOR_20C_sample_5</v>
      </c>
      <c r="C1152" s="6" t="str">
        <f t="shared" ref="C1152:D1152" si="1343">C1151</f>
        <v>Protea lorifolia</v>
      </c>
      <c r="D1152" s="6" t="str">
        <f t="shared" si="1343"/>
        <v>20C</v>
      </c>
      <c r="E1152" s="10">
        <f>IF(ISBLANK(A1148),"",E1151+1)</f>
        <v>5</v>
      </c>
      <c r="F1152" s="11">
        <f t="shared" si="1341"/>
        <v>45913.82014</v>
      </c>
      <c r="G1152" s="8">
        <v>5.646</v>
      </c>
    </row>
    <row r="1153">
      <c r="A1153" s="12" t="str">
        <f t="shared" si="1339"/>
        <v>PROLOR</v>
      </c>
      <c r="B1153" s="12" t="str">
        <f>IF(ISBLANK(A1148),"",LEFT(B1152,27)&amp;VALUE(RIGHT(B1152,1)+1))</f>
        <v>DKF250911PROLOR_20C_sample_6</v>
      </c>
      <c r="C1153" s="13" t="str">
        <f t="shared" ref="C1153:D1153" si="1344">C1152</f>
        <v>Protea lorifolia</v>
      </c>
      <c r="D1153" s="13" t="str">
        <f t="shared" si="1344"/>
        <v>20C</v>
      </c>
      <c r="E1153" s="14">
        <f>IF(ISBLANK(A1148),"",E1152+1)</f>
        <v>6</v>
      </c>
      <c r="F1153" s="15">
        <f t="shared" si="1341"/>
        <v>45913.82014</v>
      </c>
      <c r="G1153" s="16">
        <v>4.486</v>
      </c>
    </row>
    <row r="1154">
      <c r="A1154" s="5" t="s">
        <v>13</v>
      </c>
      <c r="B1154" s="6" t="str">
        <f>IF(ISBLANK(A1154),"",VLOOKUP($A1154,'Data Feed (20C)'!$A$1:$G$14,2,FALSE))</f>
        <v>DKR250911RUSMUL_20C_sample_1</v>
      </c>
      <c r="C1154" s="6" t="str">
        <f>IF(ISBLANK(A1154),"",VLOOKUP($A1154,'Data Feed (20C)'!$A$1:$G$14,3,FALSE))</f>
        <v>Ruschia multiflora</v>
      </c>
      <c r="D1154" s="6" t="str">
        <f>IF(ISBLANK(A1154),"",VLOOKUP($A1154,'Data Feed (20C)'!$A$1:$G$14,4,FALSE))</f>
        <v>20C</v>
      </c>
      <c r="E1154" s="6">
        <f>IF(ISBLANK(A1154),"",VLOOKUP($A1154,'Data Feed (20C)'!$A$1:$G$14,7,FALSE))</f>
        <v>1</v>
      </c>
      <c r="F1154" s="7">
        <v>45913.822222222225</v>
      </c>
      <c r="G1154" s="8">
        <v>3.142</v>
      </c>
    </row>
    <row r="1155">
      <c r="A1155" s="9" t="str">
        <f t="shared" ref="A1155:A1159" si="1346">A1154</f>
        <v>RUSMUL</v>
      </c>
      <c r="B1155" s="9" t="str">
        <f>IF(ISBLANK(A1154),"",LEFT(B1154,27)&amp;VALUE(RIGHT(B1154,1)+1))</f>
        <v>DKR250911RUSMUL_20C_sample_2</v>
      </c>
      <c r="C1155" s="6" t="str">
        <f t="shared" ref="C1155:D1155" si="1345">C1154</f>
        <v>Ruschia multiflora</v>
      </c>
      <c r="D1155" s="6" t="str">
        <f t="shared" si="1345"/>
        <v>20C</v>
      </c>
      <c r="E1155" s="10">
        <f>IF(ISBLANK(A1154),"",E1154+1)</f>
        <v>2</v>
      </c>
      <c r="F1155" s="11">
        <f t="shared" ref="F1155:F1159" si="1348">F1154</f>
        <v>45913.82222</v>
      </c>
      <c r="G1155" s="8">
        <v>3.868</v>
      </c>
    </row>
    <row r="1156">
      <c r="A1156" s="9" t="str">
        <f t="shared" si="1346"/>
        <v>RUSMUL</v>
      </c>
      <c r="B1156" s="9" t="str">
        <f>IF(ISBLANK(A1154),"",LEFT(B1155,27)&amp;VALUE(RIGHT(B1155,1)+1))</f>
        <v>DKR250911RUSMUL_20C_sample_3</v>
      </c>
      <c r="C1156" s="6" t="str">
        <f t="shared" ref="C1156:D1156" si="1347">C1155</f>
        <v>Ruschia multiflora</v>
      </c>
      <c r="D1156" s="6" t="str">
        <f t="shared" si="1347"/>
        <v>20C</v>
      </c>
      <c r="E1156" s="10">
        <f>IF(ISBLANK(A1154),"",E1155+1)</f>
        <v>3</v>
      </c>
      <c r="F1156" s="11">
        <f t="shared" si="1348"/>
        <v>45913.82222</v>
      </c>
      <c r="G1156" s="8">
        <v>7.769</v>
      </c>
    </row>
    <row r="1157">
      <c r="A1157" s="9" t="str">
        <f t="shared" si="1346"/>
        <v>RUSMUL</v>
      </c>
      <c r="B1157" s="9" t="str">
        <f>IF(ISBLANK(A1154),"",LEFT(B1156,27)&amp;VALUE(RIGHT(B1156,1)+1))</f>
        <v>DKR250911RUSMUL_20C_sample_4</v>
      </c>
      <c r="C1157" s="6" t="str">
        <f t="shared" ref="C1157:D1157" si="1349">C1156</f>
        <v>Ruschia multiflora</v>
      </c>
      <c r="D1157" s="6" t="str">
        <f t="shared" si="1349"/>
        <v>20C</v>
      </c>
      <c r="E1157" s="10">
        <f>IF(ISBLANK(A1154),"",E1156+1)</f>
        <v>4</v>
      </c>
      <c r="F1157" s="11">
        <f t="shared" si="1348"/>
        <v>45913.82222</v>
      </c>
      <c r="G1157" s="8">
        <v>4.147</v>
      </c>
    </row>
    <row r="1158">
      <c r="A1158" s="9" t="str">
        <f t="shared" si="1346"/>
        <v>RUSMUL</v>
      </c>
      <c r="B1158" s="9" t="str">
        <f>IF(ISBLANK(A1154),"",LEFT(B1157,27)&amp;VALUE(RIGHT(B1157,1)+1))</f>
        <v>DKR250911RUSMUL_20C_sample_5</v>
      </c>
      <c r="C1158" s="6" t="str">
        <f t="shared" ref="C1158:D1158" si="1350">C1157</f>
        <v>Ruschia multiflora</v>
      </c>
      <c r="D1158" s="6" t="str">
        <f t="shared" si="1350"/>
        <v>20C</v>
      </c>
      <c r="E1158" s="10">
        <f>IF(ISBLANK(A1154),"",E1157+1)</f>
        <v>5</v>
      </c>
      <c r="F1158" s="11">
        <f t="shared" si="1348"/>
        <v>45913.82222</v>
      </c>
      <c r="G1158" s="8">
        <v>3.517</v>
      </c>
    </row>
    <row r="1159">
      <c r="A1159" s="12" t="str">
        <f t="shared" si="1346"/>
        <v>RUSMUL</v>
      </c>
      <c r="B1159" s="12" t="str">
        <f>IF(ISBLANK(A1154),"",LEFT(B1158,27)&amp;VALUE(RIGHT(B1158,1)+1))</f>
        <v>DKR250911RUSMUL_20C_sample_6</v>
      </c>
      <c r="C1159" s="13" t="str">
        <f t="shared" ref="C1159:D1159" si="1351">C1158</f>
        <v>Ruschia multiflora</v>
      </c>
      <c r="D1159" s="13" t="str">
        <f t="shared" si="1351"/>
        <v>20C</v>
      </c>
      <c r="E1159" s="14">
        <f>IF(ISBLANK(A1154),"",E1158+1)</f>
        <v>6</v>
      </c>
      <c r="F1159" s="15">
        <f t="shared" si="1348"/>
        <v>45913.82222</v>
      </c>
      <c r="G1159" s="16">
        <v>2.979</v>
      </c>
    </row>
    <row r="1160">
      <c r="A1160" s="5" t="s">
        <v>11</v>
      </c>
      <c r="B1160" s="6" t="str">
        <f>IF(ISBLANK(A1160),"",VLOOKUP($A1160,'Data Feed (20C)'!$A$1:$G$14,2,FALSE))</f>
        <v>DKF250911SELDOL_20C_sample_1</v>
      </c>
      <c r="C1160" s="6" t="str">
        <f>IF(ISBLANK(A1160),"",VLOOKUP($A1160,'Data Feed (20C)'!$A$1:$G$14,3,FALSE))</f>
        <v>Selago dolosa</v>
      </c>
      <c r="D1160" s="6" t="str">
        <f>IF(ISBLANK(A1160),"",VLOOKUP($A1160,'Data Feed (20C)'!$A$1:$G$14,4,FALSE))</f>
        <v>20C</v>
      </c>
      <c r="E1160" s="6">
        <f>IF(ISBLANK(A1160),"",VLOOKUP($A1160,'Data Feed (20C)'!$A$1:$G$14,7,FALSE))</f>
        <v>1</v>
      </c>
      <c r="F1160" s="7">
        <v>45913.82430555556</v>
      </c>
      <c r="G1160" s="8">
        <v>1.164</v>
      </c>
    </row>
    <row r="1161">
      <c r="A1161" s="9" t="str">
        <f t="shared" ref="A1161:A1165" si="1353">A1160</f>
        <v>SELDOL</v>
      </c>
      <c r="B1161" s="9" t="str">
        <f>IF(ISBLANK(A1160),"",LEFT(B1160,27)&amp;VALUE(RIGHT(B1160,1)+1))</f>
        <v>DKF250911SELDOL_20C_sample_2</v>
      </c>
      <c r="C1161" s="6" t="str">
        <f t="shared" ref="C1161:D1161" si="1352">C1160</f>
        <v>Selago dolosa</v>
      </c>
      <c r="D1161" s="6" t="str">
        <f t="shared" si="1352"/>
        <v>20C</v>
      </c>
      <c r="E1161" s="10">
        <f>IF(ISBLANK(A1160),"",E1160+1)</f>
        <v>2</v>
      </c>
      <c r="F1161" s="11">
        <f t="shared" ref="F1161:F1165" si="1355">F1160</f>
        <v>45913.82431</v>
      </c>
      <c r="G1161" s="8">
        <v>1.642</v>
      </c>
    </row>
    <row r="1162">
      <c r="A1162" s="9" t="str">
        <f t="shared" si="1353"/>
        <v>SELDOL</v>
      </c>
      <c r="B1162" s="9" t="str">
        <f>IF(ISBLANK(A1160),"",LEFT(B1161,27)&amp;VALUE(RIGHT(B1161,1)+1))</f>
        <v>DKF250911SELDOL_20C_sample_3</v>
      </c>
      <c r="C1162" s="6" t="str">
        <f t="shared" ref="C1162:D1162" si="1354">C1161</f>
        <v>Selago dolosa</v>
      </c>
      <c r="D1162" s="6" t="str">
        <f t="shared" si="1354"/>
        <v>20C</v>
      </c>
      <c r="E1162" s="10">
        <f>IF(ISBLANK(A1160),"",E1161+1)</f>
        <v>3</v>
      </c>
      <c r="F1162" s="11">
        <f t="shared" si="1355"/>
        <v>45913.82431</v>
      </c>
      <c r="G1162" s="8">
        <v>1.486</v>
      </c>
    </row>
    <row r="1163">
      <c r="A1163" s="9" t="str">
        <f t="shared" si="1353"/>
        <v>SELDOL</v>
      </c>
      <c r="B1163" s="9" t="str">
        <f>IF(ISBLANK(A1160),"",LEFT(B1162,27)&amp;VALUE(RIGHT(B1162,1)+1))</f>
        <v>DKF250911SELDOL_20C_sample_4</v>
      </c>
      <c r="C1163" s="6" t="str">
        <f t="shared" ref="C1163:D1163" si="1356">C1162</f>
        <v>Selago dolosa</v>
      </c>
      <c r="D1163" s="6" t="str">
        <f t="shared" si="1356"/>
        <v>20C</v>
      </c>
      <c r="E1163" s="10">
        <f>IF(ISBLANK(A1160),"",E1162+1)</f>
        <v>4</v>
      </c>
      <c r="F1163" s="11">
        <f t="shared" si="1355"/>
        <v>45913.82431</v>
      </c>
      <c r="G1163" s="8">
        <v>1.55</v>
      </c>
    </row>
    <row r="1164">
      <c r="A1164" s="9" t="str">
        <f t="shared" si="1353"/>
        <v>SELDOL</v>
      </c>
      <c r="B1164" s="9" t="str">
        <f>IF(ISBLANK(A1160),"",LEFT(B1163,27)&amp;VALUE(RIGHT(B1163,1)+1))</f>
        <v>DKF250911SELDOL_20C_sample_5</v>
      </c>
      <c r="C1164" s="6" t="str">
        <f t="shared" ref="C1164:D1164" si="1357">C1163</f>
        <v>Selago dolosa</v>
      </c>
      <c r="D1164" s="6" t="str">
        <f t="shared" si="1357"/>
        <v>20C</v>
      </c>
      <c r="E1164" s="10">
        <f>IF(ISBLANK(A1160),"",E1163+1)</f>
        <v>5</v>
      </c>
      <c r="F1164" s="11">
        <f t="shared" si="1355"/>
        <v>45913.82431</v>
      </c>
      <c r="G1164" s="8"/>
    </row>
    <row r="1165">
      <c r="A1165" s="12" t="str">
        <f t="shared" si="1353"/>
        <v>SELDOL</v>
      </c>
      <c r="B1165" s="12" t="str">
        <f>IF(ISBLANK(A1160),"",LEFT(B1164,27)&amp;VALUE(RIGHT(B1164,1)+1))</f>
        <v>DKF250911SELDOL_20C_sample_6</v>
      </c>
      <c r="C1165" s="13" t="str">
        <f t="shared" ref="C1165:D1165" si="1358">C1164</f>
        <v>Selago dolosa</v>
      </c>
      <c r="D1165" s="13" t="str">
        <f t="shared" si="1358"/>
        <v>20C</v>
      </c>
      <c r="E1165" s="14">
        <f>IF(ISBLANK(A1160),"",E1164+1)</f>
        <v>6</v>
      </c>
      <c r="F1165" s="15">
        <f t="shared" si="1355"/>
        <v>45913.82431</v>
      </c>
      <c r="G1165" s="16">
        <v>1.032</v>
      </c>
    </row>
    <row r="1166">
      <c r="A1166" s="5" t="s">
        <v>18</v>
      </c>
      <c r="B1166" s="6" t="str">
        <f>IF(ISBLANK(A1166),"",VLOOKUP($A1166,'Data Feed (20C)'!$A$1:$G$14,2,FALSE))</f>
        <v>DKR250911WAHNOD_20C_sample_1</v>
      </c>
      <c r="C1166" s="6" t="str">
        <f>IF(ISBLANK(A1166),"",VLOOKUP($A1166,'Data Feed (20C)'!$A$1:$G$14,3,FALSE))</f>
        <v>Wahlenbergia nodosa</v>
      </c>
      <c r="D1166" s="6" t="str">
        <f>IF(ISBLANK(A1166),"",VLOOKUP($A1166,'Data Feed (20C)'!$A$1:$G$14,4,FALSE))</f>
        <v>20C</v>
      </c>
      <c r="E1166" s="6">
        <f>IF(ISBLANK(A1166),"",VLOOKUP($A1166,'Data Feed (20C)'!$A$1:$G$14,7,FALSE))</f>
        <v>1</v>
      </c>
      <c r="F1166" s="7">
        <v>45913.825694444444</v>
      </c>
      <c r="G1166" s="8">
        <v>0.275</v>
      </c>
    </row>
    <row r="1167">
      <c r="A1167" s="9" t="str">
        <f t="shared" ref="A1167:A1171" si="1360">A1166</f>
        <v>WAHNOD</v>
      </c>
      <c r="B1167" s="9" t="str">
        <f>IF(ISBLANK(A1166),"",LEFT(B1166,27)&amp;VALUE(RIGHT(B1166,1)+1))</f>
        <v>DKR250911WAHNOD_20C_sample_2</v>
      </c>
      <c r="C1167" s="6" t="str">
        <f t="shared" ref="C1167:D1167" si="1359">C1166</f>
        <v>Wahlenbergia nodosa</v>
      </c>
      <c r="D1167" s="6" t="str">
        <f t="shared" si="1359"/>
        <v>20C</v>
      </c>
      <c r="E1167" s="10">
        <f>IF(ISBLANK(A1166),"",E1166+1)</f>
        <v>2</v>
      </c>
      <c r="F1167" s="11">
        <f t="shared" ref="F1167:F1171" si="1362">F1166</f>
        <v>45913.82569</v>
      </c>
      <c r="G1167" s="8">
        <v>0.165</v>
      </c>
    </row>
    <row r="1168">
      <c r="A1168" s="9" t="str">
        <f t="shared" si="1360"/>
        <v>WAHNOD</v>
      </c>
      <c r="B1168" s="9" t="str">
        <f>IF(ISBLANK(A1166),"",LEFT(B1167,27)&amp;VALUE(RIGHT(B1167,1)+1))</f>
        <v>DKR250911WAHNOD_20C_sample_3</v>
      </c>
      <c r="C1168" s="6" t="str">
        <f t="shared" ref="C1168:D1168" si="1361">C1167</f>
        <v>Wahlenbergia nodosa</v>
      </c>
      <c r="D1168" s="6" t="str">
        <f t="shared" si="1361"/>
        <v>20C</v>
      </c>
      <c r="E1168" s="10">
        <f>IF(ISBLANK(A1166),"",E1167+1)</f>
        <v>3</v>
      </c>
      <c r="F1168" s="11">
        <f t="shared" si="1362"/>
        <v>45913.82569</v>
      </c>
      <c r="G1168" s="8">
        <v>0.121</v>
      </c>
    </row>
    <row r="1169">
      <c r="A1169" s="9" t="str">
        <f t="shared" si="1360"/>
        <v>WAHNOD</v>
      </c>
      <c r="B1169" s="9" t="str">
        <f>IF(ISBLANK(A1166),"",LEFT(B1168,27)&amp;VALUE(RIGHT(B1168,1)+1))</f>
        <v>DKR250911WAHNOD_20C_sample_4</v>
      </c>
      <c r="C1169" s="6" t="str">
        <f t="shared" ref="C1169:D1169" si="1363">C1168</f>
        <v>Wahlenbergia nodosa</v>
      </c>
      <c r="D1169" s="6" t="str">
        <f t="shared" si="1363"/>
        <v>20C</v>
      </c>
      <c r="E1169" s="10">
        <f>IF(ISBLANK(A1166),"",E1168+1)</f>
        <v>4</v>
      </c>
      <c r="F1169" s="11">
        <f t="shared" si="1362"/>
        <v>45913.82569</v>
      </c>
      <c r="G1169" s="8">
        <v>0.623</v>
      </c>
    </row>
    <row r="1170">
      <c r="A1170" s="9" t="str">
        <f t="shared" si="1360"/>
        <v>WAHNOD</v>
      </c>
      <c r="B1170" s="9" t="str">
        <f>IF(ISBLANK(A1166),"",LEFT(B1169,27)&amp;VALUE(RIGHT(B1169,1)+1))</f>
        <v>DKR250911WAHNOD_20C_sample_5</v>
      </c>
      <c r="C1170" s="6" t="str">
        <f t="shared" ref="C1170:D1170" si="1364">C1169</f>
        <v>Wahlenbergia nodosa</v>
      </c>
      <c r="D1170" s="6" t="str">
        <f t="shared" si="1364"/>
        <v>20C</v>
      </c>
      <c r="E1170" s="10">
        <f>IF(ISBLANK(A1166),"",E1169+1)</f>
        <v>5</v>
      </c>
      <c r="F1170" s="11">
        <f t="shared" si="1362"/>
        <v>45913.82569</v>
      </c>
      <c r="G1170" s="8">
        <v>0.258</v>
      </c>
    </row>
    <row r="1171">
      <c r="A1171" s="12" t="str">
        <f t="shared" si="1360"/>
        <v>WAHNOD</v>
      </c>
      <c r="B1171" s="12" t="str">
        <f>IF(ISBLANK(A1166),"",LEFT(B1170,27)&amp;VALUE(RIGHT(B1170,1)+1))</f>
        <v>DKR250911WAHNOD_20C_sample_6</v>
      </c>
      <c r="C1171" s="13" t="str">
        <f t="shared" ref="C1171:D1171" si="1365">C1170</f>
        <v>Wahlenbergia nodosa</v>
      </c>
      <c r="D1171" s="13" t="str">
        <f t="shared" si="1365"/>
        <v>20C</v>
      </c>
      <c r="E1171" s="14">
        <f>IF(ISBLANK(A1166),"",E1170+1)</f>
        <v>6</v>
      </c>
      <c r="F1171" s="15">
        <f t="shared" si="1362"/>
        <v>45913.82569</v>
      </c>
      <c r="G1171" s="16">
        <v>0.352</v>
      </c>
    </row>
    <row r="1172">
      <c r="A1172" s="5" t="s">
        <v>12</v>
      </c>
      <c r="B1172" s="6" t="str">
        <f>IF(ISBLANK(A1172),"",VLOOKUP($A1172,'Data Feed (20C)'!$A$1:$G$14,2,FALSE))</f>
        <v>DKF250911AGACAP_20C_sample_1</v>
      </c>
      <c r="C1172" s="6" t="str">
        <f>IF(ISBLANK(A1172),"",VLOOKUP($A1172,'Data Feed (20C)'!$A$1:$G$14,3,FALSE))</f>
        <v>Agathosma capensis</v>
      </c>
      <c r="D1172" s="6" t="str">
        <f>IF(ISBLANK(A1172),"",VLOOKUP($A1172,'Data Feed (20C)'!$A$1:$G$14,4,FALSE))</f>
        <v>20C</v>
      </c>
      <c r="E1172" s="6">
        <f>IF(ISBLANK(A1172),"",VLOOKUP($A1172,'Data Feed (20C)'!$A$1:$G$14,7,FALSE))</f>
        <v>1</v>
      </c>
      <c r="F1172" s="7">
        <v>45913.94652777778</v>
      </c>
      <c r="G1172" s="8">
        <v>3.81</v>
      </c>
    </row>
    <row r="1173">
      <c r="A1173" s="9" t="str">
        <f t="shared" ref="A1173:A1177" si="1367">A1172</f>
        <v>AGACAP</v>
      </c>
      <c r="B1173" s="9" t="str">
        <f>IF(ISBLANK(A1172),"",LEFT(B1172,27)&amp;VALUE(RIGHT(B1172,1)+1))</f>
        <v>DKF250911AGACAP_20C_sample_2</v>
      </c>
      <c r="C1173" s="6" t="str">
        <f t="shared" ref="C1173:D1173" si="1366">C1172</f>
        <v>Agathosma capensis</v>
      </c>
      <c r="D1173" s="6" t="str">
        <f t="shared" si="1366"/>
        <v>20C</v>
      </c>
      <c r="E1173" s="10">
        <f>IF(ISBLANK(A1172),"",E1172+1)</f>
        <v>2</v>
      </c>
      <c r="F1173" s="11">
        <f t="shared" ref="F1173:F1177" si="1369">F1172</f>
        <v>45913.94653</v>
      </c>
      <c r="G1173" s="8">
        <v>1.349</v>
      </c>
    </row>
    <row r="1174">
      <c r="A1174" s="9" t="str">
        <f t="shared" si="1367"/>
        <v>AGACAP</v>
      </c>
      <c r="B1174" s="9" t="str">
        <f>IF(ISBLANK(A1172),"",LEFT(B1173,27)&amp;VALUE(RIGHT(B1173,1)+1))</f>
        <v>DKF250911AGACAP_20C_sample_3</v>
      </c>
      <c r="C1174" s="6" t="str">
        <f t="shared" ref="C1174:D1174" si="1368">C1173</f>
        <v>Agathosma capensis</v>
      </c>
      <c r="D1174" s="6" t="str">
        <f t="shared" si="1368"/>
        <v>20C</v>
      </c>
      <c r="E1174" s="10">
        <f>IF(ISBLANK(A1172),"",E1173+1)</f>
        <v>3</v>
      </c>
      <c r="F1174" s="11">
        <f t="shared" si="1369"/>
        <v>45913.94653</v>
      </c>
      <c r="G1174" s="8">
        <v>1.72</v>
      </c>
    </row>
    <row r="1175">
      <c r="A1175" s="9" t="str">
        <f t="shared" si="1367"/>
        <v>AGACAP</v>
      </c>
      <c r="B1175" s="9" t="str">
        <f>IF(ISBLANK(A1172),"",LEFT(B1174,27)&amp;VALUE(RIGHT(B1174,1)+1))</f>
        <v>DKF250911AGACAP_20C_sample_4</v>
      </c>
      <c r="C1175" s="6" t="str">
        <f t="shared" ref="C1175:D1175" si="1370">C1174</f>
        <v>Agathosma capensis</v>
      </c>
      <c r="D1175" s="6" t="str">
        <f t="shared" si="1370"/>
        <v>20C</v>
      </c>
      <c r="E1175" s="10">
        <f>IF(ISBLANK(A1172),"",E1174+1)</f>
        <v>4</v>
      </c>
      <c r="F1175" s="11">
        <f t="shared" si="1369"/>
        <v>45913.94653</v>
      </c>
      <c r="G1175" s="8">
        <v>1.273</v>
      </c>
    </row>
    <row r="1176">
      <c r="A1176" s="9" t="str">
        <f t="shared" si="1367"/>
        <v>AGACAP</v>
      </c>
      <c r="B1176" s="9" t="str">
        <f>IF(ISBLANK(A1172),"",LEFT(B1175,27)&amp;VALUE(RIGHT(B1175,1)+1))</f>
        <v>DKF250911AGACAP_20C_sample_5</v>
      </c>
      <c r="C1176" s="6" t="str">
        <f t="shared" ref="C1176:D1176" si="1371">C1175</f>
        <v>Agathosma capensis</v>
      </c>
      <c r="D1176" s="6" t="str">
        <f t="shared" si="1371"/>
        <v>20C</v>
      </c>
      <c r="E1176" s="10">
        <f>IF(ISBLANK(A1172),"",E1175+1)</f>
        <v>5</v>
      </c>
      <c r="F1176" s="11">
        <f t="shared" si="1369"/>
        <v>45913.94653</v>
      </c>
      <c r="G1176" s="8">
        <v>0.461</v>
      </c>
    </row>
    <row r="1177">
      <c r="A1177" s="12" t="str">
        <f t="shared" si="1367"/>
        <v>AGACAP</v>
      </c>
      <c r="B1177" s="12" t="str">
        <f>IF(ISBLANK(A1172),"",LEFT(B1176,27)&amp;VALUE(RIGHT(B1176,1)+1))</f>
        <v>DKF250911AGACAP_20C_sample_6</v>
      </c>
      <c r="C1177" s="13" t="str">
        <f t="shared" ref="C1177:D1177" si="1372">C1176</f>
        <v>Agathosma capensis</v>
      </c>
      <c r="D1177" s="13" t="str">
        <f t="shared" si="1372"/>
        <v>20C</v>
      </c>
      <c r="E1177" s="14">
        <f>IF(ISBLANK(A1172),"",E1176+1)</f>
        <v>6</v>
      </c>
      <c r="F1177" s="15">
        <f t="shared" si="1369"/>
        <v>45913.94653</v>
      </c>
      <c r="G1177" s="16">
        <v>1.366</v>
      </c>
    </row>
    <row r="1178">
      <c r="A1178" s="5" t="s">
        <v>14</v>
      </c>
      <c r="B1178" s="6" t="str">
        <f>IF(ISBLANK(A1178),"",VLOOKUP($A1178,'Data Feed (20C)'!$A$1:$G$14,2,FALSE))</f>
        <v>DKF250911ASPSHA_20C_sample_1</v>
      </c>
      <c r="C1178" s="6" t="str">
        <f>IF(ISBLANK(A1178),"",VLOOKUP($A1178,'Data Feed (20C)'!$A$1:$G$14,3,FALSE))</f>
        <v>Aspalathus shawii</v>
      </c>
      <c r="D1178" s="6" t="str">
        <f>IF(ISBLANK(A1178),"",VLOOKUP($A1178,'Data Feed (20C)'!$A$1:$G$14,4,FALSE))</f>
        <v>20C</v>
      </c>
      <c r="E1178" s="6">
        <f>IF(ISBLANK(A1178),"",VLOOKUP($A1178,'Data Feed (20C)'!$A$1:$G$14,7,FALSE))</f>
        <v>1</v>
      </c>
      <c r="F1178" s="7">
        <v>45913.947916666664</v>
      </c>
      <c r="G1178" s="8">
        <v>12.448</v>
      </c>
    </row>
    <row r="1179">
      <c r="A1179" s="9" t="str">
        <f t="shared" ref="A1179:A1183" si="1374">A1178</f>
        <v>ASPSHA</v>
      </c>
      <c r="B1179" s="9" t="str">
        <f>IF(ISBLANK(A1178),"",LEFT(B1178,27)&amp;VALUE(RIGHT(B1178,1)+1))</f>
        <v>DKF250911ASPSHA_20C_sample_2</v>
      </c>
      <c r="C1179" s="6" t="str">
        <f t="shared" ref="C1179:D1179" si="1373">C1178</f>
        <v>Aspalathus shawii</v>
      </c>
      <c r="D1179" s="6" t="str">
        <f t="shared" si="1373"/>
        <v>20C</v>
      </c>
      <c r="E1179" s="10">
        <f>IF(ISBLANK(A1178),"",E1178+1)</f>
        <v>2</v>
      </c>
      <c r="F1179" s="11">
        <f t="shared" ref="F1179:F1183" si="1376">F1178</f>
        <v>45913.94792</v>
      </c>
      <c r="G1179" s="8">
        <v>8.466</v>
      </c>
    </row>
    <row r="1180">
      <c r="A1180" s="9" t="str">
        <f t="shared" si="1374"/>
        <v>ASPSHA</v>
      </c>
      <c r="B1180" s="9" t="str">
        <f>IF(ISBLANK(A1178),"",LEFT(B1179,27)&amp;VALUE(RIGHT(B1179,1)+1))</f>
        <v>DKF250911ASPSHA_20C_sample_3</v>
      </c>
      <c r="C1180" s="6" t="str">
        <f t="shared" ref="C1180:D1180" si="1375">C1179</f>
        <v>Aspalathus shawii</v>
      </c>
      <c r="D1180" s="6" t="str">
        <f t="shared" si="1375"/>
        <v>20C</v>
      </c>
      <c r="E1180" s="10">
        <f>IF(ISBLANK(A1178),"",E1179+1)</f>
        <v>3</v>
      </c>
      <c r="F1180" s="11">
        <f t="shared" si="1376"/>
        <v>45913.94792</v>
      </c>
      <c r="G1180" s="8">
        <v>4.862</v>
      </c>
    </row>
    <row r="1181">
      <c r="A1181" s="9" t="str">
        <f t="shared" si="1374"/>
        <v>ASPSHA</v>
      </c>
      <c r="B1181" s="9" t="str">
        <f>IF(ISBLANK(A1178),"",LEFT(B1180,27)&amp;VALUE(RIGHT(B1180,1)+1))</f>
        <v>DKF250911ASPSHA_20C_sample_4</v>
      </c>
      <c r="C1181" s="6" t="str">
        <f t="shared" ref="C1181:D1181" si="1377">C1180</f>
        <v>Aspalathus shawii</v>
      </c>
      <c r="D1181" s="6" t="str">
        <f t="shared" si="1377"/>
        <v>20C</v>
      </c>
      <c r="E1181" s="10">
        <f>IF(ISBLANK(A1178),"",E1180+1)</f>
        <v>4</v>
      </c>
      <c r="F1181" s="11">
        <f t="shared" si="1376"/>
        <v>45913.94792</v>
      </c>
      <c r="G1181" s="8">
        <v>11.802</v>
      </c>
    </row>
    <row r="1182">
      <c r="A1182" s="9" t="str">
        <f t="shared" si="1374"/>
        <v>ASPSHA</v>
      </c>
      <c r="B1182" s="9" t="str">
        <f>IF(ISBLANK(A1178),"",LEFT(B1181,27)&amp;VALUE(RIGHT(B1181,1)+1))</f>
        <v>DKF250911ASPSHA_20C_sample_5</v>
      </c>
      <c r="C1182" s="6" t="str">
        <f t="shared" ref="C1182:D1182" si="1378">C1181</f>
        <v>Aspalathus shawii</v>
      </c>
      <c r="D1182" s="6" t="str">
        <f t="shared" si="1378"/>
        <v>20C</v>
      </c>
      <c r="E1182" s="10">
        <f>IF(ISBLANK(A1178),"",E1181+1)</f>
        <v>5</v>
      </c>
      <c r="F1182" s="11">
        <f t="shared" si="1376"/>
        <v>45913.94792</v>
      </c>
      <c r="G1182" s="8">
        <v>3.385</v>
      </c>
    </row>
    <row r="1183">
      <c r="A1183" s="12" t="str">
        <f t="shared" si="1374"/>
        <v>ASPSHA</v>
      </c>
      <c r="B1183" s="12" t="str">
        <f>IF(ISBLANK(A1178),"",LEFT(B1182,27)&amp;VALUE(RIGHT(B1182,1)+1))</f>
        <v>DKF250911ASPSHA_20C_sample_6</v>
      </c>
      <c r="C1183" s="13" t="str">
        <f t="shared" ref="C1183:D1183" si="1379">C1182</f>
        <v>Aspalathus shawii</v>
      </c>
      <c r="D1183" s="13" t="str">
        <f t="shared" si="1379"/>
        <v>20C</v>
      </c>
      <c r="E1183" s="14">
        <f>IF(ISBLANK(A1178),"",E1182+1)</f>
        <v>6</v>
      </c>
      <c r="F1183" s="15">
        <f t="shared" si="1376"/>
        <v>45913.94792</v>
      </c>
      <c r="G1183" s="16">
        <v>9.938</v>
      </c>
    </row>
    <row r="1184">
      <c r="A1184" s="5" t="s">
        <v>19</v>
      </c>
      <c r="B1184" s="6" t="str">
        <f>IF(ISBLANK(A1184),"",VLOOKUP($A1184,'Data Feed (20C)'!$A$1:$G$14,2,FALSE))</f>
        <v>DKR250911CLURUB_20C_sample_1</v>
      </c>
      <c r="C1184" s="6" t="str">
        <f>IF(ISBLANK(A1184),"",VLOOKUP($A1184,'Data Feed (20C)'!$A$1:$G$14,3,FALSE))</f>
        <v>Clutia rubricaulis</v>
      </c>
      <c r="D1184" s="6" t="str">
        <f>IF(ISBLANK(A1184),"",VLOOKUP($A1184,'Data Feed (20C)'!$A$1:$G$14,4,FALSE))</f>
        <v>20C</v>
      </c>
      <c r="E1184" s="6">
        <f>IF(ISBLANK(A1184),"",VLOOKUP($A1184,'Data Feed (20C)'!$A$1:$G$14,7,FALSE))</f>
        <v>1</v>
      </c>
      <c r="F1184" s="7">
        <v>45913.94930555556</v>
      </c>
      <c r="G1184" s="8">
        <v>0.353</v>
      </c>
    </row>
    <row r="1185">
      <c r="A1185" s="9" t="str">
        <f t="shared" ref="A1185:A1189" si="1381">A1184</f>
        <v>CLURUB</v>
      </c>
      <c r="B1185" s="9" t="str">
        <f>IF(ISBLANK(A1184),"",LEFT(B1184,27)&amp;VALUE(RIGHT(B1184,1)+1))</f>
        <v>DKR250911CLURUB_20C_sample_2</v>
      </c>
      <c r="C1185" s="6" t="str">
        <f t="shared" ref="C1185:D1185" si="1380">C1184</f>
        <v>Clutia rubricaulis</v>
      </c>
      <c r="D1185" s="6" t="str">
        <f t="shared" si="1380"/>
        <v>20C</v>
      </c>
      <c r="E1185" s="10">
        <f>IF(ISBLANK(A1184),"",E1184+1)</f>
        <v>2</v>
      </c>
      <c r="F1185" s="11">
        <f t="shared" ref="F1185:F1189" si="1383">F1184</f>
        <v>45913.94931</v>
      </c>
      <c r="G1185" s="8">
        <v>0.272</v>
      </c>
    </row>
    <row r="1186">
      <c r="A1186" s="9" t="str">
        <f t="shared" si="1381"/>
        <v>CLURUB</v>
      </c>
      <c r="B1186" s="9" t="str">
        <f>IF(ISBLANK(A1184),"",LEFT(B1185,27)&amp;VALUE(RIGHT(B1185,1)+1))</f>
        <v>DKR250911CLURUB_20C_sample_3</v>
      </c>
      <c r="C1186" s="6" t="str">
        <f t="shared" ref="C1186:D1186" si="1382">C1185</f>
        <v>Clutia rubricaulis</v>
      </c>
      <c r="D1186" s="6" t="str">
        <f t="shared" si="1382"/>
        <v>20C</v>
      </c>
      <c r="E1186" s="10">
        <f>IF(ISBLANK(A1184),"",E1185+1)</f>
        <v>3</v>
      </c>
      <c r="F1186" s="11">
        <f t="shared" si="1383"/>
        <v>45913.94931</v>
      </c>
      <c r="G1186" s="8">
        <v>0.355</v>
      </c>
    </row>
    <row r="1187">
      <c r="A1187" s="9" t="str">
        <f t="shared" si="1381"/>
        <v>CLURUB</v>
      </c>
      <c r="B1187" s="9" t="str">
        <f>IF(ISBLANK(A1184),"",LEFT(B1186,27)&amp;VALUE(RIGHT(B1186,1)+1))</f>
        <v>DKR250911CLURUB_20C_sample_4</v>
      </c>
      <c r="C1187" s="6" t="str">
        <f t="shared" ref="C1187:D1187" si="1384">C1186</f>
        <v>Clutia rubricaulis</v>
      </c>
      <c r="D1187" s="6" t="str">
        <f t="shared" si="1384"/>
        <v>20C</v>
      </c>
      <c r="E1187" s="10">
        <f>IF(ISBLANK(A1184),"",E1186+1)</f>
        <v>4</v>
      </c>
      <c r="F1187" s="11">
        <f t="shared" si="1383"/>
        <v>45913.94931</v>
      </c>
      <c r="G1187" s="8">
        <v>0.175</v>
      </c>
    </row>
    <row r="1188">
      <c r="A1188" s="9" t="str">
        <f t="shared" si="1381"/>
        <v>CLURUB</v>
      </c>
      <c r="B1188" s="9" t="str">
        <f>IF(ISBLANK(A1184),"",LEFT(B1187,27)&amp;VALUE(RIGHT(B1187,1)+1))</f>
        <v>DKR250911CLURUB_20C_sample_5</v>
      </c>
      <c r="C1188" s="6" t="str">
        <f t="shared" ref="C1188:D1188" si="1385">C1187</f>
        <v>Clutia rubricaulis</v>
      </c>
      <c r="D1188" s="6" t="str">
        <f t="shared" si="1385"/>
        <v>20C</v>
      </c>
      <c r="E1188" s="10">
        <f>IF(ISBLANK(A1184),"",E1187+1)</f>
        <v>5</v>
      </c>
      <c r="F1188" s="11">
        <f t="shared" si="1383"/>
        <v>45913.94931</v>
      </c>
      <c r="G1188" s="8">
        <v>0.342</v>
      </c>
    </row>
    <row r="1189">
      <c r="A1189" s="12" t="str">
        <f t="shared" si="1381"/>
        <v>CLURUB</v>
      </c>
      <c r="B1189" s="12" t="str">
        <f>IF(ISBLANK(A1184),"",LEFT(B1188,27)&amp;VALUE(RIGHT(B1188,1)+1))</f>
        <v>DKR250911CLURUB_20C_sample_6</v>
      </c>
      <c r="C1189" s="13" t="str">
        <f t="shared" ref="C1189:D1189" si="1386">C1188</f>
        <v>Clutia rubricaulis</v>
      </c>
      <c r="D1189" s="13" t="str">
        <f t="shared" si="1386"/>
        <v>20C</v>
      </c>
      <c r="E1189" s="14">
        <f>IF(ISBLANK(A1184),"",E1188+1)</f>
        <v>6</v>
      </c>
      <c r="F1189" s="15">
        <f t="shared" si="1383"/>
        <v>45913.94931</v>
      </c>
      <c r="G1189" s="16">
        <v>0.276</v>
      </c>
    </row>
    <row r="1190">
      <c r="A1190" s="5" t="s">
        <v>15</v>
      </c>
      <c r="B1190" s="6" t="str">
        <f>IF(ISBLANK(A1190),"",VLOOKUP($A1190,'Data Feed (20C)'!$A$1:$G$14,2,FALSE))</f>
        <v>DKR250911ELYRHI_20C_sample_1</v>
      </c>
      <c r="C1190" s="6" t="str">
        <f>IF(ISBLANK(A1190),"",VLOOKUP($A1190,'Data Feed (20C)'!$A$1:$G$14,3,FALSE))</f>
        <v>Elytropappus rhinocerotis</v>
      </c>
      <c r="D1190" s="6" t="str">
        <f>IF(ISBLANK(A1190),"",VLOOKUP($A1190,'Data Feed (20C)'!$A$1:$G$14,4,FALSE))</f>
        <v>20C</v>
      </c>
      <c r="E1190" s="6">
        <f>IF(ISBLANK(A1190),"",VLOOKUP($A1190,'Data Feed (20C)'!$A$1:$G$14,7,FALSE))</f>
        <v>1</v>
      </c>
      <c r="F1190" s="7">
        <v>45913.950694444444</v>
      </c>
      <c r="G1190" s="8">
        <v>2.894</v>
      </c>
    </row>
    <row r="1191">
      <c r="A1191" s="9" t="str">
        <f t="shared" ref="A1191:A1195" si="1388">A1190</f>
        <v>ELYRHI</v>
      </c>
      <c r="B1191" s="9" t="str">
        <f>IF(ISBLANK(A1190),"",LEFT(B1190,27)&amp;VALUE(RIGHT(B1190,1)+1))</f>
        <v>DKR250911ELYRHI_20C_sample_2</v>
      </c>
      <c r="C1191" s="6" t="str">
        <f t="shared" ref="C1191:D1191" si="1387">C1190</f>
        <v>Elytropappus rhinocerotis</v>
      </c>
      <c r="D1191" s="6" t="str">
        <f t="shared" si="1387"/>
        <v>20C</v>
      </c>
      <c r="E1191" s="10">
        <f>IF(ISBLANK(A1190),"",E1190+1)</f>
        <v>2</v>
      </c>
      <c r="F1191" s="11">
        <f t="shared" ref="F1191:F1195" si="1390">F1190</f>
        <v>45913.95069</v>
      </c>
      <c r="G1191" s="8">
        <v>3.15</v>
      </c>
    </row>
    <row r="1192">
      <c r="A1192" s="9" t="str">
        <f t="shared" si="1388"/>
        <v>ELYRHI</v>
      </c>
      <c r="B1192" s="9" t="str">
        <f>IF(ISBLANK(A1190),"",LEFT(B1191,27)&amp;VALUE(RIGHT(B1191,1)+1))</f>
        <v>DKR250911ELYRHI_20C_sample_3</v>
      </c>
      <c r="C1192" s="6" t="str">
        <f t="shared" ref="C1192:D1192" si="1389">C1191</f>
        <v>Elytropappus rhinocerotis</v>
      </c>
      <c r="D1192" s="6" t="str">
        <f t="shared" si="1389"/>
        <v>20C</v>
      </c>
      <c r="E1192" s="10">
        <f>IF(ISBLANK(A1190),"",E1191+1)</f>
        <v>3</v>
      </c>
      <c r="F1192" s="11">
        <f t="shared" si="1390"/>
        <v>45913.95069</v>
      </c>
      <c r="G1192" s="8">
        <v>5.425</v>
      </c>
    </row>
    <row r="1193">
      <c r="A1193" s="9" t="str">
        <f t="shared" si="1388"/>
        <v>ELYRHI</v>
      </c>
      <c r="B1193" s="9" t="str">
        <f>IF(ISBLANK(A1190),"",LEFT(B1192,27)&amp;VALUE(RIGHT(B1192,1)+1))</f>
        <v>DKR250911ELYRHI_20C_sample_4</v>
      </c>
      <c r="C1193" s="6" t="str">
        <f t="shared" ref="C1193:D1193" si="1391">C1192</f>
        <v>Elytropappus rhinocerotis</v>
      </c>
      <c r="D1193" s="6" t="str">
        <f t="shared" si="1391"/>
        <v>20C</v>
      </c>
      <c r="E1193" s="10">
        <f>IF(ISBLANK(A1190),"",E1192+1)</f>
        <v>4</v>
      </c>
      <c r="F1193" s="11">
        <f t="shared" si="1390"/>
        <v>45913.95069</v>
      </c>
      <c r="G1193" s="8">
        <v>3.145</v>
      </c>
    </row>
    <row r="1194">
      <c r="A1194" s="9" t="str">
        <f t="shared" si="1388"/>
        <v>ELYRHI</v>
      </c>
      <c r="B1194" s="9" t="str">
        <f>IF(ISBLANK(A1190),"",LEFT(B1193,27)&amp;VALUE(RIGHT(B1193,1)+1))</f>
        <v>DKR250911ELYRHI_20C_sample_5</v>
      </c>
      <c r="C1194" s="6" t="str">
        <f t="shared" ref="C1194:D1194" si="1392">C1193</f>
        <v>Elytropappus rhinocerotis</v>
      </c>
      <c r="D1194" s="6" t="str">
        <f t="shared" si="1392"/>
        <v>20C</v>
      </c>
      <c r="E1194" s="10">
        <f>IF(ISBLANK(A1190),"",E1193+1)</f>
        <v>5</v>
      </c>
      <c r="F1194" s="11">
        <f t="shared" si="1390"/>
        <v>45913.95069</v>
      </c>
      <c r="G1194" s="8">
        <v>2.045</v>
      </c>
    </row>
    <row r="1195">
      <c r="A1195" s="12" t="str">
        <f t="shared" si="1388"/>
        <v>ELYRHI</v>
      </c>
      <c r="B1195" s="12" t="str">
        <f>IF(ISBLANK(A1190),"",LEFT(B1194,27)&amp;VALUE(RIGHT(B1194,1)+1))</f>
        <v>DKR250911ELYRHI_20C_sample_6</v>
      </c>
      <c r="C1195" s="13" t="str">
        <f t="shared" ref="C1195:D1195" si="1393">C1194</f>
        <v>Elytropappus rhinocerotis</v>
      </c>
      <c r="D1195" s="13" t="str">
        <f t="shared" si="1393"/>
        <v>20C</v>
      </c>
      <c r="E1195" s="14">
        <f>IF(ISBLANK(A1190),"",E1194+1)</f>
        <v>6</v>
      </c>
      <c r="F1195" s="15">
        <f t="shared" si="1390"/>
        <v>45913.95069</v>
      </c>
      <c r="G1195" s="16">
        <v>1.666</v>
      </c>
    </row>
    <row r="1196">
      <c r="A1196" s="5" t="s">
        <v>10</v>
      </c>
      <c r="B1196" s="6" t="str">
        <f>IF(ISBLANK(A1196),"",VLOOKUP($A1196,'Data Feed (20C)'!$A$1:$G$14,2,FALSE))</f>
        <v>DKF250911LOBDEC_20C_sample_1</v>
      </c>
      <c r="C1196" s="6" t="str">
        <f>IF(ISBLANK(A1196),"",VLOOKUP($A1196,'Data Feed (20C)'!$A$1:$G$14,3,FALSE))</f>
        <v>Lobostemon decorus</v>
      </c>
      <c r="D1196" s="6" t="str">
        <f>IF(ISBLANK(A1196),"",VLOOKUP($A1196,'Data Feed (20C)'!$A$1:$G$14,4,FALSE))</f>
        <v>20C</v>
      </c>
      <c r="E1196" s="6">
        <f>IF(ISBLANK(A1196),"",VLOOKUP($A1196,'Data Feed (20C)'!$A$1:$G$14,7,FALSE))</f>
        <v>1</v>
      </c>
      <c r="F1196" s="7">
        <v>45913.95138888889</v>
      </c>
      <c r="G1196" s="8">
        <v>5.175</v>
      </c>
    </row>
    <row r="1197">
      <c r="A1197" s="9" t="str">
        <f t="shared" ref="A1197:A1201" si="1395">A1196</f>
        <v>LOBDEC</v>
      </c>
      <c r="B1197" s="9" t="str">
        <f>IF(ISBLANK(A1196),"",LEFT(B1196,27)&amp;VALUE(RIGHT(B1196,1)+1))</f>
        <v>DKF250911LOBDEC_20C_sample_2</v>
      </c>
      <c r="C1197" s="6" t="str">
        <f t="shared" ref="C1197:D1197" si="1394">C1196</f>
        <v>Lobostemon decorus</v>
      </c>
      <c r="D1197" s="6" t="str">
        <f t="shared" si="1394"/>
        <v>20C</v>
      </c>
      <c r="E1197" s="10">
        <f>IF(ISBLANK(A1196),"",E1196+1)</f>
        <v>2</v>
      </c>
      <c r="F1197" s="11">
        <f t="shared" ref="F1197:F1201" si="1397">F1196</f>
        <v>45913.95139</v>
      </c>
      <c r="G1197" s="8">
        <v>4.583</v>
      </c>
    </row>
    <row r="1198">
      <c r="A1198" s="9" t="str">
        <f t="shared" si="1395"/>
        <v>LOBDEC</v>
      </c>
      <c r="B1198" s="9" t="str">
        <f>IF(ISBLANK(A1196),"",LEFT(B1197,27)&amp;VALUE(RIGHT(B1197,1)+1))</f>
        <v>DKF250911LOBDEC_20C_sample_3</v>
      </c>
      <c r="C1198" s="6" t="str">
        <f t="shared" ref="C1198:D1198" si="1396">C1197</f>
        <v>Lobostemon decorus</v>
      </c>
      <c r="D1198" s="6" t="str">
        <f t="shared" si="1396"/>
        <v>20C</v>
      </c>
      <c r="E1198" s="10">
        <f>IF(ISBLANK(A1196),"",E1197+1)</f>
        <v>3</v>
      </c>
      <c r="F1198" s="11">
        <f t="shared" si="1397"/>
        <v>45913.95139</v>
      </c>
      <c r="G1198" s="8">
        <v>7.021</v>
      </c>
    </row>
    <row r="1199">
      <c r="A1199" s="9" t="str">
        <f t="shared" si="1395"/>
        <v>LOBDEC</v>
      </c>
      <c r="B1199" s="9" t="str">
        <f>IF(ISBLANK(A1196),"",LEFT(B1198,27)&amp;VALUE(RIGHT(B1198,1)+1))</f>
        <v>DKF250911LOBDEC_20C_sample_4</v>
      </c>
      <c r="C1199" s="6" t="str">
        <f t="shared" ref="C1199:D1199" si="1398">C1198</f>
        <v>Lobostemon decorus</v>
      </c>
      <c r="D1199" s="6" t="str">
        <f t="shared" si="1398"/>
        <v>20C</v>
      </c>
      <c r="E1199" s="10">
        <f>IF(ISBLANK(A1196),"",E1198+1)</f>
        <v>4</v>
      </c>
      <c r="F1199" s="11">
        <f t="shared" si="1397"/>
        <v>45913.95139</v>
      </c>
      <c r="G1199" s="8">
        <v>4.567</v>
      </c>
    </row>
    <row r="1200">
      <c r="A1200" s="9" t="str">
        <f t="shared" si="1395"/>
        <v>LOBDEC</v>
      </c>
      <c r="B1200" s="9" t="str">
        <f>IF(ISBLANK(A1196),"",LEFT(B1199,27)&amp;VALUE(RIGHT(B1199,1)+1))</f>
        <v>DKF250911LOBDEC_20C_sample_5</v>
      </c>
      <c r="C1200" s="6" t="str">
        <f t="shared" ref="C1200:D1200" si="1399">C1199</f>
        <v>Lobostemon decorus</v>
      </c>
      <c r="D1200" s="6" t="str">
        <f t="shared" si="1399"/>
        <v>20C</v>
      </c>
      <c r="E1200" s="10">
        <f>IF(ISBLANK(A1196),"",E1199+1)</f>
        <v>5</v>
      </c>
      <c r="F1200" s="11">
        <f t="shared" si="1397"/>
        <v>45913.95139</v>
      </c>
      <c r="G1200" s="8">
        <v>3.312</v>
      </c>
    </row>
    <row r="1201">
      <c r="A1201" s="12" t="str">
        <f t="shared" si="1395"/>
        <v>LOBDEC</v>
      </c>
      <c r="B1201" s="12" t="str">
        <f>IF(ISBLANK(A1196),"",LEFT(B1200,27)&amp;VALUE(RIGHT(B1200,1)+1))</f>
        <v>DKF250911LOBDEC_20C_sample_6</v>
      </c>
      <c r="C1201" s="13" t="str">
        <f t="shared" ref="C1201:D1201" si="1400">C1200</f>
        <v>Lobostemon decorus</v>
      </c>
      <c r="D1201" s="13" t="str">
        <f t="shared" si="1400"/>
        <v>20C</v>
      </c>
      <c r="E1201" s="14">
        <f>IF(ISBLANK(A1196),"",E1200+1)</f>
        <v>6</v>
      </c>
      <c r="F1201" s="15">
        <f t="shared" si="1397"/>
        <v>45913.95139</v>
      </c>
      <c r="G1201" s="16">
        <v>2.868</v>
      </c>
    </row>
    <row r="1202">
      <c r="A1202" s="5" t="s">
        <v>16</v>
      </c>
      <c r="B1202" s="6" t="str">
        <f>IF(ISBLANK(A1202),"",VLOOKUP($A1202,'Data Feed (20C)'!$A$1:$G$14,2,FALSE))</f>
        <v>DKR250911MICPOL_20C_sample_1</v>
      </c>
      <c r="C1202" s="6" t="str">
        <f>IF(ISBLANK(A1202),"",VLOOKUP($A1202,'Data Feed (20C)'!$A$1:$G$14,3,FALSE))</f>
        <v>Microdon polygaloides</v>
      </c>
      <c r="D1202" s="6" t="str">
        <f>IF(ISBLANK(A1202),"",VLOOKUP($A1202,'Data Feed (20C)'!$A$1:$G$14,4,FALSE))</f>
        <v>20C</v>
      </c>
      <c r="E1202" s="6">
        <f>IF(ISBLANK(A1202),"",VLOOKUP($A1202,'Data Feed (20C)'!$A$1:$G$14,7,FALSE))</f>
        <v>1</v>
      </c>
      <c r="F1202" s="7">
        <v>45913.95277777778</v>
      </c>
      <c r="G1202" s="8">
        <v>1.212</v>
      </c>
    </row>
    <row r="1203">
      <c r="A1203" s="9" t="str">
        <f t="shared" ref="A1203:A1207" si="1402">A1202</f>
        <v>MICPOL</v>
      </c>
      <c r="B1203" s="9" t="str">
        <f>IF(ISBLANK(A1202),"",LEFT(B1202,27)&amp;VALUE(RIGHT(B1202,1)+1))</f>
        <v>DKR250911MICPOL_20C_sample_2</v>
      </c>
      <c r="C1203" s="6" t="str">
        <f t="shared" ref="C1203:D1203" si="1401">C1202</f>
        <v>Microdon polygaloides</v>
      </c>
      <c r="D1203" s="6" t="str">
        <f t="shared" si="1401"/>
        <v>20C</v>
      </c>
      <c r="E1203" s="10">
        <f>IF(ISBLANK(A1202),"",E1202+1)</f>
        <v>2</v>
      </c>
      <c r="F1203" s="11">
        <f t="shared" ref="F1203:F1207" si="1404">F1202</f>
        <v>45913.95278</v>
      </c>
      <c r="G1203" s="8">
        <v>0.776</v>
      </c>
    </row>
    <row r="1204">
      <c r="A1204" s="9" t="str">
        <f t="shared" si="1402"/>
        <v>MICPOL</v>
      </c>
      <c r="B1204" s="9" t="str">
        <f>IF(ISBLANK(A1202),"",LEFT(B1203,27)&amp;VALUE(RIGHT(B1203,1)+1))</f>
        <v>DKR250911MICPOL_20C_sample_3</v>
      </c>
      <c r="C1204" s="6" t="str">
        <f t="shared" ref="C1204:D1204" si="1403">C1203</f>
        <v>Microdon polygaloides</v>
      </c>
      <c r="D1204" s="6" t="str">
        <f t="shared" si="1403"/>
        <v>20C</v>
      </c>
      <c r="E1204" s="10">
        <f>IF(ISBLANK(A1202),"",E1203+1)</f>
        <v>3</v>
      </c>
      <c r="F1204" s="11">
        <f t="shared" si="1404"/>
        <v>45913.95278</v>
      </c>
      <c r="G1204" s="8">
        <v>0.319</v>
      </c>
    </row>
    <row r="1205">
      <c r="A1205" s="9" t="str">
        <f t="shared" si="1402"/>
        <v>MICPOL</v>
      </c>
      <c r="B1205" s="9" t="str">
        <f>IF(ISBLANK(A1202),"",LEFT(B1204,27)&amp;VALUE(RIGHT(B1204,1)+1))</f>
        <v>DKR250911MICPOL_20C_sample_4</v>
      </c>
      <c r="C1205" s="6" t="str">
        <f t="shared" ref="C1205:D1205" si="1405">C1204</f>
        <v>Microdon polygaloides</v>
      </c>
      <c r="D1205" s="6" t="str">
        <f t="shared" si="1405"/>
        <v>20C</v>
      </c>
      <c r="E1205" s="10">
        <f>IF(ISBLANK(A1202),"",E1204+1)</f>
        <v>4</v>
      </c>
      <c r="F1205" s="11">
        <f t="shared" si="1404"/>
        <v>45913.95278</v>
      </c>
      <c r="G1205" s="8">
        <v>0.153</v>
      </c>
    </row>
    <row r="1206">
      <c r="A1206" s="9" t="str">
        <f t="shared" si="1402"/>
        <v>MICPOL</v>
      </c>
      <c r="B1206" s="9" t="str">
        <f>IF(ISBLANK(A1202),"",LEFT(B1205,27)&amp;VALUE(RIGHT(B1205,1)+1))</f>
        <v>DKR250911MICPOL_20C_sample_5</v>
      </c>
      <c r="C1206" s="6" t="str">
        <f t="shared" ref="C1206:D1206" si="1406">C1205</f>
        <v>Microdon polygaloides</v>
      </c>
      <c r="D1206" s="6" t="str">
        <f t="shared" si="1406"/>
        <v>20C</v>
      </c>
      <c r="E1206" s="10">
        <f>IF(ISBLANK(A1202),"",E1205+1)</f>
        <v>5</v>
      </c>
      <c r="F1206" s="11">
        <f t="shared" si="1404"/>
        <v>45913.95278</v>
      </c>
      <c r="G1206" s="8">
        <v>0.251</v>
      </c>
    </row>
    <row r="1207">
      <c r="A1207" s="12" t="str">
        <f t="shared" si="1402"/>
        <v>MICPOL</v>
      </c>
      <c r="B1207" s="12" t="str">
        <f>IF(ISBLANK(A1202),"",LEFT(B1206,27)&amp;VALUE(RIGHT(B1206,1)+1))</f>
        <v>DKR250911MICPOL_20C_sample_6</v>
      </c>
      <c r="C1207" s="13" t="str">
        <f t="shared" ref="C1207:D1207" si="1407">C1206</f>
        <v>Microdon polygaloides</v>
      </c>
      <c r="D1207" s="13" t="str">
        <f t="shared" si="1407"/>
        <v>20C</v>
      </c>
      <c r="E1207" s="14">
        <f>IF(ISBLANK(A1202),"",E1206+1)</f>
        <v>6</v>
      </c>
      <c r="F1207" s="15">
        <f t="shared" si="1404"/>
        <v>45913.95278</v>
      </c>
      <c r="G1207" s="16">
        <v>0.196</v>
      </c>
    </row>
    <row r="1208">
      <c r="A1208" s="5" t="s">
        <v>17</v>
      </c>
      <c r="B1208" s="6" t="str">
        <f>IF(ISBLANK(A1208),"",VLOOKUP($A1208,'Data Feed (20C)'!$A$1:$G$14,2,FALSE))</f>
        <v>DKR250911OEDSQU_20C_sample_1</v>
      </c>
      <c r="C1208" s="6" t="str">
        <f>IF(ISBLANK(A1208),"",VLOOKUP($A1208,'Data Feed (20C)'!$A$1:$G$14,3,FALSE))</f>
        <v>Oedera squarrosa</v>
      </c>
      <c r="D1208" s="6" t="str">
        <f>IF(ISBLANK(A1208),"",VLOOKUP($A1208,'Data Feed (20C)'!$A$1:$G$14,4,FALSE))</f>
        <v>20C</v>
      </c>
      <c r="E1208" s="6">
        <f>IF(ISBLANK(A1208),"",VLOOKUP($A1208,'Data Feed (20C)'!$A$1:$G$14,7,FALSE))</f>
        <v>1</v>
      </c>
      <c r="F1208" s="7">
        <v>45913.95416666667</v>
      </c>
      <c r="G1208" s="8">
        <v>1.005</v>
      </c>
    </row>
    <row r="1209">
      <c r="A1209" s="9" t="str">
        <f t="shared" ref="A1209:A1213" si="1409">A1208</f>
        <v>OEDSQU</v>
      </c>
      <c r="B1209" s="9" t="str">
        <f>IF(ISBLANK(A1208),"",LEFT(B1208,27)&amp;VALUE(RIGHT(B1208,1)+1))</f>
        <v>DKR250911OEDSQU_20C_sample_2</v>
      </c>
      <c r="C1209" s="6" t="str">
        <f t="shared" ref="C1209:D1209" si="1408">C1208</f>
        <v>Oedera squarrosa</v>
      </c>
      <c r="D1209" s="6" t="str">
        <f t="shared" si="1408"/>
        <v>20C</v>
      </c>
      <c r="E1209" s="10">
        <f>IF(ISBLANK(A1208),"",E1208+1)</f>
        <v>2</v>
      </c>
      <c r="F1209" s="11">
        <f t="shared" ref="F1209:F1213" si="1411">F1208</f>
        <v>45913.95417</v>
      </c>
      <c r="G1209" s="8">
        <v>0.824</v>
      </c>
    </row>
    <row r="1210">
      <c r="A1210" s="9" t="str">
        <f t="shared" si="1409"/>
        <v>OEDSQU</v>
      </c>
      <c r="B1210" s="9" t="str">
        <f>IF(ISBLANK(A1208),"",LEFT(B1209,27)&amp;VALUE(RIGHT(B1209,1)+1))</f>
        <v>DKR250911OEDSQU_20C_sample_3</v>
      </c>
      <c r="C1210" s="6" t="str">
        <f t="shared" ref="C1210:D1210" si="1410">C1209</f>
        <v>Oedera squarrosa</v>
      </c>
      <c r="D1210" s="6" t="str">
        <f t="shared" si="1410"/>
        <v>20C</v>
      </c>
      <c r="E1210" s="10">
        <f>IF(ISBLANK(A1208),"",E1209+1)</f>
        <v>3</v>
      </c>
      <c r="F1210" s="11">
        <f t="shared" si="1411"/>
        <v>45913.95417</v>
      </c>
      <c r="G1210" s="8">
        <v>1.232</v>
      </c>
    </row>
    <row r="1211">
      <c r="A1211" s="9" t="str">
        <f t="shared" si="1409"/>
        <v>OEDSQU</v>
      </c>
      <c r="B1211" s="9" t="str">
        <f>IF(ISBLANK(A1208),"",LEFT(B1210,27)&amp;VALUE(RIGHT(B1210,1)+1))</f>
        <v>DKR250911OEDSQU_20C_sample_4</v>
      </c>
      <c r="C1211" s="6" t="str">
        <f t="shared" ref="C1211:D1211" si="1412">C1210</f>
        <v>Oedera squarrosa</v>
      </c>
      <c r="D1211" s="6" t="str">
        <f t="shared" si="1412"/>
        <v>20C</v>
      </c>
      <c r="E1211" s="10">
        <f>IF(ISBLANK(A1208),"",E1210+1)</f>
        <v>4</v>
      </c>
      <c r="F1211" s="11">
        <f t="shared" si="1411"/>
        <v>45913.95417</v>
      </c>
      <c r="G1211" s="8">
        <v>1.122</v>
      </c>
    </row>
    <row r="1212">
      <c r="A1212" s="9" t="str">
        <f t="shared" si="1409"/>
        <v>OEDSQU</v>
      </c>
      <c r="B1212" s="9" t="str">
        <f>IF(ISBLANK(A1208),"",LEFT(B1211,27)&amp;VALUE(RIGHT(B1211,1)+1))</f>
        <v>DKR250911OEDSQU_20C_sample_5</v>
      </c>
      <c r="C1212" s="6" t="str">
        <f t="shared" ref="C1212:D1212" si="1413">C1211</f>
        <v>Oedera squarrosa</v>
      </c>
      <c r="D1212" s="6" t="str">
        <f t="shared" si="1413"/>
        <v>20C</v>
      </c>
      <c r="E1212" s="10">
        <f>IF(ISBLANK(A1208),"",E1211+1)</f>
        <v>5</v>
      </c>
      <c r="F1212" s="11">
        <f t="shared" si="1411"/>
        <v>45913.95417</v>
      </c>
      <c r="G1212" s="8">
        <v>0.525</v>
      </c>
    </row>
    <row r="1213">
      <c r="A1213" s="12" t="str">
        <f t="shared" si="1409"/>
        <v>OEDSQU</v>
      </c>
      <c r="B1213" s="12" t="str">
        <f>IF(ISBLANK(A1208),"",LEFT(B1212,27)&amp;VALUE(RIGHT(B1212,1)+1))</f>
        <v>DKR250911OEDSQU_20C_sample_6</v>
      </c>
      <c r="C1213" s="13" t="str">
        <f t="shared" ref="C1213:D1213" si="1414">C1212</f>
        <v>Oedera squarrosa</v>
      </c>
      <c r="D1213" s="13" t="str">
        <f t="shared" si="1414"/>
        <v>20C</v>
      </c>
      <c r="E1213" s="14">
        <f>IF(ISBLANK(A1208),"",E1212+1)</f>
        <v>6</v>
      </c>
      <c r="F1213" s="15">
        <f t="shared" si="1411"/>
        <v>45913.95417</v>
      </c>
      <c r="G1213" s="16">
        <v>0.212</v>
      </c>
    </row>
    <row r="1214">
      <c r="A1214" s="5" t="s">
        <v>7</v>
      </c>
      <c r="B1214" s="6" t="str">
        <f>IF(ISBLANK(A1214),"",VLOOKUP($A1214,'Data Feed (20C)'!$A$1:$G$14,2,FALSE))</f>
        <v>DKR250911PASOBT_20C_sample_1</v>
      </c>
      <c r="C1214" s="6" t="str">
        <f>IF(ISBLANK(A1214),"",VLOOKUP($A1214,'Data Feed (20C)'!$A$1:$G$14,3,FALSE))</f>
        <v>Passerina obtusifolia</v>
      </c>
      <c r="D1214" s="6" t="str">
        <f>IF(ISBLANK(A1214),"",VLOOKUP($A1214,'Data Feed (20C)'!$A$1:$G$14,4,FALSE))</f>
        <v>20C</v>
      </c>
      <c r="E1214" s="6">
        <f>IF(ISBLANK(A1214),"",VLOOKUP($A1214,'Data Feed (20C)'!$A$1:$G$14,7,FALSE))</f>
        <v>1</v>
      </c>
      <c r="F1214" s="7">
        <v>45913.955555555556</v>
      </c>
      <c r="G1214" s="8">
        <v>2.685</v>
      </c>
    </row>
    <row r="1215">
      <c r="A1215" s="9" t="str">
        <f t="shared" ref="A1215:A1219" si="1416">A1214</f>
        <v>PASOBT</v>
      </c>
      <c r="B1215" s="9" t="str">
        <f>IF(ISBLANK(A1214),"",LEFT(B1214,27)&amp;VALUE(RIGHT(B1214,1)+1))</f>
        <v>DKR250911PASOBT_20C_sample_2</v>
      </c>
      <c r="C1215" s="6" t="str">
        <f t="shared" ref="C1215:D1215" si="1415">C1214</f>
        <v>Passerina obtusifolia</v>
      </c>
      <c r="D1215" s="6" t="str">
        <f t="shared" si="1415"/>
        <v>20C</v>
      </c>
      <c r="E1215" s="10">
        <f>IF(ISBLANK(A1214),"",E1214+1)</f>
        <v>2</v>
      </c>
      <c r="F1215" s="11">
        <f t="shared" ref="F1215:F1219" si="1418">F1214</f>
        <v>45913.95556</v>
      </c>
      <c r="G1215" s="8">
        <v>3.519</v>
      </c>
    </row>
    <row r="1216">
      <c r="A1216" s="9" t="str">
        <f t="shared" si="1416"/>
        <v>PASOBT</v>
      </c>
      <c r="B1216" s="9" t="str">
        <f>IF(ISBLANK(A1214),"",LEFT(B1215,27)&amp;VALUE(RIGHT(B1215,1)+1))</f>
        <v>DKR250911PASOBT_20C_sample_3</v>
      </c>
      <c r="C1216" s="6" t="str">
        <f t="shared" ref="C1216:D1216" si="1417">C1215</f>
        <v>Passerina obtusifolia</v>
      </c>
      <c r="D1216" s="6" t="str">
        <f t="shared" si="1417"/>
        <v>20C</v>
      </c>
      <c r="E1216" s="10">
        <f>IF(ISBLANK(A1214),"",E1215+1)</f>
        <v>3</v>
      </c>
      <c r="F1216" s="11">
        <f t="shared" si="1418"/>
        <v>45913.95556</v>
      </c>
      <c r="G1216" s="8">
        <v>1.237</v>
      </c>
    </row>
    <row r="1217">
      <c r="A1217" s="9" t="str">
        <f t="shared" si="1416"/>
        <v>PASOBT</v>
      </c>
      <c r="B1217" s="9" t="str">
        <f>IF(ISBLANK(A1214),"",LEFT(B1216,27)&amp;VALUE(RIGHT(B1216,1)+1))</f>
        <v>DKR250911PASOBT_20C_sample_4</v>
      </c>
      <c r="C1217" s="6" t="str">
        <f t="shared" ref="C1217:D1217" si="1419">C1216</f>
        <v>Passerina obtusifolia</v>
      </c>
      <c r="D1217" s="6" t="str">
        <f t="shared" si="1419"/>
        <v>20C</v>
      </c>
      <c r="E1217" s="10">
        <f>IF(ISBLANK(A1214),"",E1216+1)</f>
        <v>4</v>
      </c>
      <c r="F1217" s="11">
        <f t="shared" si="1418"/>
        <v>45913.95556</v>
      </c>
      <c r="G1217" s="8">
        <v>1.667</v>
      </c>
    </row>
    <row r="1218">
      <c r="A1218" s="9" t="str">
        <f t="shared" si="1416"/>
        <v>PASOBT</v>
      </c>
      <c r="B1218" s="9" t="str">
        <f>IF(ISBLANK(A1214),"",LEFT(B1217,27)&amp;VALUE(RIGHT(B1217,1)+1))</f>
        <v>DKR250911PASOBT_20C_sample_5</v>
      </c>
      <c r="C1218" s="6" t="str">
        <f t="shared" ref="C1218:D1218" si="1420">C1217</f>
        <v>Passerina obtusifolia</v>
      </c>
      <c r="D1218" s="6" t="str">
        <f t="shared" si="1420"/>
        <v>20C</v>
      </c>
      <c r="E1218" s="10">
        <f>IF(ISBLANK(A1214),"",E1217+1)</f>
        <v>5</v>
      </c>
      <c r="F1218" s="11">
        <f t="shared" si="1418"/>
        <v>45913.95556</v>
      </c>
      <c r="G1218" s="8">
        <v>1.415</v>
      </c>
    </row>
    <row r="1219">
      <c r="A1219" s="12" t="str">
        <f t="shared" si="1416"/>
        <v>PASOBT</v>
      </c>
      <c r="B1219" s="12" t="str">
        <f>IF(ISBLANK(A1214),"",LEFT(B1218,27)&amp;VALUE(RIGHT(B1218,1)+1))</f>
        <v>DKR250911PASOBT_20C_sample_6</v>
      </c>
      <c r="C1219" s="13" t="str">
        <f t="shared" ref="C1219:D1219" si="1421">C1218</f>
        <v>Passerina obtusifolia</v>
      </c>
      <c r="D1219" s="13" t="str">
        <f t="shared" si="1421"/>
        <v>20C</v>
      </c>
      <c r="E1219" s="14">
        <f>IF(ISBLANK(A1214),"",E1218+1)</f>
        <v>6</v>
      </c>
      <c r="F1219" s="15">
        <f t="shared" si="1418"/>
        <v>45913.95556</v>
      </c>
      <c r="G1219" s="16">
        <v>2.324</v>
      </c>
    </row>
    <row r="1220">
      <c r="A1220" s="5" t="s">
        <v>9</v>
      </c>
      <c r="B1220" s="6" t="str">
        <f>IF(ISBLANK(A1220),"",VLOOKUP($A1220,'Data Feed (20C)'!$A$1:$G$14,2,FALSE))</f>
        <v>DKR250911PROLAU_20C_sample_1</v>
      </c>
      <c r="C1220" s="6" t="str">
        <f>IF(ISBLANK(A1220),"",VLOOKUP($A1220,'Data Feed (20C)'!$A$1:$G$14,3,FALSE))</f>
        <v>Protea laurifolia</v>
      </c>
      <c r="D1220" s="6" t="str">
        <f>IF(ISBLANK(A1220),"",VLOOKUP($A1220,'Data Feed (20C)'!$A$1:$G$14,4,FALSE))</f>
        <v>20C</v>
      </c>
      <c r="E1220" s="6">
        <f>IF(ISBLANK(A1220),"",VLOOKUP($A1220,'Data Feed (20C)'!$A$1:$G$14,7,FALSE))</f>
        <v>1</v>
      </c>
      <c r="F1220" s="7">
        <v>45913.95694444444</v>
      </c>
      <c r="G1220" s="8">
        <v>0.983</v>
      </c>
    </row>
    <row r="1221">
      <c r="A1221" s="9" t="str">
        <f t="shared" ref="A1221:A1225" si="1423">A1220</f>
        <v>PROLAU</v>
      </c>
      <c r="B1221" s="9" t="str">
        <f>IF(ISBLANK(A1220),"",LEFT(B1220,27)&amp;VALUE(RIGHT(B1220,1)+1))</f>
        <v>DKR250911PROLAU_20C_sample_2</v>
      </c>
      <c r="C1221" s="6" t="str">
        <f t="shared" ref="C1221:D1221" si="1422">C1220</f>
        <v>Protea laurifolia</v>
      </c>
      <c r="D1221" s="6" t="str">
        <f t="shared" si="1422"/>
        <v>20C</v>
      </c>
      <c r="E1221" s="10">
        <f>IF(ISBLANK(A1220),"",E1220+1)</f>
        <v>2</v>
      </c>
      <c r="F1221" s="11">
        <f t="shared" ref="F1221:F1225" si="1425">F1220</f>
        <v>45913.95694</v>
      </c>
      <c r="G1221" s="8">
        <v>1.083</v>
      </c>
    </row>
    <row r="1222">
      <c r="A1222" s="9" t="str">
        <f t="shared" si="1423"/>
        <v>PROLAU</v>
      </c>
      <c r="B1222" s="9" t="str">
        <f>IF(ISBLANK(A1220),"",LEFT(B1221,27)&amp;VALUE(RIGHT(B1221,1)+1))</f>
        <v>DKR250911PROLAU_20C_sample_3</v>
      </c>
      <c r="C1222" s="6" t="str">
        <f t="shared" ref="C1222:D1222" si="1424">C1221</f>
        <v>Protea laurifolia</v>
      </c>
      <c r="D1222" s="6" t="str">
        <f t="shared" si="1424"/>
        <v>20C</v>
      </c>
      <c r="E1222" s="10">
        <f>IF(ISBLANK(A1220),"",E1221+1)</f>
        <v>3</v>
      </c>
      <c r="F1222" s="11">
        <f t="shared" si="1425"/>
        <v>45913.95694</v>
      </c>
      <c r="G1222" s="8">
        <v>1.098</v>
      </c>
    </row>
    <row r="1223">
      <c r="A1223" s="9" t="str">
        <f t="shared" si="1423"/>
        <v>PROLAU</v>
      </c>
      <c r="B1223" s="9" t="str">
        <f>IF(ISBLANK(A1220),"",LEFT(B1222,27)&amp;VALUE(RIGHT(B1222,1)+1))</f>
        <v>DKR250911PROLAU_20C_sample_4</v>
      </c>
      <c r="C1223" s="6" t="str">
        <f t="shared" ref="C1223:D1223" si="1426">C1222</f>
        <v>Protea laurifolia</v>
      </c>
      <c r="D1223" s="6" t="str">
        <f t="shared" si="1426"/>
        <v>20C</v>
      </c>
      <c r="E1223" s="10">
        <f>IF(ISBLANK(A1220),"",E1222+1)</f>
        <v>4</v>
      </c>
      <c r="F1223" s="11">
        <f t="shared" si="1425"/>
        <v>45913.95694</v>
      </c>
      <c r="G1223" s="8">
        <v>0.532</v>
      </c>
    </row>
    <row r="1224">
      <c r="A1224" s="9" t="str">
        <f t="shared" si="1423"/>
        <v>PROLAU</v>
      </c>
      <c r="B1224" s="9" t="str">
        <f>IF(ISBLANK(A1220),"",LEFT(B1223,27)&amp;VALUE(RIGHT(B1223,1)+1))</f>
        <v>DKR250911PROLAU_20C_sample_5</v>
      </c>
      <c r="C1224" s="6" t="str">
        <f t="shared" ref="C1224:D1224" si="1427">C1223</f>
        <v>Protea laurifolia</v>
      </c>
      <c r="D1224" s="6" t="str">
        <f t="shared" si="1427"/>
        <v>20C</v>
      </c>
      <c r="E1224" s="10">
        <f>IF(ISBLANK(A1220),"",E1223+1)</f>
        <v>5</v>
      </c>
      <c r="F1224" s="11">
        <f t="shared" si="1425"/>
        <v>45913.95694</v>
      </c>
      <c r="G1224" s="8">
        <v>0.92</v>
      </c>
    </row>
    <row r="1225">
      <c r="A1225" s="12" t="str">
        <f t="shared" si="1423"/>
        <v>PROLAU</v>
      </c>
      <c r="B1225" s="12" t="str">
        <f>IF(ISBLANK(A1220),"",LEFT(B1224,27)&amp;VALUE(RIGHT(B1224,1)+1))</f>
        <v>DKR250911PROLAU_20C_sample_6</v>
      </c>
      <c r="C1225" s="13" t="str">
        <f t="shared" ref="C1225:D1225" si="1428">C1224</f>
        <v>Protea laurifolia</v>
      </c>
      <c r="D1225" s="13" t="str">
        <f t="shared" si="1428"/>
        <v>20C</v>
      </c>
      <c r="E1225" s="14">
        <f>IF(ISBLANK(A1220),"",E1224+1)</f>
        <v>6</v>
      </c>
      <c r="F1225" s="15">
        <f t="shared" si="1425"/>
        <v>45913.95694</v>
      </c>
      <c r="G1225" s="16">
        <v>0.913</v>
      </c>
    </row>
    <row r="1226">
      <c r="A1226" s="5" t="s">
        <v>8</v>
      </c>
      <c r="B1226" s="6" t="str">
        <f>IF(ISBLANK(A1226),"",VLOOKUP($A1226,'Data Feed (20C)'!$A$1:$G$14,2,FALSE))</f>
        <v>DKF250911PROLOR_20C_sample_1</v>
      </c>
      <c r="C1226" s="6" t="str">
        <f>IF(ISBLANK(A1226),"",VLOOKUP($A1226,'Data Feed (20C)'!$A$1:$G$14,3,FALSE))</f>
        <v>Protea lorifolia</v>
      </c>
      <c r="D1226" s="6" t="str">
        <f>IF(ISBLANK(A1226),"",VLOOKUP($A1226,'Data Feed (20C)'!$A$1:$G$14,4,FALSE))</f>
        <v>20C</v>
      </c>
      <c r="E1226" s="6">
        <f>IF(ISBLANK(A1226),"",VLOOKUP($A1226,'Data Feed (20C)'!$A$1:$G$14,7,FALSE))</f>
        <v>1</v>
      </c>
      <c r="F1226" s="7">
        <v>45913.959027777775</v>
      </c>
      <c r="G1226" s="8">
        <v>3.137</v>
      </c>
    </row>
    <row r="1227">
      <c r="A1227" s="9" t="str">
        <f t="shared" ref="A1227:A1231" si="1430">A1226</f>
        <v>PROLOR</v>
      </c>
      <c r="B1227" s="9" t="str">
        <f>IF(ISBLANK(A1226),"",LEFT(B1226,27)&amp;VALUE(RIGHT(B1226,1)+1))</f>
        <v>DKF250911PROLOR_20C_sample_2</v>
      </c>
      <c r="C1227" s="6" t="str">
        <f t="shared" ref="C1227:D1227" si="1429">C1226</f>
        <v>Protea lorifolia</v>
      </c>
      <c r="D1227" s="6" t="str">
        <f t="shared" si="1429"/>
        <v>20C</v>
      </c>
      <c r="E1227" s="10">
        <f>IF(ISBLANK(A1226),"",E1226+1)</f>
        <v>2</v>
      </c>
      <c r="F1227" s="11">
        <f t="shared" ref="F1227:F1231" si="1432">F1226</f>
        <v>45913.95903</v>
      </c>
      <c r="G1227" s="8">
        <v>3.306</v>
      </c>
    </row>
    <row r="1228">
      <c r="A1228" s="9" t="str">
        <f t="shared" si="1430"/>
        <v>PROLOR</v>
      </c>
      <c r="B1228" s="9" t="str">
        <f>IF(ISBLANK(A1226),"",LEFT(B1227,27)&amp;VALUE(RIGHT(B1227,1)+1))</f>
        <v>DKF250911PROLOR_20C_sample_3</v>
      </c>
      <c r="C1228" s="6" t="str">
        <f t="shared" ref="C1228:D1228" si="1431">C1227</f>
        <v>Protea lorifolia</v>
      </c>
      <c r="D1228" s="6" t="str">
        <f t="shared" si="1431"/>
        <v>20C</v>
      </c>
      <c r="E1228" s="10">
        <f>IF(ISBLANK(A1226),"",E1227+1)</f>
        <v>3</v>
      </c>
      <c r="F1228" s="11">
        <f t="shared" si="1432"/>
        <v>45913.95903</v>
      </c>
      <c r="G1228" s="8">
        <v>3.563</v>
      </c>
    </row>
    <row r="1229">
      <c r="A1229" s="9" t="str">
        <f t="shared" si="1430"/>
        <v>PROLOR</v>
      </c>
      <c r="B1229" s="9" t="str">
        <f>IF(ISBLANK(A1226),"",LEFT(B1228,27)&amp;VALUE(RIGHT(B1228,1)+1))</f>
        <v>DKF250911PROLOR_20C_sample_4</v>
      </c>
      <c r="C1229" s="6" t="str">
        <f t="shared" ref="C1229:D1229" si="1433">C1228</f>
        <v>Protea lorifolia</v>
      </c>
      <c r="D1229" s="6" t="str">
        <f t="shared" si="1433"/>
        <v>20C</v>
      </c>
      <c r="E1229" s="10">
        <f>IF(ISBLANK(A1226),"",E1228+1)</f>
        <v>4</v>
      </c>
      <c r="F1229" s="11">
        <f t="shared" si="1432"/>
        <v>45913.95903</v>
      </c>
      <c r="G1229" s="8">
        <v>2.886</v>
      </c>
    </row>
    <row r="1230">
      <c r="A1230" s="9" t="str">
        <f t="shared" si="1430"/>
        <v>PROLOR</v>
      </c>
      <c r="B1230" s="9" t="str">
        <f>IF(ISBLANK(A1226),"",LEFT(B1229,27)&amp;VALUE(RIGHT(B1229,1)+1))</f>
        <v>DKF250911PROLOR_20C_sample_5</v>
      </c>
      <c r="C1230" s="6" t="str">
        <f t="shared" ref="C1230:D1230" si="1434">C1229</f>
        <v>Protea lorifolia</v>
      </c>
      <c r="D1230" s="6" t="str">
        <f t="shared" si="1434"/>
        <v>20C</v>
      </c>
      <c r="E1230" s="10">
        <f>IF(ISBLANK(A1226),"",E1229+1)</f>
        <v>5</v>
      </c>
      <c r="F1230" s="11">
        <f t="shared" si="1432"/>
        <v>45913.95903</v>
      </c>
      <c r="G1230" s="8">
        <v>5.513</v>
      </c>
    </row>
    <row r="1231">
      <c r="A1231" s="12" t="str">
        <f t="shared" si="1430"/>
        <v>PROLOR</v>
      </c>
      <c r="B1231" s="12" t="str">
        <f>IF(ISBLANK(A1226),"",LEFT(B1230,27)&amp;VALUE(RIGHT(B1230,1)+1))</f>
        <v>DKF250911PROLOR_20C_sample_6</v>
      </c>
      <c r="C1231" s="13" t="str">
        <f t="shared" ref="C1231:D1231" si="1435">C1230</f>
        <v>Protea lorifolia</v>
      </c>
      <c r="D1231" s="13" t="str">
        <f t="shared" si="1435"/>
        <v>20C</v>
      </c>
      <c r="E1231" s="14">
        <f>IF(ISBLANK(A1226),"",E1230+1)</f>
        <v>6</v>
      </c>
      <c r="F1231" s="15">
        <f t="shared" si="1432"/>
        <v>45913.95903</v>
      </c>
      <c r="G1231" s="16">
        <v>4.478</v>
      </c>
    </row>
    <row r="1232">
      <c r="A1232" s="5" t="s">
        <v>13</v>
      </c>
      <c r="B1232" s="6" t="str">
        <f>IF(ISBLANK(A1232),"",VLOOKUP($A1232,'Data Feed (20C)'!$A$1:$G$14,2,FALSE))</f>
        <v>DKR250911RUSMUL_20C_sample_1</v>
      </c>
      <c r="C1232" s="6" t="str">
        <f>IF(ISBLANK(A1232),"",VLOOKUP($A1232,'Data Feed (20C)'!$A$1:$G$14,3,FALSE))</f>
        <v>Ruschia multiflora</v>
      </c>
      <c r="D1232" s="6" t="str">
        <f>IF(ISBLANK(A1232),"",VLOOKUP($A1232,'Data Feed (20C)'!$A$1:$G$14,4,FALSE))</f>
        <v>20C</v>
      </c>
      <c r="E1232" s="6">
        <f>IF(ISBLANK(A1232),"",VLOOKUP($A1232,'Data Feed (20C)'!$A$1:$G$14,7,FALSE))</f>
        <v>1</v>
      </c>
      <c r="F1232" s="7">
        <v>45913.96041666667</v>
      </c>
      <c r="G1232" s="8">
        <v>3.119</v>
      </c>
    </row>
    <row r="1233">
      <c r="A1233" s="9" t="str">
        <f t="shared" ref="A1233:A1237" si="1437">A1232</f>
        <v>RUSMUL</v>
      </c>
      <c r="B1233" s="9" t="str">
        <f>IF(ISBLANK(A1232),"",LEFT(B1232,27)&amp;VALUE(RIGHT(B1232,1)+1))</f>
        <v>DKR250911RUSMUL_20C_sample_2</v>
      </c>
      <c r="C1233" s="6" t="str">
        <f t="shared" ref="C1233:D1233" si="1436">C1232</f>
        <v>Ruschia multiflora</v>
      </c>
      <c r="D1233" s="6" t="str">
        <f t="shared" si="1436"/>
        <v>20C</v>
      </c>
      <c r="E1233" s="10">
        <f>IF(ISBLANK(A1232),"",E1232+1)</f>
        <v>2</v>
      </c>
      <c r="F1233" s="11">
        <f t="shared" ref="F1233:F1237" si="1439">F1232</f>
        <v>45913.96042</v>
      </c>
      <c r="G1233" s="8">
        <v>3.816</v>
      </c>
    </row>
    <row r="1234">
      <c r="A1234" s="9" t="str">
        <f t="shared" si="1437"/>
        <v>RUSMUL</v>
      </c>
      <c r="B1234" s="9" t="str">
        <f>IF(ISBLANK(A1232),"",LEFT(B1233,27)&amp;VALUE(RIGHT(B1233,1)+1))</f>
        <v>DKR250911RUSMUL_20C_sample_3</v>
      </c>
      <c r="C1234" s="6" t="str">
        <f t="shared" ref="C1234:D1234" si="1438">C1233</f>
        <v>Ruschia multiflora</v>
      </c>
      <c r="D1234" s="6" t="str">
        <f t="shared" si="1438"/>
        <v>20C</v>
      </c>
      <c r="E1234" s="10">
        <f>IF(ISBLANK(A1232),"",E1233+1)</f>
        <v>3</v>
      </c>
      <c r="F1234" s="11">
        <f t="shared" si="1439"/>
        <v>45913.96042</v>
      </c>
      <c r="G1234" s="8">
        <v>7.722</v>
      </c>
    </row>
    <row r="1235">
      <c r="A1235" s="9" t="str">
        <f t="shared" si="1437"/>
        <v>RUSMUL</v>
      </c>
      <c r="B1235" s="9" t="str">
        <f>IF(ISBLANK(A1232),"",LEFT(B1234,27)&amp;VALUE(RIGHT(B1234,1)+1))</f>
        <v>DKR250911RUSMUL_20C_sample_4</v>
      </c>
      <c r="C1235" s="6" t="str">
        <f t="shared" ref="C1235:D1235" si="1440">C1234</f>
        <v>Ruschia multiflora</v>
      </c>
      <c r="D1235" s="6" t="str">
        <f t="shared" si="1440"/>
        <v>20C</v>
      </c>
      <c r="E1235" s="10">
        <f>IF(ISBLANK(A1232),"",E1234+1)</f>
        <v>4</v>
      </c>
      <c r="F1235" s="11">
        <f t="shared" si="1439"/>
        <v>45913.96042</v>
      </c>
      <c r="G1235" s="8">
        <v>4.104</v>
      </c>
    </row>
    <row r="1236">
      <c r="A1236" s="9" t="str">
        <f t="shared" si="1437"/>
        <v>RUSMUL</v>
      </c>
      <c r="B1236" s="9" t="str">
        <f>IF(ISBLANK(A1232),"",LEFT(B1235,27)&amp;VALUE(RIGHT(B1235,1)+1))</f>
        <v>DKR250911RUSMUL_20C_sample_5</v>
      </c>
      <c r="C1236" s="6" t="str">
        <f t="shared" ref="C1236:D1236" si="1441">C1235</f>
        <v>Ruschia multiflora</v>
      </c>
      <c r="D1236" s="6" t="str">
        <f t="shared" si="1441"/>
        <v>20C</v>
      </c>
      <c r="E1236" s="10">
        <f>IF(ISBLANK(A1232),"",E1235+1)</f>
        <v>5</v>
      </c>
      <c r="F1236" s="11">
        <f t="shared" si="1439"/>
        <v>45913.96042</v>
      </c>
      <c r="G1236" s="8">
        <v>3.496</v>
      </c>
    </row>
    <row r="1237">
      <c r="A1237" s="12" t="str">
        <f t="shared" si="1437"/>
        <v>RUSMUL</v>
      </c>
      <c r="B1237" s="12" t="str">
        <f>IF(ISBLANK(A1232),"",LEFT(B1236,27)&amp;VALUE(RIGHT(B1236,1)+1))</f>
        <v>DKR250911RUSMUL_20C_sample_6</v>
      </c>
      <c r="C1237" s="13" t="str">
        <f t="shared" ref="C1237:D1237" si="1442">C1236</f>
        <v>Ruschia multiflora</v>
      </c>
      <c r="D1237" s="13" t="str">
        <f t="shared" si="1442"/>
        <v>20C</v>
      </c>
      <c r="E1237" s="14">
        <f>IF(ISBLANK(A1232),"",E1236+1)</f>
        <v>6</v>
      </c>
      <c r="F1237" s="15">
        <f t="shared" si="1439"/>
        <v>45913.96042</v>
      </c>
      <c r="G1237" s="16">
        <v>2.959</v>
      </c>
    </row>
    <row r="1238">
      <c r="A1238" s="5" t="s">
        <v>11</v>
      </c>
      <c r="B1238" s="6" t="str">
        <f>IF(ISBLANK(A1238),"",VLOOKUP($A1238,'Data Feed (20C)'!$A$1:$G$14,2,FALSE))</f>
        <v>DKF250911SELDOL_20C_sample_1</v>
      </c>
      <c r="C1238" s="6" t="str">
        <f>IF(ISBLANK(A1238),"",VLOOKUP($A1238,'Data Feed (20C)'!$A$1:$G$14,3,FALSE))</f>
        <v>Selago dolosa</v>
      </c>
      <c r="D1238" s="6" t="str">
        <f>IF(ISBLANK(A1238),"",VLOOKUP($A1238,'Data Feed (20C)'!$A$1:$G$14,4,FALSE))</f>
        <v>20C</v>
      </c>
      <c r="E1238" s="6">
        <f>IF(ISBLANK(A1238),"",VLOOKUP($A1238,'Data Feed (20C)'!$A$1:$G$14,7,FALSE))</f>
        <v>1</v>
      </c>
      <c r="F1238" s="7">
        <v>45913.9625</v>
      </c>
      <c r="G1238" s="8">
        <v>1.132</v>
      </c>
    </row>
    <row r="1239">
      <c r="A1239" s="9" t="str">
        <f t="shared" ref="A1239:A1243" si="1444">A1238</f>
        <v>SELDOL</v>
      </c>
      <c r="B1239" s="9" t="str">
        <f>IF(ISBLANK(A1238),"",LEFT(B1238,27)&amp;VALUE(RIGHT(B1238,1)+1))</f>
        <v>DKF250911SELDOL_20C_sample_2</v>
      </c>
      <c r="C1239" s="6" t="str">
        <f t="shared" ref="C1239:D1239" si="1443">C1238</f>
        <v>Selago dolosa</v>
      </c>
      <c r="D1239" s="6" t="str">
        <f t="shared" si="1443"/>
        <v>20C</v>
      </c>
      <c r="E1239" s="10">
        <f>IF(ISBLANK(A1238),"",E1238+1)</f>
        <v>2</v>
      </c>
      <c r="F1239" s="11">
        <f t="shared" ref="F1239:F1243" si="1446">F1238</f>
        <v>45913.9625</v>
      </c>
      <c r="G1239" s="8">
        <v>1.605</v>
      </c>
    </row>
    <row r="1240">
      <c r="A1240" s="9" t="str">
        <f t="shared" si="1444"/>
        <v>SELDOL</v>
      </c>
      <c r="B1240" s="9" t="str">
        <f>IF(ISBLANK(A1238),"",LEFT(B1239,27)&amp;VALUE(RIGHT(B1239,1)+1))</f>
        <v>DKF250911SELDOL_20C_sample_3</v>
      </c>
      <c r="C1240" s="6" t="str">
        <f t="shared" ref="C1240:D1240" si="1445">C1239</f>
        <v>Selago dolosa</v>
      </c>
      <c r="D1240" s="6" t="str">
        <f t="shared" si="1445"/>
        <v>20C</v>
      </c>
      <c r="E1240" s="10">
        <f>IF(ISBLANK(A1238),"",E1239+1)</f>
        <v>3</v>
      </c>
      <c r="F1240" s="11">
        <f t="shared" si="1446"/>
        <v>45913.9625</v>
      </c>
      <c r="G1240" s="8">
        <v>1.452</v>
      </c>
    </row>
    <row r="1241">
      <c r="A1241" s="9" t="str">
        <f t="shared" si="1444"/>
        <v>SELDOL</v>
      </c>
      <c r="B1241" s="9" t="str">
        <f>IF(ISBLANK(A1238),"",LEFT(B1240,27)&amp;VALUE(RIGHT(B1240,1)+1))</f>
        <v>DKF250911SELDOL_20C_sample_4</v>
      </c>
      <c r="C1241" s="6" t="str">
        <f t="shared" ref="C1241:D1241" si="1447">C1240</f>
        <v>Selago dolosa</v>
      </c>
      <c r="D1241" s="6" t="str">
        <f t="shared" si="1447"/>
        <v>20C</v>
      </c>
      <c r="E1241" s="10">
        <f>IF(ISBLANK(A1238),"",E1240+1)</f>
        <v>4</v>
      </c>
      <c r="F1241" s="11">
        <f t="shared" si="1446"/>
        <v>45913.9625</v>
      </c>
      <c r="G1241" s="8">
        <v>1.512</v>
      </c>
    </row>
    <row r="1242">
      <c r="A1242" s="9" t="str">
        <f t="shared" si="1444"/>
        <v>SELDOL</v>
      </c>
      <c r="B1242" s="9" t="str">
        <f>IF(ISBLANK(A1238),"",LEFT(B1241,27)&amp;VALUE(RIGHT(B1241,1)+1))</f>
        <v>DKF250911SELDOL_20C_sample_5</v>
      </c>
      <c r="C1242" s="6" t="str">
        <f t="shared" ref="C1242:D1242" si="1448">C1241</f>
        <v>Selago dolosa</v>
      </c>
      <c r="D1242" s="6" t="str">
        <f t="shared" si="1448"/>
        <v>20C</v>
      </c>
      <c r="E1242" s="10">
        <f>IF(ISBLANK(A1238),"",E1241+1)</f>
        <v>5</v>
      </c>
      <c r="F1242" s="11">
        <f t="shared" si="1446"/>
        <v>45913.9625</v>
      </c>
      <c r="G1242" s="8"/>
    </row>
    <row r="1243">
      <c r="A1243" s="12" t="str">
        <f t="shared" si="1444"/>
        <v>SELDOL</v>
      </c>
      <c r="B1243" s="12" t="str">
        <f>IF(ISBLANK(A1238),"",LEFT(B1242,27)&amp;VALUE(RIGHT(B1242,1)+1))</f>
        <v>DKF250911SELDOL_20C_sample_6</v>
      </c>
      <c r="C1243" s="13" t="str">
        <f t="shared" ref="C1243:D1243" si="1449">C1242</f>
        <v>Selago dolosa</v>
      </c>
      <c r="D1243" s="13" t="str">
        <f t="shared" si="1449"/>
        <v>20C</v>
      </c>
      <c r="E1243" s="14">
        <f>IF(ISBLANK(A1238),"",E1242+1)</f>
        <v>6</v>
      </c>
      <c r="F1243" s="15">
        <f t="shared" si="1446"/>
        <v>45913.9625</v>
      </c>
      <c r="G1243" s="16">
        <v>1.004</v>
      </c>
    </row>
    <row r="1244">
      <c r="A1244" s="5" t="s">
        <v>18</v>
      </c>
      <c r="B1244" s="6" t="str">
        <f>IF(ISBLANK(A1244),"",VLOOKUP($A1244,'Data Feed (20C)'!$A$1:$G$14,2,FALSE))</f>
        <v>DKR250911WAHNOD_20C_sample_1</v>
      </c>
      <c r="C1244" s="6" t="str">
        <f>IF(ISBLANK(A1244),"",VLOOKUP($A1244,'Data Feed (20C)'!$A$1:$G$14,3,FALSE))</f>
        <v>Wahlenbergia nodosa</v>
      </c>
      <c r="D1244" s="6" t="str">
        <f>IF(ISBLANK(A1244),"",VLOOKUP($A1244,'Data Feed (20C)'!$A$1:$G$14,4,FALSE))</f>
        <v>20C</v>
      </c>
      <c r="E1244" s="6">
        <f>IF(ISBLANK(A1244),"",VLOOKUP($A1244,'Data Feed (20C)'!$A$1:$G$14,7,FALSE))</f>
        <v>1</v>
      </c>
      <c r="F1244" s="7">
        <v>45913.96388888889</v>
      </c>
      <c r="G1244" s="8">
        <v>0.269</v>
      </c>
    </row>
    <row r="1245">
      <c r="A1245" s="9" t="str">
        <f t="shared" ref="A1245:A1249" si="1451">A1244</f>
        <v>WAHNOD</v>
      </c>
      <c r="B1245" s="9" t="str">
        <f>IF(ISBLANK(A1244),"",LEFT(B1244,27)&amp;VALUE(RIGHT(B1244,1)+1))</f>
        <v>DKR250911WAHNOD_20C_sample_2</v>
      </c>
      <c r="C1245" s="6" t="str">
        <f t="shared" ref="C1245:D1245" si="1450">C1244</f>
        <v>Wahlenbergia nodosa</v>
      </c>
      <c r="D1245" s="6" t="str">
        <f t="shared" si="1450"/>
        <v>20C</v>
      </c>
      <c r="E1245" s="10">
        <f>IF(ISBLANK(A1244),"",E1244+1)</f>
        <v>2</v>
      </c>
      <c r="F1245" s="11">
        <f t="shared" ref="F1245:F1249" si="1453">F1244</f>
        <v>45913.96389</v>
      </c>
      <c r="G1245" s="8">
        <v>0.159</v>
      </c>
    </row>
    <row r="1246">
      <c r="A1246" s="9" t="str">
        <f t="shared" si="1451"/>
        <v>WAHNOD</v>
      </c>
      <c r="B1246" s="9" t="str">
        <f>IF(ISBLANK(A1244),"",LEFT(B1245,27)&amp;VALUE(RIGHT(B1245,1)+1))</f>
        <v>DKR250911WAHNOD_20C_sample_3</v>
      </c>
      <c r="C1246" s="6" t="str">
        <f t="shared" ref="C1246:D1246" si="1452">C1245</f>
        <v>Wahlenbergia nodosa</v>
      </c>
      <c r="D1246" s="6" t="str">
        <f t="shared" si="1452"/>
        <v>20C</v>
      </c>
      <c r="E1246" s="10">
        <f>IF(ISBLANK(A1244),"",E1245+1)</f>
        <v>3</v>
      </c>
      <c r="F1246" s="11">
        <f t="shared" si="1453"/>
        <v>45913.96389</v>
      </c>
      <c r="G1246" s="8">
        <v>0.116</v>
      </c>
    </row>
    <row r="1247">
      <c r="A1247" s="9" t="str">
        <f t="shared" si="1451"/>
        <v>WAHNOD</v>
      </c>
      <c r="B1247" s="9" t="str">
        <f>IF(ISBLANK(A1244),"",LEFT(B1246,27)&amp;VALUE(RIGHT(B1246,1)+1))</f>
        <v>DKR250911WAHNOD_20C_sample_4</v>
      </c>
      <c r="C1247" s="6" t="str">
        <f t="shared" ref="C1247:D1247" si="1454">C1246</f>
        <v>Wahlenbergia nodosa</v>
      </c>
      <c r="D1247" s="6" t="str">
        <f t="shared" si="1454"/>
        <v>20C</v>
      </c>
      <c r="E1247" s="10">
        <f>IF(ISBLANK(A1244),"",E1246+1)</f>
        <v>4</v>
      </c>
      <c r="F1247" s="11">
        <f t="shared" si="1453"/>
        <v>45913.96389</v>
      </c>
      <c r="G1247" s="8">
        <v>0.609</v>
      </c>
    </row>
    <row r="1248">
      <c r="A1248" s="9" t="str">
        <f t="shared" si="1451"/>
        <v>WAHNOD</v>
      </c>
      <c r="B1248" s="9" t="str">
        <f>IF(ISBLANK(A1244),"",LEFT(B1247,27)&amp;VALUE(RIGHT(B1247,1)+1))</f>
        <v>DKR250911WAHNOD_20C_sample_5</v>
      </c>
      <c r="C1248" s="6" t="str">
        <f t="shared" ref="C1248:D1248" si="1455">C1247</f>
        <v>Wahlenbergia nodosa</v>
      </c>
      <c r="D1248" s="6" t="str">
        <f t="shared" si="1455"/>
        <v>20C</v>
      </c>
      <c r="E1248" s="10">
        <f>IF(ISBLANK(A1244),"",E1247+1)</f>
        <v>5</v>
      </c>
      <c r="F1248" s="11">
        <f t="shared" si="1453"/>
        <v>45913.96389</v>
      </c>
      <c r="G1248" s="8">
        <v>0.253</v>
      </c>
    </row>
    <row r="1249">
      <c r="A1249" s="12" t="str">
        <f t="shared" si="1451"/>
        <v>WAHNOD</v>
      </c>
      <c r="B1249" s="12" t="str">
        <f>IF(ISBLANK(A1244),"",LEFT(B1248,27)&amp;VALUE(RIGHT(B1248,1)+1))</f>
        <v>DKR250911WAHNOD_20C_sample_6</v>
      </c>
      <c r="C1249" s="13" t="str">
        <f t="shared" ref="C1249:D1249" si="1456">C1248</f>
        <v>Wahlenbergia nodosa</v>
      </c>
      <c r="D1249" s="13" t="str">
        <f t="shared" si="1456"/>
        <v>20C</v>
      </c>
      <c r="E1249" s="14">
        <f>IF(ISBLANK(A1244),"",E1248+1)</f>
        <v>6</v>
      </c>
      <c r="F1249" s="15">
        <f t="shared" si="1453"/>
        <v>45913.96389</v>
      </c>
      <c r="G1249" s="16">
        <v>0.345</v>
      </c>
    </row>
    <row r="1250">
      <c r="A1250" s="5" t="s">
        <v>12</v>
      </c>
      <c r="B1250" s="6" t="str">
        <f>IF(ISBLANK(A1250),"",VLOOKUP($A1250,'Data Feed (20C)'!$A$1:$G$14,2,FALSE))</f>
        <v>DKF250911AGACAP_20C_sample_1</v>
      </c>
      <c r="C1250" s="6" t="str">
        <f>IF(ISBLANK(A1250),"",VLOOKUP($A1250,'Data Feed (20C)'!$A$1:$G$14,3,FALSE))</f>
        <v>Agathosma capensis</v>
      </c>
      <c r="D1250" s="6" t="str">
        <f>IF(ISBLANK(A1250),"",VLOOKUP($A1250,'Data Feed (20C)'!$A$1:$G$14,4,FALSE))</f>
        <v>20C</v>
      </c>
      <c r="E1250" s="6">
        <f>IF(ISBLANK(A1250),"",VLOOKUP($A1250,'Data Feed (20C)'!$A$1:$G$14,7,FALSE))</f>
        <v>1</v>
      </c>
      <c r="F1250" s="7">
        <v>45914.350694444445</v>
      </c>
      <c r="G1250" s="8">
        <v>3.708</v>
      </c>
    </row>
    <row r="1251">
      <c r="A1251" s="9" t="str">
        <f t="shared" ref="A1251:A1255" si="1458">A1250</f>
        <v>AGACAP</v>
      </c>
      <c r="B1251" s="9" t="str">
        <f>IF(ISBLANK(A1250),"",LEFT(B1250,27)&amp;VALUE(RIGHT(B1250,1)+1))</f>
        <v>DKF250911AGACAP_20C_sample_2</v>
      </c>
      <c r="C1251" s="6" t="str">
        <f t="shared" ref="C1251:D1251" si="1457">C1250</f>
        <v>Agathosma capensis</v>
      </c>
      <c r="D1251" s="6" t="str">
        <f t="shared" si="1457"/>
        <v>20C</v>
      </c>
      <c r="E1251" s="10">
        <f>IF(ISBLANK(A1250),"",E1250+1)</f>
        <v>2</v>
      </c>
      <c r="F1251" s="11">
        <f t="shared" ref="F1251:F1255" si="1460">F1250</f>
        <v>45914.35069</v>
      </c>
      <c r="G1251" s="8">
        <v>1.268</v>
      </c>
    </row>
    <row r="1252">
      <c r="A1252" s="9" t="str">
        <f t="shared" si="1458"/>
        <v>AGACAP</v>
      </c>
      <c r="B1252" s="9" t="str">
        <f>IF(ISBLANK(A1250),"",LEFT(B1251,27)&amp;VALUE(RIGHT(B1251,1)+1))</f>
        <v>DKF250911AGACAP_20C_sample_3</v>
      </c>
      <c r="C1252" s="6" t="str">
        <f t="shared" ref="C1252:D1252" si="1459">C1251</f>
        <v>Agathosma capensis</v>
      </c>
      <c r="D1252" s="6" t="str">
        <f t="shared" si="1459"/>
        <v>20C</v>
      </c>
      <c r="E1252" s="10">
        <f>IF(ISBLANK(A1250),"",E1251+1)</f>
        <v>3</v>
      </c>
      <c r="F1252" s="11">
        <f t="shared" si="1460"/>
        <v>45914.35069</v>
      </c>
      <c r="G1252" s="8">
        <v>1.677</v>
      </c>
    </row>
    <row r="1253">
      <c r="A1253" s="9" t="str">
        <f t="shared" si="1458"/>
        <v>AGACAP</v>
      </c>
      <c r="B1253" s="9" t="str">
        <f>IF(ISBLANK(A1250),"",LEFT(B1252,27)&amp;VALUE(RIGHT(B1252,1)+1))</f>
        <v>DKF250911AGACAP_20C_sample_4</v>
      </c>
      <c r="C1253" s="6" t="str">
        <f t="shared" ref="C1253:D1253" si="1461">C1252</f>
        <v>Agathosma capensis</v>
      </c>
      <c r="D1253" s="6" t="str">
        <f t="shared" si="1461"/>
        <v>20C</v>
      </c>
      <c r="E1253" s="10">
        <f>IF(ISBLANK(A1250),"",E1252+1)</f>
        <v>4</v>
      </c>
      <c r="F1253" s="11">
        <f t="shared" si="1460"/>
        <v>45914.35069</v>
      </c>
      <c r="G1253" s="8">
        <v>1.255</v>
      </c>
    </row>
    <row r="1254">
      <c r="A1254" s="9" t="str">
        <f t="shared" si="1458"/>
        <v>AGACAP</v>
      </c>
      <c r="B1254" s="9" t="str">
        <f>IF(ISBLANK(A1250),"",LEFT(B1253,27)&amp;VALUE(RIGHT(B1253,1)+1))</f>
        <v>DKF250911AGACAP_20C_sample_5</v>
      </c>
      <c r="C1254" s="6" t="str">
        <f t="shared" ref="C1254:D1254" si="1462">C1253</f>
        <v>Agathosma capensis</v>
      </c>
      <c r="D1254" s="6" t="str">
        <f t="shared" si="1462"/>
        <v>20C</v>
      </c>
      <c r="E1254" s="10">
        <f>IF(ISBLANK(A1250),"",E1253+1)</f>
        <v>5</v>
      </c>
      <c r="F1254" s="11">
        <f t="shared" si="1460"/>
        <v>45914.35069</v>
      </c>
      <c r="G1254" s="8">
        <v>0.441</v>
      </c>
    </row>
    <row r="1255">
      <c r="A1255" s="12" t="str">
        <f t="shared" si="1458"/>
        <v>AGACAP</v>
      </c>
      <c r="B1255" s="12" t="str">
        <f>IF(ISBLANK(A1250),"",LEFT(B1254,27)&amp;VALUE(RIGHT(B1254,1)+1))</f>
        <v>DKF250911AGACAP_20C_sample_6</v>
      </c>
      <c r="C1255" s="13" t="str">
        <f t="shared" ref="C1255:D1255" si="1463">C1254</f>
        <v>Agathosma capensis</v>
      </c>
      <c r="D1255" s="13" t="str">
        <f t="shared" si="1463"/>
        <v>20C</v>
      </c>
      <c r="E1255" s="14">
        <f>IF(ISBLANK(A1250),"",E1254+1)</f>
        <v>6</v>
      </c>
      <c r="F1255" s="15">
        <f t="shared" si="1460"/>
        <v>45914.35069</v>
      </c>
      <c r="G1255" s="16">
        <v>1.328</v>
      </c>
    </row>
    <row r="1256">
      <c r="A1256" s="5" t="s">
        <v>14</v>
      </c>
      <c r="B1256" s="6" t="str">
        <f>IF(ISBLANK(A1256),"",VLOOKUP($A1256,'Data Feed (20C)'!$A$1:$G$14,2,FALSE))</f>
        <v>DKF250911ASPSHA_20C_sample_1</v>
      </c>
      <c r="C1256" s="6" t="str">
        <f>IF(ISBLANK(A1256),"",VLOOKUP($A1256,'Data Feed (20C)'!$A$1:$G$14,3,FALSE))</f>
        <v>Aspalathus shawii</v>
      </c>
      <c r="D1256" s="6" t="str">
        <f>IF(ISBLANK(A1256),"",VLOOKUP($A1256,'Data Feed (20C)'!$A$1:$G$14,4,FALSE))</f>
        <v>20C</v>
      </c>
      <c r="E1256" s="6">
        <f>IF(ISBLANK(A1256),"",VLOOKUP($A1256,'Data Feed (20C)'!$A$1:$G$14,7,FALSE))</f>
        <v>1</v>
      </c>
      <c r="F1256" s="7">
        <v>45914.35277777778</v>
      </c>
      <c r="G1256" s="8">
        <v>11.78</v>
      </c>
    </row>
    <row r="1257">
      <c r="A1257" s="9" t="str">
        <f t="shared" ref="A1257:A1261" si="1465">A1256</f>
        <v>ASPSHA</v>
      </c>
      <c r="B1257" s="9" t="str">
        <f>IF(ISBLANK(A1256),"",LEFT(B1256,27)&amp;VALUE(RIGHT(B1256,1)+1))</f>
        <v>DKF250911ASPSHA_20C_sample_2</v>
      </c>
      <c r="C1257" s="6" t="str">
        <f t="shared" ref="C1257:D1257" si="1464">C1256</f>
        <v>Aspalathus shawii</v>
      </c>
      <c r="D1257" s="6" t="str">
        <f t="shared" si="1464"/>
        <v>20C</v>
      </c>
      <c r="E1257" s="10">
        <f>IF(ISBLANK(A1256),"",E1256+1)</f>
        <v>2</v>
      </c>
      <c r="F1257" s="11">
        <f t="shared" ref="F1257:F1261" si="1467">F1256</f>
        <v>45914.35278</v>
      </c>
      <c r="G1257" s="8">
        <v>7.799</v>
      </c>
    </row>
    <row r="1258">
      <c r="A1258" s="9" t="str">
        <f t="shared" si="1465"/>
        <v>ASPSHA</v>
      </c>
      <c r="B1258" s="9" t="str">
        <f>IF(ISBLANK(A1256),"",LEFT(B1257,27)&amp;VALUE(RIGHT(B1257,1)+1))</f>
        <v>DKF250911ASPSHA_20C_sample_3</v>
      </c>
      <c r="C1258" s="6" t="str">
        <f t="shared" ref="C1258:D1258" si="1466">C1257</f>
        <v>Aspalathus shawii</v>
      </c>
      <c r="D1258" s="6" t="str">
        <f t="shared" si="1466"/>
        <v>20C</v>
      </c>
      <c r="E1258" s="10">
        <f>IF(ISBLANK(A1256),"",E1257+1)</f>
        <v>3</v>
      </c>
      <c r="F1258" s="11">
        <f t="shared" si="1467"/>
        <v>45914.35278</v>
      </c>
      <c r="G1258" s="8">
        <v>4.564</v>
      </c>
    </row>
    <row r="1259">
      <c r="A1259" s="9" t="str">
        <f t="shared" si="1465"/>
        <v>ASPSHA</v>
      </c>
      <c r="B1259" s="9" t="str">
        <f>IF(ISBLANK(A1256),"",LEFT(B1258,27)&amp;VALUE(RIGHT(B1258,1)+1))</f>
        <v>DKF250911ASPSHA_20C_sample_4</v>
      </c>
      <c r="C1259" s="6" t="str">
        <f t="shared" ref="C1259:D1259" si="1468">C1258</f>
        <v>Aspalathus shawii</v>
      </c>
      <c r="D1259" s="6" t="str">
        <f t="shared" si="1468"/>
        <v>20C</v>
      </c>
      <c r="E1259" s="10">
        <f>IF(ISBLANK(A1256),"",E1258+1)</f>
        <v>4</v>
      </c>
      <c r="F1259" s="11">
        <f t="shared" si="1467"/>
        <v>45914.35278</v>
      </c>
      <c r="G1259" s="8">
        <v>11.059</v>
      </c>
    </row>
    <row r="1260">
      <c r="A1260" s="9" t="str">
        <f t="shared" si="1465"/>
        <v>ASPSHA</v>
      </c>
      <c r="B1260" s="9" t="str">
        <f>IF(ISBLANK(A1256),"",LEFT(B1259,27)&amp;VALUE(RIGHT(B1259,1)+1))</f>
        <v>DKF250911ASPSHA_20C_sample_5</v>
      </c>
      <c r="C1260" s="6" t="str">
        <f t="shared" ref="C1260:D1260" si="1469">C1259</f>
        <v>Aspalathus shawii</v>
      </c>
      <c r="D1260" s="6" t="str">
        <f t="shared" si="1469"/>
        <v>20C</v>
      </c>
      <c r="E1260" s="10">
        <f>IF(ISBLANK(A1256),"",E1259+1)</f>
        <v>5</v>
      </c>
      <c r="F1260" s="11">
        <f t="shared" si="1467"/>
        <v>45914.35278</v>
      </c>
      <c r="G1260" s="8">
        <v>3.171</v>
      </c>
    </row>
    <row r="1261">
      <c r="A1261" s="12" t="str">
        <f t="shared" si="1465"/>
        <v>ASPSHA</v>
      </c>
      <c r="B1261" s="12" t="str">
        <f>IF(ISBLANK(A1256),"",LEFT(B1260,27)&amp;VALUE(RIGHT(B1260,1)+1))</f>
        <v>DKF250911ASPSHA_20C_sample_6</v>
      </c>
      <c r="C1261" s="13" t="str">
        <f t="shared" ref="C1261:D1261" si="1470">C1260</f>
        <v>Aspalathus shawii</v>
      </c>
      <c r="D1261" s="13" t="str">
        <f t="shared" si="1470"/>
        <v>20C</v>
      </c>
      <c r="E1261" s="14">
        <f>IF(ISBLANK(A1256),"",E1260+1)</f>
        <v>6</v>
      </c>
      <c r="F1261" s="15">
        <f t="shared" si="1467"/>
        <v>45914.35278</v>
      </c>
      <c r="G1261" s="16">
        <v>9.155</v>
      </c>
    </row>
    <row r="1262">
      <c r="A1262" s="5" t="s">
        <v>19</v>
      </c>
      <c r="B1262" s="6" t="str">
        <f>IF(ISBLANK(A1262),"",VLOOKUP($A1262,'Data Feed (20C)'!$A$1:$G$14,2,FALSE))</f>
        <v>DKR250911CLURUB_20C_sample_1</v>
      </c>
      <c r="C1262" s="6" t="str">
        <f>IF(ISBLANK(A1262),"",VLOOKUP($A1262,'Data Feed (20C)'!$A$1:$G$14,3,FALSE))</f>
        <v>Clutia rubricaulis</v>
      </c>
      <c r="D1262" s="6" t="str">
        <f>IF(ISBLANK(A1262),"",VLOOKUP($A1262,'Data Feed (20C)'!$A$1:$G$14,4,FALSE))</f>
        <v>20C</v>
      </c>
      <c r="E1262" s="6">
        <f>IF(ISBLANK(A1262),"",VLOOKUP($A1262,'Data Feed (20C)'!$A$1:$G$14,7,FALSE))</f>
        <v>1</v>
      </c>
      <c r="F1262" s="7">
        <v>45914.35555555556</v>
      </c>
      <c r="G1262" s="8">
        <v>0.347</v>
      </c>
    </row>
    <row r="1263">
      <c r="A1263" s="9" t="str">
        <f t="shared" ref="A1263:A1267" si="1472">A1262</f>
        <v>CLURUB</v>
      </c>
      <c r="B1263" s="9" t="str">
        <f>IF(ISBLANK(A1262),"",LEFT(B1262,27)&amp;VALUE(RIGHT(B1262,1)+1))</f>
        <v>DKR250911CLURUB_20C_sample_2</v>
      </c>
      <c r="C1263" s="6" t="str">
        <f t="shared" ref="C1263:D1263" si="1471">C1262</f>
        <v>Clutia rubricaulis</v>
      </c>
      <c r="D1263" s="6" t="str">
        <f t="shared" si="1471"/>
        <v>20C</v>
      </c>
      <c r="E1263" s="10">
        <f>IF(ISBLANK(A1262),"",E1262+1)</f>
        <v>2</v>
      </c>
      <c r="F1263" s="11">
        <f t="shared" ref="F1263:F1267" si="1474">F1262</f>
        <v>45914.35556</v>
      </c>
      <c r="G1263" s="8">
        <v>0.267</v>
      </c>
    </row>
    <row r="1264">
      <c r="A1264" s="9" t="str">
        <f t="shared" si="1472"/>
        <v>CLURUB</v>
      </c>
      <c r="B1264" s="9" t="str">
        <f>IF(ISBLANK(A1262),"",LEFT(B1263,27)&amp;VALUE(RIGHT(B1263,1)+1))</f>
        <v>DKR250911CLURUB_20C_sample_3</v>
      </c>
      <c r="C1264" s="6" t="str">
        <f t="shared" ref="C1264:D1264" si="1473">C1263</f>
        <v>Clutia rubricaulis</v>
      </c>
      <c r="D1264" s="6" t="str">
        <f t="shared" si="1473"/>
        <v>20C</v>
      </c>
      <c r="E1264" s="10">
        <f>IF(ISBLANK(A1262),"",E1263+1)</f>
        <v>3</v>
      </c>
      <c r="F1264" s="11">
        <f t="shared" si="1474"/>
        <v>45914.35556</v>
      </c>
      <c r="G1264" s="8">
        <v>0.353</v>
      </c>
    </row>
    <row r="1265">
      <c r="A1265" s="9" t="str">
        <f t="shared" si="1472"/>
        <v>CLURUB</v>
      </c>
      <c r="B1265" s="9" t="str">
        <f>IF(ISBLANK(A1262),"",LEFT(B1264,27)&amp;VALUE(RIGHT(B1264,1)+1))</f>
        <v>DKR250911CLURUB_20C_sample_4</v>
      </c>
      <c r="C1265" s="6" t="str">
        <f t="shared" ref="C1265:D1265" si="1475">C1264</f>
        <v>Clutia rubricaulis</v>
      </c>
      <c r="D1265" s="6" t="str">
        <f t="shared" si="1475"/>
        <v>20C</v>
      </c>
      <c r="E1265" s="10">
        <f>IF(ISBLANK(A1262),"",E1264+1)</f>
        <v>4</v>
      </c>
      <c r="F1265" s="11">
        <f t="shared" si="1474"/>
        <v>45914.35556</v>
      </c>
      <c r="G1265" s="8">
        <v>0.157</v>
      </c>
    </row>
    <row r="1266">
      <c r="A1266" s="9" t="str">
        <f t="shared" si="1472"/>
        <v>CLURUB</v>
      </c>
      <c r="B1266" s="9" t="str">
        <f>IF(ISBLANK(A1262),"",LEFT(B1265,27)&amp;VALUE(RIGHT(B1265,1)+1))</f>
        <v>DKR250911CLURUB_20C_sample_5</v>
      </c>
      <c r="C1266" s="6" t="str">
        <f t="shared" ref="C1266:D1266" si="1476">C1265</f>
        <v>Clutia rubricaulis</v>
      </c>
      <c r="D1266" s="6" t="str">
        <f t="shared" si="1476"/>
        <v>20C</v>
      </c>
      <c r="E1266" s="10">
        <f>IF(ISBLANK(A1262),"",E1265+1)</f>
        <v>5</v>
      </c>
      <c r="F1266" s="11">
        <f t="shared" si="1474"/>
        <v>45914.35556</v>
      </c>
      <c r="G1266" s="8">
        <v>0.338</v>
      </c>
    </row>
    <row r="1267">
      <c r="A1267" s="12" t="str">
        <f t="shared" si="1472"/>
        <v>CLURUB</v>
      </c>
      <c r="B1267" s="12" t="str">
        <f>IF(ISBLANK(A1262),"",LEFT(B1266,27)&amp;VALUE(RIGHT(B1266,1)+1))</f>
        <v>DKR250911CLURUB_20C_sample_6</v>
      </c>
      <c r="C1267" s="13" t="str">
        <f t="shared" ref="C1267:D1267" si="1477">C1266</f>
        <v>Clutia rubricaulis</v>
      </c>
      <c r="D1267" s="13" t="str">
        <f t="shared" si="1477"/>
        <v>20C</v>
      </c>
      <c r="E1267" s="14">
        <f>IF(ISBLANK(A1262),"",E1266+1)</f>
        <v>6</v>
      </c>
      <c r="F1267" s="15">
        <f t="shared" si="1474"/>
        <v>45914.35556</v>
      </c>
      <c r="G1267" s="16">
        <v>0.268</v>
      </c>
    </row>
    <row r="1268">
      <c r="A1268" s="5" t="s">
        <v>15</v>
      </c>
      <c r="B1268" s="6" t="str">
        <f>IF(ISBLANK(A1268),"",VLOOKUP($A1268,'Data Feed (20C)'!$A$1:$G$14,2,FALSE))</f>
        <v>DKR250911ELYRHI_20C_sample_1</v>
      </c>
      <c r="C1268" s="6" t="str">
        <f>IF(ISBLANK(A1268),"",VLOOKUP($A1268,'Data Feed (20C)'!$A$1:$G$14,3,FALSE))</f>
        <v>Elytropappus rhinocerotis</v>
      </c>
      <c r="D1268" s="6" t="str">
        <f>IF(ISBLANK(A1268),"",VLOOKUP($A1268,'Data Feed (20C)'!$A$1:$G$14,4,FALSE))</f>
        <v>20C</v>
      </c>
      <c r="E1268" s="6">
        <f>IF(ISBLANK(A1268),"",VLOOKUP($A1268,'Data Feed (20C)'!$A$1:$G$14,7,FALSE))</f>
        <v>1</v>
      </c>
      <c r="F1268" s="7">
        <v>45914.356944444444</v>
      </c>
      <c r="G1268" s="8">
        <v>2.715</v>
      </c>
    </row>
    <row r="1269">
      <c r="A1269" s="9" t="str">
        <f t="shared" ref="A1269:A1273" si="1479">A1268</f>
        <v>ELYRHI</v>
      </c>
      <c r="B1269" s="9" t="str">
        <f>IF(ISBLANK(A1268),"",LEFT(B1268,27)&amp;VALUE(RIGHT(B1268,1)+1))</f>
        <v>DKR250911ELYRHI_20C_sample_2</v>
      </c>
      <c r="C1269" s="6" t="str">
        <f t="shared" ref="C1269:D1269" si="1478">C1268</f>
        <v>Elytropappus rhinocerotis</v>
      </c>
      <c r="D1269" s="6" t="str">
        <f t="shared" si="1478"/>
        <v>20C</v>
      </c>
      <c r="E1269" s="10">
        <f>IF(ISBLANK(A1268),"",E1268+1)</f>
        <v>2</v>
      </c>
      <c r="F1269" s="11">
        <f t="shared" ref="F1269:F1273" si="1481">F1268</f>
        <v>45914.35694</v>
      </c>
      <c r="G1269" s="8">
        <v>3.01</v>
      </c>
    </row>
    <row r="1270">
      <c r="A1270" s="9" t="str">
        <f t="shared" si="1479"/>
        <v>ELYRHI</v>
      </c>
      <c r="B1270" s="9" t="str">
        <f>IF(ISBLANK(A1268),"",LEFT(B1269,27)&amp;VALUE(RIGHT(B1269,1)+1))</f>
        <v>DKR250911ELYRHI_20C_sample_3</v>
      </c>
      <c r="C1270" s="6" t="str">
        <f t="shared" ref="C1270:D1270" si="1480">C1269</f>
        <v>Elytropappus rhinocerotis</v>
      </c>
      <c r="D1270" s="6" t="str">
        <f t="shared" si="1480"/>
        <v>20C</v>
      </c>
      <c r="E1270" s="10">
        <f>IF(ISBLANK(A1268),"",E1269+1)</f>
        <v>3</v>
      </c>
      <c r="F1270" s="11">
        <f t="shared" si="1481"/>
        <v>45914.35694</v>
      </c>
      <c r="G1270" s="8">
        <v>5.029</v>
      </c>
    </row>
    <row r="1271">
      <c r="A1271" s="9" t="str">
        <f t="shared" si="1479"/>
        <v>ELYRHI</v>
      </c>
      <c r="B1271" s="9" t="str">
        <f>IF(ISBLANK(A1268),"",LEFT(B1270,27)&amp;VALUE(RIGHT(B1270,1)+1))</f>
        <v>DKR250911ELYRHI_20C_sample_4</v>
      </c>
      <c r="C1271" s="6" t="str">
        <f t="shared" ref="C1271:D1271" si="1482">C1270</f>
        <v>Elytropappus rhinocerotis</v>
      </c>
      <c r="D1271" s="6" t="str">
        <f t="shared" si="1482"/>
        <v>20C</v>
      </c>
      <c r="E1271" s="10">
        <f>IF(ISBLANK(A1268),"",E1270+1)</f>
        <v>4</v>
      </c>
      <c r="F1271" s="11">
        <f t="shared" si="1481"/>
        <v>45914.35694</v>
      </c>
      <c r="G1271" s="8">
        <v>2.999</v>
      </c>
    </row>
    <row r="1272">
      <c r="A1272" s="9" t="str">
        <f t="shared" si="1479"/>
        <v>ELYRHI</v>
      </c>
      <c r="B1272" s="9" t="str">
        <f>IF(ISBLANK(A1268),"",LEFT(B1271,27)&amp;VALUE(RIGHT(B1271,1)+1))</f>
        <v>DKR250911ELYRHI_20C_sample_5</v>
      </c>
      <c r="C1272" s="6" t="str">
        <f t="shared" ref="C1272:D1272" si="1483">C1271</f>
        <v>Elytropappus rhinocerotis</v>
      </c>
      <c r="D1272" s="6" t="str">
        <f t="shared" si="1483"/>
        <v>20C</v>
      </c>
      <c r="E1272" s="10">
        <f>IF(ISBLANK(A1268),"",E1271+1)</f>
        <v>5</v>
      </c>
      <c r="F1272" s="11">
        <f t="shared" si="1481"/>
        <v>45914.35694</v>
      </c>
      <c r="G1272" s="8">
        <v>1.906</v>
      </c>
    </row>
    <row r="1273">
      <c r="A1273" s="12" t="str">
        <f t="shared" si="1479"/>
        <v>ELYRHI</v>
      </c>
      <c r="B1273" s="12" t="str">
        <f>IF(ISBLANK(A1268),"",LEFT(B1272,27)&amp;VALUE(RIGHT(B1272,1)+1))</f>
        <v>DKR250911ELYRHI_20C_sample_6</v>
      </c>
      <c r="C1273" s="13" t="str">
        <f t="shared" ref="C1273:D1273" si="1484">C1272</f>
        <v>Elytropappus rhinocerotis</v>
      </c>
      <c r="D1273" s="13" t="str">
        <f t="shared" si="1484"/>
        <v>20C</v>
      </c>
      <c r="E1273" s="14">
        <f>IF(ISBLANK(A1268),"",E1272+1)</f>
        <v>6</v>
      </c>
      <c r="F1273" s="15">
        <f t="shared" si="1481"/>
        <v>45914.35694</v>
      </c>
      <c r="G1273" s="16">
        <v>1.578</v>
      </c>
    </row>
    <row r="1274">
      <c r="A1274" s="5" t="s">
        <v>10</v>
      </c>
      <c r="B1274" s="6" t="str">
        <f>IF(ISBLANK(A1274),"",VLOOKUP($A1274,'Data Feed (20C)'!$A$1:$G$14,2,FALSE))</f>
        <v>DKF250911LOBDEC_20C_sample_1</v>
      </c>
      <c r="C1274" s="6" t="str">
        <f>IF(ISBLANK(A1274),"",VLOOKUP($A1274,'Data Feed (20C)'!$A$1:$G$14,3,FALSE))</f>
        <v>Lobostemon decorus</v>
      </c>
      <c r="D1274" s="6" t="str">
        <f>IF(ISBLANK(A1274),"",VLOOKUP($A1274,'Data Feed (20C)'!$A$1:$G$14,4,FALSE))</f>
        <v>20C</v>
      </c>
      <c r="E1274" s="6">
        <f>IF(ISBLANK(A1274),"",VLOOKUP($A1274,'Data Feed (20C)'!$A$1:$G$14,7,FALSE))</f>
        <v>1</v>
      </c>
      <c r="F1274" s="7">
        <v>45914.35833333333</v>
      </c>
      <c r="G1274" s="8">
        <v>4.53</v>
      </c>
    </row>
    <row r="1275">
      <c r="A1275" s="9" t="str">
        <f t="shared" ref="A1275:A1279" si="1486">A1274</f>
        <v>LOBDEC</v>
      </c>
      <c r="B1275" s="9" t="str">
        <f>IF(ISBLANK(A1274),"",LEFT(B1274,27)&amp;VALUE(RIGHT(B1274,1)+1))</f>
        <v>DKF250911LOBDEC_20C_sample_2</v>
      </c>
      <c r="C1275" s="6" t="str">
        <f t="shared" ref="C1275:D1275" si="1485">C1274</f>
        <v>Lobostemon decorus</v>
      </c>
      <c r="D1275" s="6" t="str">
        <f t="shared" si="1485"/>
        <v>20C</v>
      </c>
      <c r="E1275" s="10">
        <f>IF(ISBLANK(A1274),"",E1274+1)</f>
        <v>2</v>
      </c>
      <c r="F1275" s="11">
        <f t="shared" ref="F1275:F1279" si="1488">F1274</f>
        <v>45914.35833</v>
      </c>
      <c r="G1275" s="8">
        <v>4.237</v>
      </c>
    </row>
    <row r="1276">
      <c r="A1276" s="9" t="str">
        <f t="shared" si="1486"/>
        <v>LOBDEC</v>
      </c>
      <c r="B1276" s="9" t="str">
        <f>IF(ISBLANK(A1274),"",LEFT(B1275,27)&amp;VALUE(RIGHT(B1275,1)+1))</f>
        <v>DKF250911LOBDEC_20C_sample_3</v>
      </c>
      <c r="C1276" s="6" t="str">
        <f t="shared" ref="C1276:D1276" si="1487">C1275</f>
        <v>Lobostemon decorus</v>
      </c>
      <c r="D1276" s="6" t="str">
        <f t="shared" si="1487"/>
        <v>20C</v>
      </c>
      <c r="E1276" s="10">
        <f>IF(ISBLANK(A1274),"",E1275+1)</f>
        <v>3</v>
      </c>
      <c r="F1276" s="11">
        <f t="shared" si="1488"/>
        <v>45914.35833</v>
      </c>
      <c r="G1276" s="8">
        <v>6.291</v>
      </c>
    </row>
    <row r="1277">
      <c r="A1277" s="9" t="str">
        <f t="shared" si="1486"/>
        <v>LOBDEC</v>
      </c>
      <c r="B1277" s="9" t="str">
        <f>IF(ISBLANK(A1274),"",LEFT(B1276,27)&amp;VALUE(RIGHT(B1276,1)+1))</f>
        <v>DKF250911LOBDEC_20C_sample_4</v>
      </c>
      <c r="C1277" s="6" t="str">
        <f t="shared" ref="C1277:D1277" si="1489">C1276</f>
        <v>Lobostemon decorus</v>
      </c>
      <c r="D1277" s="6" t="str">
        <f t="shared" si="1489"/>
        <v>20C</v>
      </c>
      <c r="E1277" s="10">
        <f>IF(ISBLANK(A1274),"",E1276+1)</f>
        <v>4</v>
      </c>
      <c r="F1277" s="11">
        <f t="shared" si="1488"/>
        <v>45914.35833</v>
      </c>
      <c r="G1277" s="8">
        <v>4.103</v>
      </c>
    </row>
    <row r="1278">
      <c r="A1278" s="9" t="str">
        <f t="shared" si="1486"/>
        <v>LOBDEC</v>
      </c>
      <c r="B1278" s="9" t="str">
        <f>IF(ISBLANK(A1274),"",LEFT(B1277,27)&amp;VALUE(RIGHT(B1277,1)+1))</f>
        <v>DKF250911LOBDEC_20C_sample_5</v>
      </c>
      <c r="C1278" s="6" t="str">
        <f t="shared" ref="C1278:D1278" si="1490">C1277</f>
        <v>Lobostemon decorus</v>
      </c>
      <c r="D1278" s="6" t="str">
        <f t="shared" si="1490"/>
        <v>20C</v>
      </c>
      <c r="E1278" s="10">
        <f>IF(ISBLANK(A1274),"",E1277+1)</f>
        <v>5</v>
      </c>
      <c r="F1278" s="11">
        <f t="shared" si="1488"/>
        <v>45914.35833</v>
      </c>
      <c r="G1278" s="8">
        <v>2.881</v>
      </c>
    </row>
    <row r="1279">
      <c r="A1279" s="12" t="str">
        <f t="shared" si="1486"/>
        <v>LOBDEC</v>
      </c>
      <c r="B1279" s="12" t="str">
        <f>IF(ISBLANK(A1274),"",LEFT(B1278,27)&amp;VALUE(RIGHT(B1278,1)+1))</f>
        <v>DKF250911LOBDEC_20C_sample_6</v>
      </c>
      <c r="C1279" s="13" t="str">
        <f t="shared" ref="C1279:D1279" si="1491">C1278</f>
        <v>Lobostemon decorus</v>
      </c>
      <c r="D1279" s="13" t="str">
        <f t="shared" si="1491"/>
        <v>20C</v>
      </c>
      <c r="E1279" s="14">
        <f>IF(ISBLANK(A1274),"",E1278+1)</f>
        <v>6</v>
      </c>
      <c r="F1279" s="15">
        <f t="shared" si="1488"/>
        <v>45914.35833</v>
      </c>
      <c r="G1279" s="16">
        <v>2.432</v>
      </c>
    </row>
    <row r="1280">
      <c r="A1280" s="5" t="s">
        <v>16</v>
      </c>
      <c r="B1280" s="6" t="str">
        <f>IF(ISBLANK(A1280),"",VLOOKUP($A1280,'Data Feed (20C)'!$A$1:$G$14,2,FALSE))</f>
        <v>DKR250911MICPOL_20C_sample_1</v>
      </c>
      <c r="C1280" s="6" t="str">
        <f>IF(ISBLANK(A1280),"",VLOOKUP($A1280,'Data Feed (20C)'!$A$1:$G$14,3,FALSE))</f>
        <v>Microdon polygaloides</v>
      </c>
      <c r="D1280" s="6" t="str">
        <f>IF(ISBLANK(A1280),"",VLOOKUP($A1280,'Data Feed (20C)'!$A$1:$G$14,4,FALSE))</f>
        <v>20C</v>
      </c>
      <c r="E1280" s="6">
        <f>IF(ISBLANK(A1280),"",VLOOKUP($A1280,'Data Feed (20C)'!$A$1:$G$14,7,FALSE))</f>
        <v>1</v>
      </c>
      <c r="F1280" s="7">
        <v>45914.35972222222</v>
      </c>
      <c r="G1280" s="8">
        <v>1.091</v>
      </c>
    </row>
    <row r="1281">
      <c r="A1281" s="9" t="str">
        <f t="shared" ref="A1281:A1285" si="1493">A1280</f>
        <v>MICPOL</v>
      </c>
      <c r="B1281" s="9" t="str">
        <f>IF(ISBLANK(A1280),"",LEFT(B1280,27)&amp;VALUE(RIGHT(B1280,1)+1))</f>
        <v>DKR250911MICPOL_20C_sample_2</v>
      </c>
      <c r="C1281" s="6" t="str">
        <f t="shared" ref="C1281:D1281" si="1492">C1280</f>
        <v>Microdon polygaloides</v>
      </c>
      <c r="D1281" s="6" t="str">
        <f t="shared" si="1492"/>
        <v>20C</v>
      </c>
      <c r="E1281" s="10">
        <f>IF(ISBLANK(A1280),"",E1280+1)</f>
        <v>2</v>
      </c>
      <c r="F1281" s="11">
        <f t="shared" ref="F1281:F1285" si="1495">F1280</f>
        <v>45914.35972</v>
      </c>
      <c r="G1281" s="8">
        <v>0.737</v>
      </c>
    </row>
    <row r="1282">
      <c r="A1282" s="9" t="str">
        <f t="shared" si="1493"/>
        <v>MICPOL</v>
      </c>
      <c r="B1282" s="9" t="str">
        <f>IF(ISBLANK(A1280),"",LEFT(B1281,27)&amp;VALUE(RIGHT(B1281,1)+1))</f>
        <v>DKR250911MICPOL_20C_sample_3</v>
      </c>
      <c r="C1282" s="6" t="str">
        <f t="shared" ref="C1282:D1282" si="1494">C1281</f>
        <v>Microdon polygaloides</v>
      </c>
      <c r="D1282" s="6" t="str">
        <f t="shared" si="1494"/>
        <v>20C</v>
      </c>
      <c r="E1282" s="10">
        <f>IF(ISBLANK(A1280),"",E1281+1)</f>
        <v>3</v>
      </c>
      <c r="F1282" s="11">
        <f t="shared" si="1495"/>
        <v>45914.35972</v>
      </c>
      <c r="G1282" s="8">
        <v>0.304</v>
      </c>
    </row>
    <row r="1283">
      <c r="A1283" s="9" t="str">
        <f t="shared" si="1493"/>
        <v>MICPOL</v>
      </c>
      <c r="B1283" s="9" t="str">
        <f>IF(ISBLANK(A1280),"",LEFT(B1282,27)&amp;VALUE(RIGHT(B1282,1)+1))</f>
        <v>DKR250911MICPOL_20C_sample_4</v>
      </c>
      <c r="C1283" s="6" t="str">
        <f t="shared" ref="C1283:D1283" si="1496">C1282</f>
        <v>Microdon polygaloides</v>
      </c>
      <c r="D1283" s="6" t="str">
        <f t="shared" si="1496"/>
        <v>20C</v>
      </c>
      <c r="E1283" s="10">
        <f>IF(ISBLANK(A1280),"",E1282+1)</f>
        <v>4</v>
      </c>
      <c r="F1283" s="11">
        <f t="shared" si="1495"/>
        <v>45914.35972</v>
      </c>
      <c r="G1283" s="8">
        <v>0.14</v>
      </c>
    </row>
    <row r="1284">
      <c r="A1284" s="9" t="str">
        <f t="shared" si="1493"/>
        <v>MICPOL</v>
      </c>
      <c r="B1284" s="9" t="str">
        <f>IF(ISBLANK(A1280),"",LEFT(B1283,27)&amp;VALUE(RIGHT(B1283,1)+1))</f>
        <v>DKR250911MICPOL_20C_sample_5</v>
      </c>
      <c r="C1284" s="6" t="str">
        <f t="shared" ref="C1284:D1284" si="1497">C1283</f>
        <v>Microdon polygaloides</v>
      </c>
      <c r="D1284" s="6" t="str">
        <f t="shared" si="1497"/>
        <v>20C</v>
      </c>
      <c r="E1284" s="10">
        <f>IF(ISBLANK(A1280),"",E1283+1)</f>
        <v>5</v>
      </c>
      <c r="F1284" s="11">
        <f t="shared" si="1495"/>
        <v>45914.35972</v>
      </c>
      <c r="G1284" s="8">
        <v>0.225</v>
      </c>
    </row>
    <row r="1285">
      <c r="A1285" s="12" t="str">
        <f t="shared" si="1493"/>
        <v>MICPOL</v>
      </c>
      <c r="B1285" s="12" t="str">
        <f>IF(ISBLANK(A1280),"",LEFT(B1284,27)&amp;VALUE(RIGHT(B1284,1)+1))</f>
        <v>DKR250911MICPOL_20C_sample_6</v>
      </c>
      <c r="C1285" s="13" t="str">
        <f t="shared" ref="C1285:D1285" si="1498">C1284</f>
        <v>Microdon polygaloides</v>
      </c>
      <c r="D1285" s="13" t="str">
        <f t="shared" si="1498"/>
        <v>20C</v>
      </c>
      <c r="E1285" s="14">
        <f>IF(ISBLANK(A1280),"",E1284+1)</f>
        <v>6</v>
      </c>
      <c r="F1285" s="15">
        <f t="shared" si="1495"/>
        <v>45914.35972</v>
      </c>
      <c r="G1285" s="16">
        <v>0.176</v>
      </c>
    </row>
    <row r="1286">
      <c r="A1286" s="5" t="s">
        <v>17</v>
      </c>
      <c r="B1286" s="6" t="str">
        <f>IF(ISBLANK(A1286),"",VLOOKUP($A1286,'Data Feed (20C)'!$A$1:$G$14,2,FALSE))</f>
        <v>DKR250911OEDSQU_20C_sample_1</v>
      </c>
      <c r="C1286" s="6" t="str">
        <f>IF(ISBLANK(A1286),"",VLOOKUP($A1286,'Data Feed (20C)'!$A$1:$G$14,3,FALSE))</f>
        <v>Oedera squarrosa</v>
      </c>
      <c r="D1286" s="6" t="str">
        <f>IF(ISBLANK(A1286),"",VLOOKUP($A1286,'Data Feed (20C)'!$A$1:$G$14,4,FALSE))</f>
        <v>20C</v>
      </c>
      <c r="E1286" s="6">
        <f>IF(ISBLANK(A1286),"",VLOOKUP($A1286,'Data Feed (20C)'!$A$1:$G$14,7,FALSE))</f>
        <v>1</v>
      </c>
      <c r="F1286" s="7">
        <v>45914.36111111111</v>
      </c>
      <c r="G1286" s="8">
        <v>0.967</v>
      </c>
    </row>
    <row r="1287">
      <c r="A1287" s="9" t="str">
        <f t="shared" ref="A1287:A1291" si="1500">A1286</f>
        <v>OEDSQU</v>
      </c>
      <c r="B1287" s="9" t="str">
        <f>IF(ISBLANK(A1286),"",LEFT(B1286,27)&amp;VALUE(RIGHT(B1286,1)+1))</f>
        <v>DKR250911OEDSQU_20C_sample_2</v>
      </c>
      <c r="C1287" s="6" t="str">
        <f t="shared" ref="C1287:D1287" si="1499">C1286</f>
        <v>Oedera squarrosa</v>
      </c>
      <c r="D1287" s="6" t="str">
        <f t="shared" si="1499"/>
        <v>20C</v>
      </c>
      <c r="E1287" s="10">
        <f>IF(ISBLANK(A1286),"",E1286+1)</f>
        <v>2</v>
      </c>
      <c r="F1287" s="11">
        <f t="shared" ref="F1287:F1291" si="1502">F1286</f>
        <v>45914.36111</v>
      </c>
      <c r="G1287" s="8">
        <v>0.791</v>
      </c>
    </row>
    <row r="1288">
      <c r="A1288" s="9" t="str">
        <f t="shared" si="1500"/>
        <v>OEDSQU</v>
      </c>
      <c r="B1288" s="9" t="str">
        <f>IF(ISBLANK(A1286),"",LEFT(B1287,27)&amp;VALUE(RIGHT(B1287,1)+1))</f>
        <v>DKR250911OEDSQU_20C_sample_3</v>
      </c>
      <c r="C1288" s="6" t="str">
        <f t="shared" ref="C1288:D1288" si="1501">C1287</f>
        <v>Oedera squarrosa</v>
      </c>
      <c r="D1288" s="6" t="str">
        <f t="shared" si="1501"/>
        <v>20C</v>
      </c>
      <c r="E1288" s="10">
        <f>IF(ISBLANK(A1286),"",E1287+1)</f>
        <v>3</v>
      </c>
      <c r="F1288" s="11">
        <f t="shared" si="1502"/>
        <v>45914.36111</v>
      </c>
      <c r="G1288" s="8">
        <v>1.167</v>
      </c>
    </row>
    <row r="1289">
      <c r="A1289" s="9" t="str">
        <f t="shared" si="1500"/>
        <v>OEDSQU</v>
      </c>
      <c r="B1289" s="9" t="str">
        <f>IF(ISBLANK(A1286),"",LEFT(B1288,27)&amp;VALUE(RIGHT(B1288,1)+1))</f>
        <v>DKR250911OEDSQU_20C_sample_4</v>
      </c>
      <c r="C1289" s="6" t="str">
        <f t="shared" ref="C1289:D1289" si="1503">C1288</f>
        <v>Oedera squarrosa</v>
      </c>
      <c r="D1289" s="6" t="str">
        <f t="shared" si="1503"/>
        <v>20C</v>
      </c>
      <c r="E1289" s="10">
        <f>IF(ISBLANK(A1286),"",E1288+1)</f>
        <v>4</v>
      </c>
      <c r="F1289" s="11">
        <f t="shared" si="1502"/>
        <v>45914.36111</v>
      </c>
      <c r="G1289" s="8">
        <v>1.049</v>
      </c>
    </row>
    <row r="1290">
      <c r="A1290" s="9" t="str">
        <f t="shared" si="1500"/>
        <v>OEDSQU</v>
      </c>
      <c r="B1290" s="9" t="str">
        <f>IF(ISBLANK(A1286),"",LEFT(B1289,27)&amp;VALUE(RIGHT(B1289,1)+1))</f>
        <v>DKR250911OEDSQU_20C_sample_5</v>
      </c>
      <c r="C1290" s="6" t="str">
        <f t="shared" ref="C1290:D1290" si="1504">C1289</f>
        <v>Oedera squarrosa</v>
      </c>
      <c r="D1290" s="6" t="str">
        <f t="shared" si="1504"/>
        <v>20C</v>
      </c>
      <c r="E1290" s="10">
        <f>IF(ISBLANK(A1286),"",E1289+1)</f>
        <v>5</v>
      </c>
      <c r="F1290" s="11">
        <f t="shared" si="1502"/>
        <v>45914.36111</v>
      </c>
      <c r="G1290" s="8">
        <v>0.489</v>
      </c>
    </row>
    <row r="1291">
      <c r="A1291" s="12" t="str">
        <f t="shared" si="1500"/>
        <v>OEDSQU</v>
      </c>
      <c r="B1291" s="12" t="str">
        <f>IF(ISBLANK(A1286),"",LEFT(B1290,27)&amp;VALUE(RIGHT(B1290,1)+1))</f>
        <v>DKR250911OEDSQU_20C_sample_6</v>
      </c>
      <c r="C1291" s="13" t="str">
        <f t="shared" ref="C1291:D1291" si="1505">C1290</f>
        <v>Oedera squarrosa</v>
      </c>
      <c r="D1291" s="13" t="str">
        <f t="shared" si="1505"/>
        <v>20C</v>
      </c>
      <c r="E1291" s="14">
        <f>IF(ISBLANK(A1286),"",E1290+1)</f>
        <v>6</v>
      </c>
      <c r="F1291" s="15">
        <f t="shared" si="1502"/>
        <v>45914.36111</v>
      </c>
      <c r="G1291" s="16">
        <v>0.188</v>
      </c>
    </row>
    <row r="1292">
      <c r="A1292" s="5" t="s">
        <v>7</v>
      </c>
      <c r="B1292" s="6" t="str">
        <f>IF(ISBLANK(A1292),"",VLOOKUP($A1292,'Data Feed (20C)'!$A$1:$G$14,2,FALSE))</f>
        <v>DKR250911PASOBT_20C_sample_1</v>
      </c>
      <c r="C1292" s="6" t="str">
        <f>IF(ISBLANK(A1292),"",VLOOKUP($A1292,'Data Feed (20C)'!$A$1:$G$14,3,FALSE))</f>
        <v>Passerina obtusifolia</v>
      </c>
      <c r="D1292" s="6" t="str">
        <f>IF(ISBLANK(A1292),"",VLOOKUP($A1292,'Data Feed (20C)'!$A$1:$G$14,4,FALSE))</f>
        <v>20C</v>
      </c>
      <c r="E1292" s="6">
        <f>IF(ISBLANK(A1292),"",VLOOKUP($A1292,'Data Feed (20C)'!$A$1:$G$14,7,FALSE))</f>
        <v>1</v>
      </c>
      <c r="F1292" s="7">
        <v>45914.3625</v>
      </c>
      <c r="G1292" s="8">
        <v>2.553</v>
      </c>
    </row>
    <row r="1293">
      <c r="A1293" s="9" t="str">
        <f t="shared" ref="A1293:A1297" si="1507">A1292</f>
        <v>PASOBT</v>
      </c>
      <c r="B1293" s="9" t="str">
        <f>IF(ISBLANK(A1292),"",LEFT(B1292,27)&amp;VALUE(RIGHT(B1292,1)+1))</f>
        <v>DKR250911PASOBT_20C_sample_2</v>
      </c>
      <c r="C1293" s="6" t="str">
        <f t="shared" ref="C1293:D1293" si="1506">C1292</f>
        <v>Passerina obtusifolia</v>
      </c>
      <c r="D1293" s="6" t="str">
        <f t="shared" si="1506"/>
        <v>20C</v>
      </c>
      <c r="E1293" s="10">
        <f>IF(ISBLANK(A1292),"",E1292+1)</f>
        <v>2</v>
      </c>
      <c r="F1293" s="11">
        <f t="shared" ref="F1293:F1297" si="1509">F1292</f>
        <v>45914.3625</v>
      </c>
      <c r="G1293" s="8">
        <v>3.266</v>
      </c>
    </row>
    <row r="1294">
      <c r="A1294" s="9" t="str">
        <f t="shared" si="1507"/>
        <v>PASOBT</v>
      </c>
      <c r="B1294" s="9" t="str">
        <f>IF(ISBLANK(A1292),"",LEFT(B1293,27)&amp;VALUE(RIGHT(B1293,1)+1))</f>
        <v>DKR250911PASOBT_20C_sample_3</v>
      </c>
      <c r="C1294" s="6" t="str">
        <f t="shared" ref="C1294:D1294" si="1508">C1293</f>
        <v>Passerina obtusifolia</v>
      </c>
      <c r="D1294" s="6" t="str">
        <f t="shared" si="1508"/>
        <v>20C</v>
      </c>
      <c r="E1294" s="10">
        <f>IF(ISBLANK(A1292),"",E1293+1)</f>
        <v>3</v>
      </c>
      <c r="F1294" s="11">
        <f t="shared" si="1509"/>
        <v>45914.3625</v>
      </c>
      <c r="G1294" s="8">
        <v>1.151</v>
      </c>
    </row>
    <row r="1295">
      <c r="A1295" s="9" t="str">
        <f t="shared" si="1507"/>
        <v>PASOBT</v>
      </c>
      <c r="B1295" s="9" t="str">
        <f>IF(ISBLANK(A1292),"",LEFT(B1294,27)&amp;VALUE(RIGHT(B1294,1)+1))</f>
        <v>DKR250911PASOBT_20C_sample_4</v>
      </c>
      <c r="C1295" s="6" t="str">
        <f t="shared" ref="C1295:D1295" si="1510">C1294</f>
        <v>Passerina obtusifolia</v>
      </c>
      <c r="D1295" s="6" t="str">
        <f t="shared" si="1510"/>
        <v>20C</v>
      </c>
      <c r="E1295" s="10">
        <f>IF(ISBLANK(A1292),"",E1294+1)</f>
        <v>4</v>
      </c>
      <c r="F1295" s="11">
        <f t="shared" si="1509"/>
        <v>45914.3625</v>
      </c>
      <c r="G1295" s="8">
        <v>1.565</v>
      </c>
    </row>
    <row r="1296">
      <c r="A1296" s="9" t="str">
        <f t="shared" si="1507"/>
        <v>PASOBT</v>
      </c>
      <c r="B1296" s="9" t="str">
        <f>IF(ISBLANK(A1292),"",LEFT(B1295,27)&amp;VALUE(RIGHT(B1295,1)+1))</f>
        <v>DKR250911PASOBT_20C_sample_5</v>
      </c>
      <c r="C1296" s="6" t="str">
        <f t="shared" ref="C1296:D1296" si="1511">C1295</f>
        <v>Passerina obtusifolia</v>
      </c>
      <c r="D1296" s="6" t="str">
        <f t="shared" si="1511"/>
        <v>20C</v>
      </c>
      <c r="E1296" s="10">
        <f>IF(ISBLANK(A1292),"",E1295+1)</f>
        <v>5</v>
      </c>
      <c r="F1296" s="11">
        <f t="shared" si="1509"/>
        <v>45914.3625</v>
      </c>
      <c r="G1296" s="8">
        <v>1.33</v>
      </c>
    </row>
    <row r="1297">
      <c r="A1297" s="12" t="str">
        <f t="shared" si="1507"/>
        <v>PASOBT</v>
      </c>
      <c r="B1297" s="12" t="str">
        <f>IF(ISBLANK(A1292),"",LEFT(B1296,27)&amp;VALUE(RIGHT(B1296,1)+1))</f>
        <v>DKR250911PASOBT_20C_sample_6</v>
      </c>
      <c r="C1297" s="13" t="str">
        <f t="shared" ref="C1297:D1297" si="1512">C1296</f>
        <v>Passerina obtusifolia</v>
      </c>
      <c r="D1297" s="13" t="str">
        <f t="shared" si="1512"/>
        <v>20C</v>
      </c>
      <c r="E1297" s="14">
        <f>IF(ISBLANK(A1292),"",E1296+1)</f>
        <v>6</v>
      </c>
      <c r="F1297" s="15">
        <f t="shared" si="1509"/>
        <v>45914.3625</v>
      </c>
      <c r="G1297" s="16">
        <v>2.191</v>
      </c>
    </row>
    <row r="1298">
      <c r="A1298" s="5" t="s">
        <v>9</v>
      </c>
      <c r="B1298" s="6" t="str">
        <f>IF(ISBLANK(A1298),"",VLOOKUP($A1298,'Data Feed (20C)'!$A$1:$G$14,2,FALSE))</f>
        <v>DKR250911PROLAU_20C_sample_1</v>
      </c>
      <c r="C1298" s="6" t="str">
        <f>IF(ISBLANK(A1298),"",VLOOKUP($A1298,'Data Feed (20C)'!$A$1:$G$14,3,FALSE))</f>
        <v>Protea laurifolia</v>
      </c>
      <c r="D1298" s="6" t="str">
        <f>IF(ISBLANK(A1298),"",VLOOKUP($A1298,'Data Feed (20C)'!$A$1:$G$14,4,FALSE))</f>
        <v>20C</v>
      </c>
      <c r="E1298" s="6">
        <f>IF(ISBLANK(A1298),"",VLOOKUP($A1298,'Data Feed (20C)'!$A$1:$G$14,7,FALSE))</f>
        <v>1</v>
      </c>
      <c r="F1298" s="7">
        <v>45914.36388888889</v>
      </c>
      <c r="G1298" s="8">
        <v>0.971</v>
      </c>
    </row>
    <row r="1299">
      <c r="A1299" s="9" t="str">
        <f t="shared" ref="A1299:A1303" si="1514">A1298</f>
        <v>PROLAU</v>
      </c>
      <c r="B1299" s="9" t="str">
        <f>IF(ISBLANK(A1298),"",LEFT(B1298,27)&amp;VALUE(RIGHT(B1298,1)+1))</f>
        <v>DKR250911PROLAU_20C_sample_2</v>
      </c>
      <c r="C1299" s="6" t="str">
        <f t="shared" ref="C1299:D1299" si="1513">C1298</f>
        <v>Protea laurifolia</v>
      </c>
      <c r="D1299" s="6" t="str">
        <f t="shared" si="1513"/>
        <v>20C</v>
      </c>
      <c r="E1299" s="10">
        <f>IF(ISBLANK(A1298),"",E1298+1)</f>
        <v>2</v>
      </c>
      <c r="F1299" s="11">
        <f t="shared" ref="F1299:F1303" si="1516">F1298</f>
        <v>45914.36389</v>
      </c>
      <c r="G1299" s="8">
        <v>0.974</v>
      </c>
    </row>
    <row r="1300">
      <c r="A1300" s="9" t="str">
        <f t="shared" si="1514"/>
        <v>PROLAU</v>
      </c>
      <c r="B1300" s="9" t="str">
        <f>IF(ISBLANK(A1298),"",LEFT(B1299,27)&amp;VALUE(RIGHT(B1299,1)+1))</f>
        <v>DKR250911PROLAU_20C_sample_3</v>
      </c>
      <c r="C1300" s="6" t="str">
        <f t="shared" ref="C1300:D1300" si="1515">C1299</f>
        <v>Protea laurifolia</v>
      </c>
      <c r="D1300" s="6" t="str">
        <f t="shared" si="1515"/>
        <v>20C</v>
      </c>
      <c r="E1300" s="10">
        <f>IF(ISBLANK(A1298),"",E1299+1)</f>
        <v>3</v>
      </c>
      <c r="F1300" s="11">
        <f t="shared" si="1516"/>
        <v>45914.36389</v>
      </c>
      <c r="G1300" s="8">
        <v>1.077</v>
      </c>
    </row>
    <row r="1301">
      <c r="A1301" s="9" t="str">
        <f t="shared" si="1514"/>
        <v>PROLAU</v>
      </c>
      <c r="B1301" s="9" t="str">
        <f>IF(ISBLANK(A1298),"",LEFT(B1300,27)&amp;VALUE(RIGHT(B1300,1)+1))</f>
        <v>DKR250911PROLAU_20C_sample_4</v>
      </c>
      <c r="C1301" s="6" t="str">
        <f t="shared" ref="C1301:D1301" si="1517">C1300</f>
        <v>Protea laurifolia</v>
      </c>
      <c r="D1301" s="6" t="str">
        <f t="shared" si="1517"/>
        <v>20C</v>
      </c>
      <c r="E1301" s="10">
        <f>IF(ISBLANK(A1298),"",E1300+1)</f>
        <v>4</v>
      </c>
      <c r="F1301" s="11">
        <f t="shared" si="1516"/>
        <v>45914.36389</v>
      </c>
      <c r="G1301" s="8">
        <v>0.525</v>
      </c>
    </row>
    <row r="1302">
      <c r="A1302" s="9" t="str">
        <f t="shared" si="1514"/>
        <v>PROLAU</v>
      </c>
      <c r="B1302" s="9" t="str">
        <f>IF(ISBLANK(A1298),"",LEFT(B1301,27)&amp;VALUE(RIGHT(B1301,1)+1))</f>
        <v>DKR250911PROLAU_20C_sample_5</v>
      </c>
      <c r="C1302" s="6" t="str">
        <f t="shared" ref="C1302:D1302" si="1518">C1301</f>
        <v>Protea laurifolia</v>
      </c>
      <c r="D1302" s="6" t="str">
        <f t="shared" si="1518"/>
        <v>20C</v>
      </c>
      <c r="E1302" s="10">
        <f>IF(ISBLANK(A1298),"",E1301+1)</f>
        <v>5</v>
      </c>
      <c r="F1302" s="11">
        <f t="shared" si="1516"/>
        <v>45914.36389</v>
      </c>
      <c r="G1302" s="8">
        <v>0.913</v>
      </c>
    </row>
    <row r="1303">
      <c r="A1303" s="12" t="str">
        <f t="shared" si="1514"/>
        <v>PROLAU</v>
      </c>
      <c r="B1303" s="12" t="str">
        <f>IF(ISBLANK(A1298),"",LEFT(B1302,27)&amp;VALUE(RIGHT(B1302,1)+1))</f>
        <v>DKR250911PROLAU_20C_sample_6</v>
      </c>
      <c r="C1303" s="13" t="str">
        <f t="shared" ref="C1303:D1303" si="1519">C1302</f>
        <v>Protea laurifolia</v>
      </c>
      <c r="D1303" s="13" t="str">
        <f t="shared" si="1519"/>
        <v>20C</v>
      </c>
      <c r="E1303" s="14">
        <f>IF(ISBLANK(A1298),"",E1302+1)</f>
        <v>6</v>
      </c>
      <c r="F1303" s="15">
        <f t="shared" si="1516"/>
        <v>45914.36389</v>
      </c>
      <c r="G1303" s="16">
        <v>0.88</v>
      </c>
    </row>
    <row r="1304">
      <c r="A1304" s="5" t="s">
        <v>8</v>
      </c>
      <c r="B1304" s="6" t="str">
        <f>IF(ISBLANK(A1304),"",VLOOKUP($A1304,'Data Feed (20C)'!$A$1:$G$14,2,FALSE))</f>
        <v>DKF250911PROLOR_20C_sample_1</v>
      </c>
      <c r="C1304" s="6" t="str">
        <f>IF(ISBLANK(A1304),"",VLOOKUP($A1304,'Data Feed (20C)'!$A$1:$G$14,3,FALSE))</f>
        <v>Protea lorifolia</v>
      </c>
      <c r="D1304" s="6" t="str">
        <f>IF(ISBLANK(A1304),"",VLOOKUP($A1304,'Data Feed (20C)'!$A$1:$G$14,4,FALSE))</f>
        <v>20C</v>
      </c>
      <c r="E1304" s="6">
        <f>IF(ISBLANK(A1304),"",VLOOKUP($A1304,'Data Feed (20C)'!$A$1:$G$14,7,FALSE))</f>
        <v>1</v>
      </c>
      <c r="F1304" s="7">
        <v>45914.365277777775</v>
      </c>
      <c r="G1304" s="8">
        <v>3.08</v>
      </c>
    </row>
    <row r="1305">
      <c r="A1305" s="9" t="str">
        <f t="shared" ref="A1305:A1309" si="1521">A1304</f>
        <v>PROLOR</v>
      </c>
      <c r="B1305" s="9" t="str">
        <f>IF(ISBLANK(A1304),"",LEFT(B1304,27)&amp;VALUE(RIGHT(B1304,1)+1))</f>
        <v>DKF250911PROLOR_20C_sample_2</v>
      </c>
      <c r="C1305" s="6" t="str">
        <f t="shared" ref="C1305:D1305" si="1520">C1304</f>
        <v>Protea lorifolia</v>
      </c>
      <c r="D1305" s="6" t="str">
        <f t="shared" si="1520"/>
        <v>20C</v>
      </c>
      <c r="E1305" s="10">
        <f>IF(ISBLANK(A1304),"",E1304+1)</f>
        <v>2</v>
      </c>
      <c r="F1305" s="11">
        <f t="shared" ref="F1305:F1309" si="1523">F1304</f>
        <v>45914.36528</v>
      </c>
      <c r="G1305" s="8">
        <v>3.083</v>
      </c>
    </row>
    <row r="1306">
      <c r="A1306" s="9" t="str">
        <f t="shared" si="1521"/>
        <v>PROLOR</v>
      </c>
      <c r="B1306" s="9" t="str">
        <f>IF(ISBLANK(A1304),"",LEFT(B1305,27)&amp;VALUE(RIGHT(B1305,1)+1))</f>
        <v>DKF250911PROLOR_20C_sample_3</v>
      </c>
      <c r="C1306" s="6" t="str">
        <f t="shared" ref="C1306:D1306" si="1522">C1305</f>
        <v>Protea lorifolia</v>
      </c>
      <c r="D1306" s="6" t="str">
        <f t="shared" si="1522"/>
        <v>20C</v>
      </c>
      <c r="E1306" s="10">
        <f>IF(ISBLANK(A1304),"",E1305+1)</f>
        <v>3</v>
      </c>
      <c r="F1306" s="11">
        <f t="shared" si="1523"/>
        <v>45914.36528</v>
      </c>
      <c r="G1306" s="8">
        <v>3.435</v>
      </c>
    </row>
    <row r="1307">
      <c r="A1307" s="9" t="str">
        <f t="shared" si="1521"/>
        <v>PROLOR</v>
      </c>
      <c r="B1307" s="9" t="str">
        <f>IF(ISBLANK(A1304),"",LEFT(B1306,27)&amp;VALUE(RIGHT(B1306,1)+1))</f>
        <v>DKF250911PROLOR_20C_sample_4</v>
      </c>
      <c r="C1307" s="6" t="str">
        <f t="shared" ref="C1307:D1307" si="1524">C1306</f>
        <v>Protea lorifolia</v>
      </c>
      <c r="D1307" s="6" t="str">
        <f t="shared" si="1524"/>
        <v>20C</v>
      </c>
      <c r="E1307" s="10">
        <f>IF(ISBLANK(A1304),"",E1306+1)</f>
        <v>4</v>
      </c>
      <c r="F1307" s="11">
        <f t="shared" si="1523"/>
        <v>45914.36528</v>
      </c>
      <c r="G1307" s="8">
        <v>2.835</v>
      </c>
    </row>
    <row r="1308">
      <c r="A1308" s="9" t="str">
        <f t="shared" si="1521"/>
        <v>PROLOR</v>
      </c>
      <c r="B1308" s="9" t="str">
        <f>IF(ISBLANK(A1304),"",LEFT(B1307,27)&amp;VALUE(RIGHT(B1307,1)+1))</f>
        <v>DKF250911PROLOR_20C_sample_5</v>
      </c>
      <c r="C1308" s="6" t="str">
        <f t="shared" ref="C1308:D1308" si="1525">C1307</f>
        <v>Protea lorifolia</v>
      </c>
      <c r="D1308" s="6" t="str">
        <f t="shared" si="1525"/>
        <v>20C</v>
      </c>
      <c r="E1308" s="10">
        <f>IF(ISBLANK(A1304),"",E1307+1)</f>
        <v>5</v>
      </c>
      <c r="F1308" s="11">
        <f t="shared" si="1523"/>
        <v>45914.36528</v>
      </c>
      <c r="G1308" s="8">
        <v>5.222</v>
      </c>
    </row>
    <row r="1309">
      <c r="A1309" s="12" t="str">
        <f t="shared" si="1521"/>
        <v>PROLOR</v>
      </c>
      <c r="B1309" s="12" t="str">
        <f>IF(ISBLANK(A1304),"",LEFT(B1308,27)&amp;VALUE(RIGHT(B1308,1)+1))</f>
        <v>DKF250911PROLOR_20C_sample_6</v>
      </c>
      <c r="C1309" s="13" t="str">
        <f t="shared" ref="C1309:D1309" si="1526">C1308</f>
        <v>Protea lorifolia</v>
      </c>
      <c r="D1309" s="13" t="str">
        <f t="shared" si="1526"/>
        <v>20C</v>
      </c>
      <c r="E1309" s="14">
        <f>IF(ISBLANK(A1304),"",E1308+1)</f>
        <v>6</v>
      </c>
      <c r="F1309" s="15">
        <f t="shared" si="1523"/>
        <v>45914.36528</v>
      </c>
      <c r="G1309" s="16">
        <v>4.43</v>
      </c>
    </row>
    <row r="1310">
      <c r="A1310" s="5" t="s">
        <v>13</v>
      </c>
      <c r="B1310" s="6" t="str">
        <f>IF(ISBLANK(A1310),"",VLOOKUP($A1310,'Data Feed (20C)'!$A$1:$G$14,2,FALSE))</f>
        <v>DKR250911RUSMUL_20C_sample_1</v>
      </c>
      <c r="C1310" s="6" t="str">
        <f>IF(ISBLANK(A1310),"",VLOOKUP($A1310,'Data Feed (20C)'!$A$1:$G$14,3,FALSE))</f>
        <v>Ruschia multiflora</v>
      </c>
      <c r="D1310" s="6" t="str">
        <f>IF(ISBLANK(A1310),"",VLOOKUP($A1310,'Data Feed (20C)'!$A$1:$G$14,4,FALSE))</f>
        <v>20C</v>
      </c>
      <c r="E1310" s="6">
        <f>IF(ISBLANK(A1310),"",VLOOKUP($A1310,'Data Feed (20C)'!$A$1:$G$14,7,FALSE))</f>
        <v>1</v>
      </c>
      <c r="F1310" s="7">
        <v>45914.36736111111</v>
      </c>
      <c r="G1310" s="8">
        <v>3.056</v>
      </c>
    </row>
    <row r="1311">
      <c r="A1311" s="9" t="str">
        <f t="shared" ref="A1311:A1315" si="1528">A1310</f>
        <v>RUSMUL</v>
      </c>
      <c r="B1311" s="9" t="str">
        <f>IF(ISBLANK(A1310),"",LEFT(B1310,27)&amp;VALUE(RIGHT(B1310,1)+1))</f>
        <v>DKR250911RUSMUL_20C_sample_2</v>
      </c>
      <c r="C1311" s="6" t="str">
        <f t="shared" ref="C1311:D1311" si="1527">C1310</f>
        <v>Ruschia multiflora</v>
      </c>
      <c r="D1311" s="6" t="str">
        <f t="shared" si="1527"/>
        <v>20C</v>
      </c>
      <c r="E1311" s="10">
        <f>IF(ISBLANK(A1310),"",E1310+1)</f>
        <v>2</v>
      </c>
      <c r="F1311" s="11">
        <f t="shared" ref="F1311:F1315" si="1530">F1310</f>
        <v>45914.36736</v>
      </c>
      <c r="G1311" s="8">
        <v>3.649</v>
      </c>
    </row>
    <row r="1312">
      <c r="A1312" s="9" t="str">
        <f t="shared" si="1528"/>
        <v>RUSMUL</v>
      </c>
      <c r="B1312" s="9" t="str">
        <f>IF(ISBLANK(A1310),"",LEFT(B1311,27)&amp;VALUE(RIGHT(B1311,1)+1))</f>
        <v>DKR250911RUSMUL_20C_sample_3</v>
      </c>
      <c r="C1312" s="6" t="str">
        <f t="shared" ref="C1312:D1312" si="1529">C1311</f>
        <v>Ruschia multiflora</v>
      </c>
      <c r="D1312" s="6" t="str">
        <f t="shared" si="1529"/>
        <v>20C</v>
      </c>
      <c r="E1312" s="10">
        <f>IF(ISBLANK(A1310),"",E1311+1)</f>
        <v>3</v>
      </c>
      <c r="F1312" s="11">
        <f t="shared" si="1530"/>
        <v>45914.36736</v>
      </c>
      <c r="G1312" s="8">
        <v>7.551</v>
      </c>
    </row>
    <row r="1313">
      <c r="A1313" s="9" t="str">
        <f t="shared" si="1528"/>
        <v>RUSMUL</v>
      </c>
      <c r="B1313" s="9" t="str">
        <f>IF(ISBLANK(A1310),"",LEFT(B1312,27)&amp;VALUE(RIGHT(B1312,1)+1))</f>
        <v>DKR250911RUSMUL_20C_sample_4</v>
      </c>
      <c r="C1313" s="6" t="str">
        <f t="shared" ref="C1313:D1313" si="1531">C1312</f>
        <v>Ruschia multiflora</v>
      </c>
      <c r="D1313" s="6" t="str">
        <f t="shared" si="1531"/>
        <v>20C</v>
      </c>
      <c r="E1313" s="10">
        <f>IF(ISBLANK(A1310),"",E1312+1)</f>
        <v>4</v>
      </c>
      <c r="F1313" s="11">
        <f t="shared" si="1530"/>
        <v>45914.36736</v>
      </c>
      <c r="G1313" s="8">
        <v>3.97</v>
      </c>
    </row>
    <row r="1314">
      <c r="A1314" s="9" t="str">
        <f t="shared" si="1528"/>
        <v>RUSMUL</v>
      </c>
      <c r="B1314" s="9" t="str">
        <f>IF(ISBLANK(A1310),"",LEFT(B1313,27)&amp;VALUE(RIGHT(B1313,1)+1))</f>
        <v>DKR250911RUSMUL_20C_sample_5</v>
      </c>
      <c r="C1314" s="6" t="str">
        <f t="shared" ref="C1314:D1314" si="1532">C1313</f>
        <v>Ruschia multiflora</v>
      </c>
      <c r="D1314" s="6" t="str">
        <f t="shared" si="1532"/>
        <v>20C</v>
      </c>
      <c r="E1314" s="10">
        <f>IF(ISBLANK(A1310),"",E1313+1)</f>
        <v>5</v>
      </c>
      <c r="F1314" s="11">
        <f t="shared" si="1530"/>
        <v>45914.36736</v>
      </c>
      <c r="G1314" s="8">
        <v>3.426</v>
      </c>
    </row>
    <row r="1315">
      <c r="A1315" s="12" t="str">
        <f t="shared" si="1528"/>
        <v>RUSMUL</v>
      </c>
      <c r="B1315" s="12" t="str">
        <f>IF(ISBLANK(A1310),"",LEFT(B1314,27)&amp;VALUE(RIGHT(B1314,1)+1))</f>
        <v>DKR250911RUSMUL_20C_sample_6</v>
      </c>
      <c r="C1315" s="13" t="str">
        <f t="shared" ref="C1315:D1315" si="1533">C1314</f>
        <v>Ruschia multiflora</v>
      </c>
      <c r="D1315" s="13" t="str">
        <f t="shared" si="1533"/>
        <v>20C</v>
      </c>
      <c r="E1315" s="14">
        <f>IF(ISBLANK(A1310),"",E1314+1)</f>
        <v>6</v>
      </c>
      <c r="F1315" s="15">
        <f t="shared" si="1530"/>
        <v>45914.36736</v>
      </c>
      <c r="G1315" s="16">
        <v>2.9</v>
      </c>
    </row>
    <row r="1316">
      <c r="A1316" s="5" t="s">
        <v>11</v>
      </c>
      <c r="B1316" s="6" t="str">
        <f>IF(ISBLANK(A1316),"",VLOOKUP($A1316,'Data Feed (20C)'!$A$1:$G$14,2,FALSE))</f>
        <v>DKF250911SELDOL_20C_sample_1</v>
      </c>
      <c r="C1316" s="6" t="str">
        <f>IF(ISBLANK(A1316),"",VLOOKUP($A1316,'Data Feed (20C)'!$A$1:$G$14,3,FALSE))</f>
        <v>Selago dolosa</v>
      </c>
      <c r="D1316" s="6" t="str">
        <f>IF(ISBLANK(A1316),"",VLOOKUP($A1316,'Data Feed (20C)'!$A$1:$G$14,4,FALSE))</f>
        <v>20C</v>
      </c>
      <c r="E1316" s="6">
        <f>IF(ISBLANK(A1316),"",VLOOKUP($A1316,'Data Feed (20C)'!$A$1:$G$14,7,FALSE))</f>
        <v>1</v>
      </c>
      <c r="F1316" s="7">
        <v>45914.36875</v>
      </c>
      <c r="G1316" s="8">
        <v>1.047</v>
      </c>
    </row>
    <row r="1317">
      <c r="A1317" s="9" t="str">
        <f t="shared" ref="A1317:A1321" si="1535">A1316</f>
        <v>SELDOL</v>
      </c>
      <c r="B1317" s="9" t="str">
        <f>IF(ISBLANK(A1316),"",LEFT(B1316,27)&amp;VALUE(RIGHT(B1316,1)+1))</f>
        <v>DKF250911SELDOL_20C_sample_2</v>
      </c>
      <c r="C1317" s="6" t="str">
        <f t="shared" ref="C1317:D1317" si="1534">C1316</f>
        <v>Selago dolosa</v>
      </c>
      <c r="D1317" s="6" t="str">
        <f t="shared" si="1534"/>
        <v>20C</v>
      </c>
      <c r="E1317" s="10">
        <f>IF(ISBLANK(A1316),"",E1316+1)</f>
        <v>2</v>
      </c>
      <c r="F1317" s="11">
        <f t="shared" ref="F1317:F1321" si="1537">F1316</f>
        <v>45914.36875</v>
      </c>
      <c r="G1317" s="8">
        <v>1.519</v>
      </c>
    </row>
    <row r="1318">
      <c r="A1318" s="9" t="str">
        <f t="shared" si="1535"/>
        <v>SELDOL</v>
      </c>
      <c r="B1318" s="9" t="str">
        <f>IF(ISBLANK(A1316),"",LEFT(B1317,27)&amp;VALUE(RIGHT(B1317,1)+1))</f>
        <v>DKF250911SELDOL_20C_sample_3</v>
      </c>
      <c r="C1318" s="6" t="str">
        <f t="shared" ref="C1318:D1318" si="1536">C1317</f>
        <v>Selago dolosa</v>
      </c>
      <c r="D1318" s="6" t="str">
        <f t="shared" si="1536"/>
        <v>20C</v>
      </c>
      <c r="E1318" s="10">
        <f>IF(ISBLANK(A1316),"",E1317+1)</f>
        <v>3</v>
      </c>
      <c r="F1318" s="11">
        <f t="shared" si="1537"/>
        <v>45914.36875</v>
      </c>
      <c r="G1318" s="8">
        <v>1.363</v>
      </c>
    </row>
    <row r="1319">
      <c r="A1319" s="9" t="str">
        <f t="shared" si="1535"/>
        <v>SELDOL</v>
      </c>
      <c r="B1319" s="9" t="str">
        <f>IF(ISBLANK(A1316),"",LEFT(B1318,27)&amp;VALUE(RIGHT(B1318,1)+1))</f>
        <v>DKF250911SELDOL_20C_sample_4</v>
      </c>
      <c r="C1319" s="6" t="str">
        <f t="shared" ref="C1319:D1319" si="1538">C1318</f>
        <v>Selago dolosa</v>
      </c>
      <c r="D1319" s="6" t="str">
        <f t="shared" si="1538"/>
        <v>20C</v>
      </c>
      <c r="E1319" s="10">
        <f>IF(ISBLANK(A1316),"",E1318+1)</f>
        <v>4</v>
      </c>
      <c r="F1319" s="11">
        <f t="shared" si="1537"/>
        <v>45914.36875</v>
      </c>
      <c r="G1319" s="8">
        <v>1.425</v>
      </c>
    </row>
    <row r="1320">
      <c r="A1320" s="9" t="str">
        <f t="shared" si="1535"/>
        <v>SELDOL</v>
      </c>
      <c r="B1320" s="9" t="str">
        <f>IF(ISBLANK(A1316),"",LEFT(B1319,27)&amp;VALUE(RIGHT(B1319,1)+1))</f>
        <v>DKF250911SELDOL_20C_sample_5</v>
      </c>
      <c r="C1320" s="6" t="str">
        <f t="shared" ref="C1320:D1320" si="1539">C1319</f>
        <v>Selago dolosa</v>
      </c>
      <c r="D1320" s="6" t="str">
        <f t="shared" si="1539"/>
        <v>20C</v>
      </c>
      <c r="E1320" s="10">
        <f>IF(ISBLANK(A1316),"",E1319+1)</f>
        <v>5</v>
      </c>
      <c r="F1320" s="11">
        <f t="shared" si="1537"/>
        <v>45914.36875</v>
      </c>
      <c r="G1320" s="8"/>
    </row>
    <row r="1321">
      <c r="A1321" s="12" t="str">
        <f t="shared" si="1535"/>
        <v>SELDOL</v>
      </c>
      <c r="B1321" s="12" t="str">
        <f>IF(ISBLANK(A1316),"",LEFT(B1320,27)&amp;VALUE(RIGHT(B1320,1)+1))</f>
        <v>DKF250911SELDOL_20C_sample_6</v>
      </c>
      <c r="C1321" s="13" t="str">
        <f t="shared" ref="C1321:D1321" si="1540">C1320</f>
        <v>Selago dolosa</v>
      </c>
      <c r="D1321" s="13" t="str">
        <f t="shared" si="1540"/>
        <v>20C</v>
      </c>
      <c r="E1321" s="14">
        <f>IF(ISBLANK(A1316),"",E1320+1)</f>
        <v>6</v>
      </c>
      <c r="F1321" s="15">
        <f t="shared" si="1537"/>
        <v>45914.36875</v>
      </c>
      <c r="G1321" s="16">
        <v>0.935</v>
      </c>
    </row>
    <row r="1322">
      <c r="A1322" s="5" t="s">
        <v>18</v>
      </c>
      <c r="B1322" s="6" t="str">
        <f>IF(ISBLANK(A1322),"",VLOOKUP($A1322,'Data Feed (20C)'!$A$1:$G$14,2,FALSE))</f>
        <v>DKR250911WAHNOD_20C_sample_1</v>
      </c>
      <c r="C1322" s="6" t="str">
        <f>IF(ISBLANK(A1322),"",VLOOKUP($A1322,'Data Feed (20C)'!$A$1:$G$14,3,FALSE))</f>
        <v>Wahlenbergia nodosa</v>
      </c>
      <c r="D1322" s="6" t="str">
        <f>IF(ISBLANK(A1322),"",VLOOKUP($A1322,'Data Feed (20C)'!$A$1:$G$14,4,FALSE))</f>
        <v>20C</v>
      </c>
      <c r="E1322" s="6">
        <f>IF(ISBLANK(A1322),"",VLOOKUP($A1322,'Data Feed (20C)'!$A$1:$G$14,7,FALSE))</f>
        <v>1</v>
      </c>
      <c r="F1322" s="7">
        <v>45914.37013888889</v>
      </c>
      <c r="G1322" s="8">
        <v>0.265</v>
      </c>
    </row>
    <row r="1323">
      <c r="A1323" s="9" t="str">
        <f t="shared" ref="A1323:A1327" si="1542">A1322</f>
        <v>WAHNOD</v>
      </c>
      <c r="B1323" s="9" t="str">
        <f>IF(ISBLANK(A1322),"",LEFT(B1322,27)&amp;VALUE(RIGHT(B1322,1)+1))</f>
        <v>DKR250911WAHNOD_20C_sample_2</v>
      </c>
      <c r="C1323" s="6" t="str">
        <f t="shared" ref="C1323:D1323" si="1541">C1322</f>
        <v>Wahlenbergia nodosa</v>
      </c>
      <c r="D1323" s="6" t="str">
        <f t="shared" si="1541"/>
        <v>20C</v>
      </c>
      <c r="E1323" s="10">
        <f>IF(ISBLANK(A1322),"",E1322+1)</f>
        <v>2</v>
      </c>
      <c r="F1323" s="11">
        <f t="shared" ref="F1323:F1327" si="1544">F1322</f>
        <v>45914.37014</v>
      </c>
      <c r="G1323" s="8">
        <v>0.155</v>
      </c>
    </row>
    <row r="1324">
      <c r="A1324" s="9" t="str">
        <f t="shared" si="1542"/>
        <v>WAHNOD</v>
      </c>
      <c r="B1324" s="9" t="str">
        <f>IF(ISBLANK(A1322),"",LEFT(B1323,27)&amp;VALUE(RIGHT(B1323,1)+1))</f>
        <v>DKR250911WAHNOD_20C_sample_3</v>
      </c>
      <c r="C1324" s="6" t="str">
        <f t="shared" ref="C1324:D1324" si="1543">C1323</f>
        <v>Wahlenbergia nodosa</v>
      </c>
      <c r="D1324" s="6" t="str">
        <f t="shared" si="1543"/>
        <v>20C</v>
      </c>
      <c r="E1324" s="10">
        <f>IF(ISBLANK(A1322),"",E1323+1)</f>
        <v>3</v>
      </c>
      <c r="F1324" s="11">
        <f t="shared" si="1544"/>
        <v>45914.37014</v>
      </c>
      <c r="G1324" s="8">
        <v>0.114</v>
      </c>
    </row>
    <row r="1325">
      <c r="A1325" s="9" t="str">
        <f t="shared" si="1542"/>
        <v>WAHNOD</v>
      </c>
      <c r="B1325" s="9" t="str">
        <f>IF(ISBLANK(A1322),"",LEFT(B1324,27)&amp;VALUE(RIGHT(B1324,1)+1))</f>
        <v>DKR250911WAHNOD_20C_sample_4</v>
      </c>
      <c r="C1325" s="6" t="str">
        <f t="shared" ref="C1325:D1325" si="1545">C1324</f>
        <v>Wahlenbergia nodosa</v>
      </c>
      <c r="D1325" s="6" t="str">
        <f t="shared" si="1545"/>
        <v>20C</v>
      </c>
      <c r="E1325" s="10">
        <f>IF(ISBLANK(A1322),"",E1324+1)</f>
        <v>4</v>
      </c>
      <c r="F1325" s="11">
        <f t="shared" si="1544"/>
        <v>45914.37014</v>
      </c>
      <c r="G1325" s="8">
        <v>0.603</v>
      </c>
    </row>
    <row r="1326">
      <c r="A1326" s="9" t="str">
        <f t="shared" si="1542"/>
        <v>WAHNOD</v>
      </c>
      <c r="B1326" s="9" t="str">
        <f>IF(ISBLANK(A1322),"",LEFT(B1325,27)&amp;VALUE(RIGHT(B1325,1)+1))</f>
        <v>DKR250911WAHNOD_20C_sample_5</v>
      </c>
      <c r="C1326" s="6" t="str">
        <f t="shared" ref="C1326:D1326" si="1546">C1325</f>
        <v>Wahlenbergia nodosa</v>
      </c>
      <c r="D1326" s="6" t="str">
        <f t="shared" si="1546"/>
        <v>20C</v>
      </c>
      <c r="E1326" s="10">
        <f>IF(ISBLANK(A1322),"",E1325+1)</f>
        <v>5</v>
      </c>
      <c r="F1326" s="11">
        <f t="shared" si="1544"/>
        <v>45914.37014</v>
      </c>
      <c r="G1326" s="8">
        <v>0.238</v>
      </c>
    </row>
    <row r="1327">
      <c r="A1327" s="12" t="str">
        <f t="shared" si="1542"/>
        <v>WAHNOD</v>
      </c>
      <c r="B1327" s="12" t="str">
        <f>IF(ISBLANK(A1322),"",LEFT(B1326,27)&amp;VALUE(RIGHT(B1326,1)+1))</f>
        <v>DKR250911WAHNOD_20C_sample_6</v>
      </c>
      <c r="C1327" s="13" t="str">
        <f t="shared" ref="C1327:D1327" si="1547">C1326</f>
        <v>Wahlenbergia nodosa</v>
      </c>
      <c r="D1327" s="13" t="str">
        <f t="shared" si="1547"/>
        <v>20C</v>
      </c>
      <c r="E1327" s="14">
        <f>IF(ISBLANK(A1322),"",E1326+1)</f>
        <v>6</v>
      </c>
      <c r="F1327" s="15">
        <f t="shared" si="1544"/>
        <v>45914.37014</v>
      </c>
      <c r="G1327" s="16">
        <v>0.335</v>
      </c>
    </row>
    <row r="1328">
      <c r="A1328" s="5" t="s">
        <v>12</v>
      </c>
      <c r="B1328" s="6" t="str">
        <f>IF(ISBLANK(A1328),"",VLOOKUP($A1328,'Data Feed (20C)'!$A$1:$G$14,2,FALSE))</f>
        <v>DKF250911AGACAP_20C_sample_1</v>
      </c>
      <c r="C1328" s="6" t="str">
        <f>IF(ISBLANK(A1328),"",VLOOKUP($A1328,'Data Feed (20C)'!$A$1:$G$14,3,FALSE))</f>
        <v>Agathosma capensis</v>
      </c>
      <c r="D1328" s="6" t="str">
        <f>IF(ISBLANK(A1328),"",VLOOKUP($A1328,'Data Feed (20C)'!$A$1:$G$14,4,FALSE))</f>
        <v>20C</v>
      </c>
      <c r="E1328" s="6">
        <f>IF(ISBLANK(A1328),"",VLOOKUP($A1328,'Data Feed (20C)'!$A$1:$G$14,7,FALSE))</f>
        <v>1</v>
      </c>
      <c r="F1328" s="7">
        <v>45914.71527777778</v>
      </c>
      <c r="G1328" s="8">
        <v>3.668</v>
      </c>
    </row>
    <row r="1329">
      <c r="A1329" s="9" t="str">
        <f t="shared" ref="A1329:A1333" si="1549">A1328</f>
        <v>AGACAP</v>
      </c>
      <c r="B1329" s="9" t="str">
        <f>IF(ISBLANK(A1328),"",LEFT(B1328,27)&amp;VALUE(RIGHT(B1328,1)+1))</f>
        <v>DKF250911AGACAP_20C_sample_2</v>
      </c>
      <c r="C1329" s="6" t="str">
        <f t="shared" ref="C1329:D1329" si="1548">C1328</f>
        <v>Agathosma capensis</v>
      </c>
      <c r="D1329" s="6" t="str">
        <f t="shared" si="1548"/>
        <v>20C</v>
      </c>
      <c r="E1329" s="10">
        <f>IF(ISBLANK(A1328),"",E1328+1)</f>
        <v>2</v>
      </c>
      <c r="F1329" s="11">
        <f t="shared" ref="F1329:F1333" si="1551">F1328</f>
        <v>45914.71528</v>
      </c>
      <c r="G1329" s="8">
        <v>1.226</v>
      </c>
    </row>
    <row r="1330">
      <c r="A1330" s="9" t="str">
        <f t="shared" si="1549"/>
        <v>AGACAP</v>
      </c>
      <c r="B1330" s="9" t="str">
        <f>IF(ISBLANK(A1328),"",LEFT(B1329,27)&amp;VALUE(RIGHT(B1329,1)+1))</f>
        <v>DKF250911AGACAP_20C_sample_3</v>
      </c>
      <c r="C1330" s="6" t="str">
        <f t="shared" ref="C1330:D1330" si="1550">C1329</f>
        <v>Agathosma capensis</v>
      </c>
      <c r="D1330" s="6" t="str">
        <f t="shared" si="1550"/>
        <v>20C</v>
      </c>
      <c r="E1330" s="10">
        <f>IF(ISBLANK(A1328),"",E1329+1)</f>
        <v>3</v>
      </c>
      <c r="F1330" s="11">
        <f t="shared" si="1551"/>
        <v>45914.71528</v>
      </c>
      <c r="G1330" s="8">
        <v>1.666</v>
      </c>
    </row>
    <row r="1331">
      <c r="A1331" s="9" t="str">
        <f t="shared" si="1549"/>
        <v>AGACAP</v>
      </c>
      <c r="B1331" s="9" t="str">
        <f>IF(ISBLANK(A1328),"",LEFT(B1330,27)&amp;VALUE(RIGHT(B1330,1)+1))</f>
        <v>DKF250911AGACAP_20C_sample_4</v>
      </c>
      <c r="C1331" s="6" t="str">
        <f t="shared" ref="C1331:D1331" si="1552">C1330</f>
        <v>Agathosma capensis</v>
      </c>
      <c r="D1331" s="6" t="str">
        <f t="shared" si="1552"/>
        <v>20C</v>
      </c>
      <c r="E1331" s="10">
        <f>IF(ISBLANK(A1328),"",E1330+1)</f>
        <v>4</v>
      </c>
      <c r="F1331" s="11">
        <f t="shared" si="1551"/>
        <v>45914.71528</v>
      </c>
      <c r="G1331" s="8">
        <v>1.252</v>
      </c>
    </row>
    <row r="1332">
      <c r="A1332" s="9" t="str">
        <f t="shared" si="1549"/>
        <v>AGACAP</v>
      </c>
      <c r="B1332" s="9" t="str">
        <f>IF(ISBLANK(A1328),"",LEFT(B1331,27)&amp;VALUE(RIGHT(B1331,1)+1))</f>
        <v>DKF250911AGACAP_20C_sample_5</v>
      </c>
      <c r="C1332" s="6" t="str">
        <f t="shared" ref="C1332:D1332" si="1553">C1331</f>
        <v>Agathosma capensis</v>
      </c>
      <c r="D1332" s="6" t="str">
        <f t="shared" si="1553"/>
        <v>20C</v>
      </c>
      <c r="E1332" s="10">
        <f>IF(ISBLANK(A1328),"",E1331+1)</f>
        <v>5</v>
      </c>
      <c r="F1332" s="11">
        <f t="shared" si="1551"/>
        <v>45914.71528</v>
      </c>
      <c r="G1332" s="8">
        <v>0.436</v>
      </c>
    </row>
    <row r="1333">
      <c r="A1333" s="12" t="str">
        <f t="shared" si="1549"/>
        <v>AGACAP</v>
      </c>
      <c r="B1333" s="12" t="str">
        <f>IF(ISBLANK(A1328),"",LEFT(B1332,27)&amp;VALUE(RIGHT(B1332,1)+1))</f>
        <v>DKF250911AGACAP_20C_sample_6</v>
      </c>
      <c r="C1333" s="13" t="str">
        <f t="shared" ref="C1333:D1333" si="1554">C1332</f>
        <v>Agathosma capensis</v>
      </c>
      <c r="D1333" s="13" t="str">
        <f t="shared" si="1554"/>
        <v>20C</v>
      </c>
      <c r="E1333" s="14">
        <f>IF(ISBLANK(A1328),"",E1332+1)</f>
        <v>6</v>
      </c>
      <c r="F1333" s="15">
        <f t="shared" si="1551"/>
        <v>45914.71528</v>
      </c>
      <c r="G1333" s="16">
        <v>1.302</v>
      </c>
    </row>
    <row r="1334">
      <c r="A1334" s="5" t="s">
        <v>14</v>
      </c>
      <c r="B1334" s="6" t="str">
        <f>IF(ISBLANK(A1334),"",VLOOKUP($A1334,'Data Feed (20C)'!$A$1:$G$14,2,FALSE))</f>
        <v>DKF250911ASPSHA_20C_sample_1</v>
      </c>
      <c r="C1334" s="6" t="str">
        <f>IF(ISBLANK(A1334),"",VLOOKUP($A1334,'Data Feed (20C)'!$A$1:$G$14,3,FALSE))</f>
        <v>Aspalathus shawii</v>
      </c>
      <c r="D1334" s="6" t="str">
        <f>IF(ISBLANK(A1334),"",VLOOKUP($A1334,'Data Feed (20C)'!$A$1:$G$14,4,FALSE))</f>
        <v>20C</v>
      </c>
      <c r="E1334" s="6">
        <f>IF(ISBLANK(A1334),"",VLOOKUP($A1334,'Data Feed (20C)'!$A$1:$G$14,7,FALSE))</f>
        <v>1</v>
      </c>
      <c r="F1334" s="7">
        <v>45914.71666666667</v>
      </c>
      <c r="G1334" s="8">
        <v>11.312</v>
      </c>
    </row>
    <row r="1335">
      <c r="A1335" s="9" t="str">
        <f t="shared" ref="A1335:A1339" si="1556">A1334</f>
        <v>ASPSHA</v>
      </c>
      <c r="B1335" s="9" t="str">
        <f>IF(ISBLANK(A1334),"",LEFT(B1334,27)&amp;VALUE(RIGHT(B1334,1)+1))</f>
        <v>DKF250911ASPSHA_20C_sample_2</v>
      </c>
      <c r="C1335" s="6" t="str">
        <f t="shared" ref="C1335:D1335" si="1555">C1334</f>
        <v>Aspalathus shawii</v>
      </c>
      <c r="D1335" s="6" t="str">
        <f t="shared" si="1555"/>
        <v>20C</v>
      </c>
      <c r="E1335" s="10">
        <f>IF(ISBLANK(A1334),"",E1334+1)</f>
        <v>2</v>
      </c>
      <c r="F1335" s="11">
        <f t="shared" ref="F1335:F1339" si="1558">F1334</f>
        <v>45914.71667</v>
      </c>
      <c r="G1335" s="8">
        <v>7.312</v>
      </c>
    </row>
    <row r="1336">
      <c r="A1336" s="9" t="str">
        <f t="shared" si="1556"/>
        <v>ASPSHA</v>
      </c>
      <c r="B1336" s="9" t="str">
        <f>IF(ISBLANK(A1334),"",LEFT(B1335,27)&amp;VALUE(RIGHT(B1335,1)+1))</f>
        <v>DKF250911ASPSHA_20C_sample_3</v>
      </c>
      <c r="C1336" s="6" t="str">
        <f t="shared" ref="C1336:D1336" si="1557">C1335</f>
        <v>Aspalathus shawii</v>
      </c>
      <c r="D1336" s="6" t="str">
        <f t="shared" si="1557"/>
        <v>20C</v>
      </c>
      <c r="E1336" s="10">
        <f>IF(ISBLANK(A1334),"",E1335+1)</f>
        <v>3</v>
      </c>
      <c r="F1336" s="11">
        <f t="shared" si="1558"/>
        <v>45914.71667</v>
      </c>
      <c r="G1336" s="8">
        <v>4.332</v>
      </c>
    </row>
    <row r="1337">
      <c r="A1337" s="9" t="str">
        <f t="shared" si="1556"/>
        <v>ASPSHA</v>
      </c>
      <c r="B1337" s="9" t="str">
        <f>IF(ISBLANK(A1334),"",LEFT(B1336,27)&amp;VALUE(RIGHT(B1336,1)+1))</f>
        <v>DKF250911ASPSHA_20C_sample_4</v>
      </c>
      <c r="C1337" s="6" t="str">
        <f t="shared" ref="C1337:D1337" si="1559">C1336</f>
        <v>Aspalathus shawii</v>
      </c>
      <c r="D1337" s="6" t="str">
        <f t="shared" si="1559"/>
        <v>20C</v>
      </c>
      <c r="E1337" s="10">
        <f>IF(ISBLANK(A1334),"",E1336+1)</f>
        <v>4</v>
      </c>
      <c r="F1337" s="11">
        <f t="shared" si="1558"/>
        <v>45914.71667</v>
      </c>
      <c r="G1337" s="8">
        <v>10.541</v>
      </c>
    </row>
    <row r="1338">
      <c r="A1338" s="9" t="str">
        <f t="shared" si="1556"/>
        <v>ASPSHA</v>
      </c>
      <c r="B1338" s="9" t="str">
        <f>IF(ISBLANK(A1334),"",LEFT(B1337,27)&amp;VALUE(RIGHT(B1337,1)+1))</f>
        <v>DKF250911ASPSHA_20C_sample_5</v>
      </c>
      <c r="C1338" s="6" t="str">
        <f t="shared" ref="C1338:D1338" si="1560">C1337</f>
        <v>Aspalathus shawii</v>
      </c>
      <c r="D1338" s="6" t="str">
        <f t="shared" si="1560"/>
        <v>20C</v>
      </c>
      <c r="E1338" s="10">
        <f>IF(ISBLANK(A1334),"",E1337+1)</f>
        <v>5</v>
      </c>
      <c r="F1338" s="11">
        <f t="shared" si="1558"/>
        <v>45914.71667</v>
      </c>
      <c r="G1338" s="8">
        <v>3.03</v>
      </c>
    </row>
    <row r="1339">
      <c r="A1339" s="12" t="str">
        <f t="shared" si="1556"/>
        <v>ASPSHA</v>
      </c>
      <c r="B1339" s="12" t="str">
        <f>IF(ISBLANK(A1334),"",LEFT(B1338,27)&amp;VALUE(RIGHT(B1338,1)+1))</f>
        <v>DKF250911ASPSHA_20C_sample_6</v>
      </c>
      <c r="C1339" s="13" t="str">
        <f t="shared" ref="C1339:D1339" si="1561">C1338</f>
        <v>Aspalathus shawii</v>
      </c>
      <c r="D1339" s="13" t="str">
        <f t="shared" si="1561"/>
        <v>20C</v>
      </c>
      <c r="E1339" s="14">
        <f>IF(ISBLANK(A1334),"",E1338+1)</f>
        <v>6</v>
      </c>
      <c r="F1339" s="15">
        <f t="shared" si="1558"/>
        <v>45914.71667</v>
      </c>
      <c r="G1339" s="16">
        <v>8.671</v>
      </c>
    </row>
    <row r="1340">
      <c r="A1340" s="5" t="s">
        <v>19</v>
      </c>
      <c r="B1340" s="6" t="str">
        <f>IF(ISBLANK(A1340),"",VLOOKUP($A1340,'Data Feed (20C)'!$A$1:$G$14,2,FALSE))</f>
        <v>DKR250911CLURUB_20C_sample_1</v>
      </c>
      <c r="C1340" s="6" t="str">
        <f>IF(ISBLANK(A1340),"",VLOOKUP($A1340,'Data Feed (20C)'!$A$1:$G$14,3,FALSE))</f>
        <v>Clutia rubricaulis</v>
      </c>
      <c r="D1340" s="6" t="str">
        <f>IF(ISBLANK(A1340),"",VLOOKUP($A1340,'Data Feed (20C)'!$A$1:$G$14,4,FALSE))</f>
        <v>20C</v>
      </c>
      <c r="E1340" s="6">
        <f>IF(ISBLANK(A1340),"",VLOOKUP($A1340,'Data Feed (20C)'!$A$1:$G$14,7,FALSE))</f>
        <v>1</v>
      </c>
      <c r="F1340" s="7">
        <v>45914.71805555555</v>
      </c>
      <c r="G1340" s="8">
        <v>0.345</v>
      </c>
    </row>
    <row r="1341">
      <c r="A1341" s="9" t="str">
        <f t="shared" ref="A1341:A1345" si="1563">A1340</f>
        <v>CLURUB</v>
      </c>
      <c r="B1341" s="9" t="str">
        <f>IF(ISBLANK(A1340),"",LEFT(B1340,27)&amp;VALUE(RIGHT(B1340,1)+1))</f>
        <v>DKR250911CLURUB_20C_sample_2</v>
      </c>
      <c r="C1341" s="6" t="str">
        <f t="shared" ref="C1341:D1341" si="1562">C1340</f>
        <v>Clutia rubricaulis</v>
      </c>
      <c r="D1341" s="6" t="str">
        <f t="shared" si="1562"/>
        <v>20C</v>
      </c>
      <c r="E1341" s="10">
        <f>IF(ISBLANK(A1340),"",E1340+1)</f>
        <v>2</v>
      </c>
      <c r="F1341" s="11">
        <f t="shared" ref="F1341:F1345" si="1565">F1340</f>
        <v>45914.71806</v>
      </c>
      <c r="G1341" s="8">
        <v>0.261</v>
      </c>
    </row>
    <row r="1342">
      <c r="A1342" s="9" t="str">
        <f t="shared" si="1563"/>
        <v>CLURUB</v>
      </c>
      <c r="B1342" s="9" t="str">
        <f>IF(ISBLANK(A1340),"",LEFT(B1341,27)&amp;VALUE(RIGHT(B1341,1)+1))</f>
        <v>DKR250911CLURUB_20C_sample_3</v>
      </c>
      <c r="C1342" s="6" t="str">
        <f t="shared" ref="C1342:D1342" si="1564">C1341</f>
        <v>Clutia rubricaulis</v>
      </c>
      <c r="D1342" s="6" t="str">
        <f t="shared" si="1564"/>
        <v>20C</v>
      </c>
      <c r="E1342" s="10">
        <f>IF(ISBLANK(A1340),"",E1341+1)</f>
        <v>3</v>
      </c>
      <c r="F1342" s="11">
        <f t="shared" si="1565"/>
        <v>45914.71806</v>
      </c>
      <c r="G1342" s="8">
        <v>0.344</v>
      </c>
    </row>
    <row r="1343">
      <c r="A1343" s="9" t="str">
        <f t="shared" si="1563"/>
        <v>CLURUB</v>
      </c>
      <c r="B1343" s="9" t="str">
        <f>IF(ISBLANK(A1340),"",LEFT(B1342,27)&amp;VALUE(RIGHT(B1342,1)+1))</f>
        <v>DKR250911CLURUB_20C_sample_4</v>
      </c>
      <c r="C1343" s="6" t="str">
        <f t="shared" ref="C1343:D1343" si="1566">C1342</f>
        <v>Clutia rubricaulis</v>
      </c>
      <c r="D1343" s="6" t="str">
        <f t="shared" si="1566"/>
        <v>20C</v>
      </c>
      <c r="E1343" s="10">
        <f>IF(ISBLANK(A1340),"",E1342+1)</f>
        <v>4</v>
      </c>
      <c r="F1343" s="11">
        <f t="shared" si="1565"/>
        <v>45914.71806</v>
      </c>
      <c r="G1343" s="8">
        <v>0.149</v>
      </c>
    </row>
    <row r="1344">
      <c r="A1344" s="9" t="str">
        <f t="shared" si="1563"/>
        <v>CLURUB</v>
      </c>
      <c r="B1344" s="9" t="str">
        <f>IF(ISBLANK(A1340),"",LEFT(B1343,27)&amp;VALUE(RIGHT(B1343,1)+1))</f>
        <v>DKR250911CLURUB_20C_sample_5</v>
      </c>
      <c r="C1344" s="6" t="str">
        <f t="shared" ref="C1344:D1344" si="1567">C1343</f>
        <v>Clutia rubricaulis</v>
      </c>
      <c r="D1344" s="6" t="str">
        <f t="shared" si="1567"/>
        <v>20C</v>
      </c>
      <c r="E1344" s="10">
        <f>IF(ISBLANK(A1340),"",E1343+1)</f>
        <v>5</v>
      </c>
      <c r="F1344" s="11">
        <f t="shared" si="1565"/>
        <v>45914.71806</v>
      </c>
      <c r="G1344" s="8">
        <v>0.333</v>
      </c>
    </row>
    <row r="1345">
      <c r="A1345" s="12" t="str">
        <f t="shared" si="1563"/>
        <v>CLURUB</v>
      </c>
      <c r="B1345" s="12" t="str">
        <f>IF(ISBLANK(A1340),"",LEFT(B1344,27)&amp;VALUE(RIGHT(B1344,1)+1))</f>
        <v>DKR250911CLURUB_20C_sample_6</v>
      </c>
      <c r="C1345" s="13" t="str">
        <f t="shared" ref="C1345:D1345" si="1568">C1344</f>
        <v>Clutia rubricaulis</v>
      </c>
      <c r="D1345" s="13" t="str">
        <f t="shared" si="1568"/>
        <v>20C</v>
      </c>
      <c r="E1345" s="14">
        <f>IF(ISBLANK(A1340),"",E1344+1)</f>
        <v>6</v>
      </c>
      <c r="F1345" s="15">
        <f t="shared" si="1565"/>
        <v>45914.71806</v>
      </c>
      <c r="G1345" s="16">
        <v>0.255</v>
      </c>
    </row>
    <row r="1346">
      <c r="A1346" s="5" t="s">
        <v>15</v>
      </c>
      <c r="B1346" s="6" t="str">
        <f>IF(ISBLANK(A1346),"",VLOOKUP($A1346,'Data Feed (20C)'!$A$1:$G$14,2,FALSE))</f>
        <v>DKR250911ELYRHI_20C_sample_1</v>
      </c>
      <c r="C1346" s="6" t="str">
        <f>IF(ISBLANK(A1346),"",VLOOKUP($A1346,'Data Feed (20C)'!$A$1:$G$14,3,FALSE))</f>
        <v>Elytropappus rhinocerotis</v>
      </c>
      <c r="D1346" s="6" t="str">
        <f>IF(ISBLANK(A1346),"",VLOOKUP($A1346,'Data Feed (20C)'!$A$1:$G$14,4,FALSE))</f>
        <v>20C</v>
      </c>
      <c r="E1346" s="6">
        <f>IF(ISBLANK(A1346),"",VLOOKUP($A1346,'Data Feed (20C)'!$A$1:$G$14,7,FALSE))</f>
        <v>1</v>
      </c>
      <c r="F1346" s="7">
        <v>45914.71944444445</v>
      </c>
      <c r="G1346" s="8">
        <v>2.616</v>
      </c>
    </row>
    <row r="1347">
      <c r="A1347" s="9" t="str">
        <f t="shared" ref="A1347:A1351" si="1570">A1346</f>
        <v>ELYRHI</v>
      </c>
      <c r="B1347" s="9" t="str">
        <f>IF(ISBLANK(A1346),"",LEFT(B1346,27)&amp;VALUE(RIGHT(B1346,1)+1))</f>
        <v>DKR250911ELYRHI_20C_sample_2</v>
      </c>
      <c r="C1347" s="6" t="str">
        <f t="shared" ref="C1347:D1347" si="1569">C1346</f>
        <v>Elytropappus rhinocerotis</v>
      </c>
      <c r="D1347" s="6" t="str">
        <f t="shared" si="1569"/>
        <v>20C</v>
      </c>
      <c r="E1347" s="10">
        <f>IF(ISBLANK(A1346),"",E1346+1)</f>
        <v>2</v>
      </c>
      <c r="F1347" s="11">
        <f t="shared" ref="F1347:F1351" si="1572">F1346</f>
        <v>45914.71944</v>
      </c>
      <c r="G1347" s="8">
        <v>2.942</v>
      </c>
    </row>
    <row r="1348">
      <c r="A1348" s="9" t="str">
        <f t="shared" si="1570"/>
        <v>ELYRHI</v>
      </c>
      <c r="B1348" s="9" t="str">
        <f>IF(ISBLANK(A1346),"",LEFT(B1347,27)&amp;VALUE(RIGHT(B1347,1)+1))</f>
        <v>DKR250911ELYRHI_20C_sample_3</v>
      </c>
      <c r="C1348" s="6" t="str">
        <f t="shared" ref="C1348:D1348" si="1571">C1347</f>
        <v>Elytropappus rhinocerotis</v>
      </c>
      <c r="D1348" s="6" t="str">
        <f t="shared" si="1571"/>
        <v>20C</v>
      </c>
      <c r="E1348" s="10">
        <f>IF(ISBLANK(A1346),"",E1347+1)</f>
        <v>3</v>
      </c>
      <c r="F1348" s="11">
        <f t="shared" si="1572"/>
        <v>45914.71944</v>
      </c>
      <c r="G1348" s="8">
        <v>4.749</v>
      </c>
    </row>
    <row r="1349">
      <c r="A1349" s="9" t="str">
        <f t="shared" si="1570"/>
        <v>ELYRHI</v>
      </c>
      <c r="B1349" s="9" t="str">
        <f>IF(ISBLANK(A1346),"",LEFT(B1348,27)&amp;VALUE(RIGHT(B1348,1)+1))</f>
        <v>DKR250911ELYRHI_20C_sample_4</v>
      </c>
      <c r="C1349" s="6" t="str">
        <f t="shared" ref="C1349:D1349" si="1573">C1348</f>
        <v>Elytropappus rhinocerotis</v>
      </c>
      <c r="D1349" s="6" t="str">
        <f t="shared" si="1573"/>
        <v>20C</v>
      </c>
      <c r="E1349" s="10">
        <f>IF(ISBLANK(A1346),"",E1348+1)</f>
        <v>4</v>
      </c>
      <c r="F1349" s="11">
        <f t="shared" si="1572"/>
        <v>45914.71944</v>
      </c>
      <c r="G1349" s="8">
        <v>2.914</v>
      </c>
    </row>
    <row r="1350">
      <c r="A1350" s="9" t="str">
        <f t="shared" si="1570"/>
        <v>ELYRHI</v>
      </c>
      <c r="B1350" s="9" t="str">
        <f>IF(ISBLANK(A1346),"",LEFT(B1349,27)&amp;VALUE(RIGHT(B1349,1)+1))</f>
        <v>DKR250911ELYRHI_20C_sample_5</v>
      </c>
      <c r="C1350" s="6" t="str">
        <f t="shared" ref="C1350:D1350" si="1574">C1349</f>
        <v>Elytropappus rhinocerotis</v>
      </c>
      <c r="D1350" s="6" t="str">
        <f t="shared" si="1574"/>
        <v>20C</v>
      </c>
      <c r="E1350" s="10">
        <f>IF(ISBLANK(A1346),"",E1349+1)</f>
        <v>5</v>
      </c>
      <c r="F1350" s="11">
        <f t="shared" si="1572"/>
        <v>45914.71944</v>
      </c>
      <c r="G1350" s="8">
        <v>1.822</v>
      </c>
    </row>
    <row r="1351">
      <c r="A1351" s="12" t="str">
        <f t="shared" si="1570"/>
        <v>ELYRHI</v>
      </c>
      <c r="B1351" s="12" t="str">
        <f>IF(ISBLANK(A1346),"",LEFT(B1350,27)&amp;VALUE(RIGHT(B1350,1)+1))</f>
        <v>DKR250911ELYRHI_20C_sample_6</v>
      </c>
      <c r="C1351" s="13" t="str">
        <f t="shared" ref="C1351:D1351" si="1575">C1350</f>
        <v>Elytropappus rhinocerotis</v>
      </c>
      <c r="D1351" s="13" t="str">
        <f t="shared" si="1575"/>
        <v>20C</v>
      </c>
      <c r="E1351" s="14">
        <f>IF(ISBLANK(A1346),"",E1350+1)</f>
        <v>6</v>
      </c>
      <c r="F1351" s="15">
        <f t="shared" si="1572"/>
        <v>45914.71944</v>
      </c>
      <c r="G1351" s="16">
        <v>1.533</v>
      </c>
    </row>
    <row r="1352">
      <c r="A1352" s="5" t="s">
        <v>10</v>
      </c>
      <c r="B1352" s="6" t="str">
        <f>IF(ISBLANK(A1352),"",VLOOKUP($A1352,'Data Feed (20C)'!$A$1:$G$14,2,FALSE))</f>
        <v>DKF250911LOBDEC_20C_sample_1</v>
      </c>
      <c r="C1352" s="6" t="str">
        <f>IF(ISBLANK(A1352),"",VLOOKUP($A1352,'Data Feed (20C)'!$A$1:$G$14,3,FALSE))</f>
        <v>Lobostemon decorus</v>
      </c>
      <c r="D1352" s="6" t="str">
        <f>IF(ISBLANK(A1352),"",VLOOKUP($A1352,'Data Feed (20C)'!$A$1:$G$14,4,FALSE))</f>
        <v>20C</v>
      </c>
      <c r="E1352" s="6">
        <f>IF(ISBLANK(A1352),"",VLOOKUP($A1352,'Data Feed (20C)'!$A$1:$G$14,7,FALSE))</f>
        <v>1</v>
      </c>
      <c r="F1352" s="7">
        <v>45914.72083333333</v>
      </c>
      <c r="G1352" s="8">
        <v>4.231</v>
      </c>
    </row>
    <row r="1353">
      <c r="A1353" s="9" t="str">
        <f t="shared" ref="A1353:A1357" si="1577">A1352</f>
        <v>LOBDEC</v>
      </c>
      <c r="B1353" s="9" t="str">
        <f>IF(ISBLANK(A1352),"",LEFT(B1352,27)&amp;VALUE(RIGHT(B1352,1)+1))</f>
        <v>DKF250911LOBDEC_20C_sample_2</v>
      </c>
      <c r="C1353" s="6" t="str">
        <f t="shared" ref="C1353:D1353" si="1576">C1352</f>
        <v>Lobostemon decorus</v>
      </c>
      <c r="D1353" s="6" t="str">
        <f t="shared" si="1576"/>
        <v>20C</v>
      </c>
      <c r="E1353" s="10">
        <f>IF(ISBLANK(A1352),"",E1352+1)</f>
        <v>2</v>
      </c>
      <c r="F1353" s="11">
        <f t="shared" ref="F1353:F1357" si="1579">F1352</f>
        <v>45914.72083</v>
      </c>
      <c r="G1353" s="8">
        <v>4.054</v>
      </c>
    </row>
    <row r="1354">
      <c r="A1354" s="9" t="str">
        <f t="shared" si="1577"/>
        <v>LOBDEC</v>
      </c>
      <c r="B1354" s="9" t="str">
        <f>IF(ISBLANK(A1352),"",LEFT(B1353,27)&amp;VALUE(RIGHT(B1353,1)+1))</f>
        <v>DKF250911LOBDEC_20C_sample_3</v>
      </c>
      <c r="C1354" s="6" t="str">
        <f t="shared" ref="C1354:D1354" si="1578">C1353</f>
        <v>Lobostemon decorus</v>
      </c>
      <c r="D1354" s="6" t="str">
        <f t="shared" si="1578"/>
        <v>20C</v>
      </c>
      <c r="E1354" s="10">
        <f>IF(ISBLANK(A1352),"",E1353+1)</f>
        <v>3</v>
      </c>
      <c r="F1354" s="11">
        <f t="shared" si="1579"/>
        <v>45914.72083</v>
      </c>
      <c r="G1354" s="8">
        <v>5.836</v>
      </c>
    </row>
    <row r="1355">
      <c r="A1355" s="9" t="str">
        <f t="shared" si="1577"/>
        <v>LOBDEC</v>
      </c>
      <c r="B1355" s="9" t="str">
        <f>IF(ISBLANK(A1352),"",LEFT(B1354,27)&amp;VALUE(RIGHT(B1354,1)+1))</f>
        <v>DKF250911LOBDEC_20C_sample_4</v>
      </c>
      <c r="C1355" s="6" t="str">
        <f t="shared" ref="C1355:D1355" si="1580">C1354</f>
        <v>Lobostemon decorus</v>
      </c>
      <c r="D1355" s="6" t="str">
        <f t="shared" si="1580"/>
        <v>20C</v>
      </c>
      <c r="E1355" s="10">
        <f>IF(ISBLANK(A1352),"",E1354+1)</f>
        <v>4</v>
      </c>
      <c r="F1355" s="11">
        <f t="shared" si="1579"/>
        <v>45914.72083</v>
      </c>
      <c r="G1355" s="8">
        <v>3.825</v>
      </c>
    </row>
    <row r="1356">
      <c r="A1356" s="9" t="str">
        <f t="shared" si="1577"/>
        <v>LOBDEC</v>
      </c>
      <c r="B1356" s="9" t="str">
        <f>IF(ISBLANK(A1352),"",LEFT(B1355,27)&amp;VALUE(RIGHT(B1355,1)+1))</f>
        <v>DKF250911LOBDEC_20C_sample_5</v>
      </c>
      <c r="C1356" s="6" t="str">
        <f t="shared" ref="C1356:D1356" si="1581">C1355</f>
        <v>Lobostemon decorus</v>
      </c>
      <c r="D1356" s="6" t="str">
        <f t="shared" si="1581"/>
        <v>20C</v>
      </c>
      <c r="E1356" s="10">
        <f>IF(ISBLANK(A1352),"",E1355+1)</f>
        <v>5</v>
      </c>
      <c r="F1356" s="11">
        <f t="shared" si="1579"/>
        <v>45914.72083</v>
      </c>
      <c r="G1356" s="8">
        <v>2.593</v>
      </c>
    </row>
    <row r="1357">
      <c r="A1357" s="12" t="str">
        <f t="shared" si="1577"/>
        <v>LOBDEC</v>
      </c>
      <c r="B1357" s="12" t="str">
        <f>IF(ISBLANK(A1352),"",LEFT(B1356,27)&amp;VALUE(RIGHT(B1356,1)+1))</f>
        <v>DKF250911LOBDEC_20C_sample_6</v>
      </c>
      <c r="C1357" s="13" t="str">
        <f t="shared" ref="C1357:D1357" si="1582">C1356</f>
        <v>Lobostemon decorus</v>
      </c>
      <c r="D1357" s="13" t="str">
        <f t="shared" si="1582"/>
        <v>20C</v>
      </c>
      <c r="E1357" s="14">
        <f>IF(ISBLANK(A1352),"",E1356+1)</f>
        <v>6</v>
      </c>
      <c r="F1357" s="15">
        <f t="shared" si="1579"/>
        <v>45914.72083</v>
      </c>
      <c r="G1357" s="16">
        <v>2.189</v>
      </c>
    </row>
    <row r="1358">
      <c r="A1358" s="5" t="s">
        <v>16</v>
      </c>
      <c r="B1358" s="6" t="str">
        <f>IF(ISBLANK(A1358),"",VLOOKUP($A1358,'Data Feed (20C)'!$A$1:$G$14,2,FALSE))</f>
        <v>DKR250911MICPOL_20C_sample_1</v>
      </c>
      <c r="C1358" s="6" t="str">
        <f>IF(ISBLANK(A1358),"",VLOOKUP($A1358,'Data Feed (20C)'!$A$1:$G$14,3,FALSE))</f>
        <v>Microdon polygaloides</v>
      </c>
      <c r="D1358" s="6" t="str">
        <f>IF(ISBLANK(A1358),"",VLOOKUP($A1358,'Data Feed (20C)'!$A$1:$G$14,4,FALSE))</f>
        <v>20C</v>
      </c>
      <c r="E1358" s="6">
        <f>IF(ISBLANK(A1358),"",VLOOKUP($A1358,'Data Feed (20C)'!$A$1:$G$14,7,FALSE))</f>
        <v>1</v>
      </c>
      <c r="F1358" s="7">
        <v>45914.72222222222</v>
      </c>
      <c r="G1358" s="8">
        <v>1.015</v>
      </c>
    </row>
    <row r="1359">
      <c r="A1359" s="9" t="str">
        <f t="shared" ref="A1359:A1363" si="1584">A1358</f>
        <v>MICPOL</v>
      </c>
      <c r="B1359" s="9" t="str">
        <f>IF(ISBLANK(A1358),"",LEFT(B1358,27)&amp;VALUE(RIGHT(B1358,1)+1))</f>
        <v>DKR250911MICPOL_20C_sample_2</v>
      </c>
      <c r="C1359" s="6" t="str">
        <f t="shared" ref="C1359:D1359" si="1583">C1358</f>
        <v>Microdon polygaloides</v>
      </c>
      <c r="D1359" s="6" t="str">
        <f t="shared" si="1583"/>
        <v>20C</v>
      </c>
      <c r="E1359" s="10">
        <f>IF(ISBLANK(A1358),"",E1358+1)</f>
        <v>2</v>
      </c>
      <c r="F1359" s="11">
        <f t="shared" ref="F1359:F1363" si="1586">F1358</f>
        <v>45914.72222</v>
      </c>
      <c r="G1359" s="8">
        <v>0.723</v>
      </c>
    </row>
    <row r="1360">
      <c r="A1360" s="9" t="str">
        <f t="shared" si="1584"/>
        <v>MICPOL</v>
      </c>
      <c r="B1360" s="9" t="str">
        <f>IF(ISBLANK(A1358),"",LEFT(B1359,27)&amp;VALUE(RIGHT(B1359,1)+1))</f>
        <v>DKR250911MICPOL_20C_sample_3</v>
      </c>
      <c r="C1360" s="6" t="str">
        <f t="shared" ref="C1360:D1360" si="1585">C1359</f>
        <v>Microdon polygaloides</v>
      </c>
      <c r="D1360" s="6" t="str">
        <f t="shared" si="1585"/>
        <v>20C</v>
      </c>
      <c r="E1360" s="10">
        <f>IF(ISBLANK(A1358),"",E1359+1)</f>
        <v>3</v>
      </c>
      <c r="F1360" s="11">
        <f t="shared" si="1586"/>
        <v>45914.72222</v>
      </c>
      <c r="G1360" s="8">
        <v>0.301</v>
      </c>
    </row>
    <row r="1361">
      <c r="A1361" s="9" t="str">
        <f t="shared" si="1584"/>
        <v>MICPOL</v>
      </c>
      <c r="B1361" s="9" t="str">
        <f>IF(ISBLANK(A1358),"",LEFT(B1360,27)&amp;VALUE(RIGHT(B1360,1)+1))</f>
        <v>DKR250911MICPOL_20C_sample_4</v>
      </c>
      <c r="C1361" s="6" t="str">
        <f t="shared" ref="C1361:D1361" si="1587">C1360</f>
        <v>Microdon polygaloides</v>
      </c>
      <c r="D1361" s="6" t="str">
        <f t="shared" si="1587"/>
        <v>20C</v>
      </c>
      <c r="E1361" s="10">
        <f>IF(ISBLANK(A1358),"",E1360+1)</f>
        <v>4</v>
      </c>
      <c r="F1361" s="11">
        <f t="shared" si="1586"/>
        <v>45914.72222</v>
      </c>
      <c r="G1361" s="8">
        <v>0.142</v>
      </c>
    </row>
    <row r="1362">
      <c r="A1362" s="9" t="str">
        <f t="shared" si="1584"/>
        <v>MICPOL</v>
      </c>
      <c r="B1362" s="9" t="str">
        <f>IF(ISBLANK(A1358),"",LEFT(B1361,27)&amp;VALUE(RIGHT(B1361,1)+1))</f>
        <v>DKR250911MICPOL_20C_sample_5</v>
      </c>
      <c r="C1362" s="6" t="str">
        <f t="shared" ref="C1362:D1362" si="1588">C1361</f>
        <v>Microdon polygaloides</v>
      </c>
      <c r="D1362" s="6" t="str">
        <f t="shared" si="1588"/>
        <v>20C</v>
      </c>
      <c r="E1362" s="10">
        <f>IF(ISBLANK(A1358),"",E1361+1)</f>
        <v>5</v>
      </c>
      <c r="F1362" s="11">
        <f t="shared" si="1586"/>
        <v>45914.72222</v>
      </c>
      <c r="G1362" s="8"/>
    </row>
    <row r="1363">
      <c r="A1363" s="12" t="str">
        <f t="shared" si="1584"/>
        <v>MICPOL</v>
      </c>
      <c r="B1363" s="12" t="str">
        <f>IF(ISBLANK(A1358),"",LEFT(B1362,27)&amp;VALUE(RIGHT(B1362,1)+1))</f>
        <v>DKR250911MICPOL_20C_sample_6</v>
      </c>
      <c r="C1363" s="13" t="str">
        <f t="shared" ref="C1363:D1363" si="1589">C1362</f>
        <v>Microdon polygaloides</v>
      </c>
      <c r="D1363" s="13" t="str">
        <f t="shared" si="1589"/>
        <v>20C</v>
      </c>
      <c r="E1363" s="14">
        <f>IF(ISBLANK(A1358),"",E1362+1)</f>
        <v>6</v>
      </c>
      <c r="F1363" s="15">
        <f t="shared" si="1586"/>
        <v>45914.72222</v>
      </c>
      <c r="G1363" s="16">
        <v>0.171</v>
      </c>
    </row>
    <row r="1364">
      <c r="A1364" s="5" t="s">
        <v>17</v>
      </c>
      <c r="B1364" s="6" t="str">
        <f>IF(ISBLANK(A1364),"",VLOOKUP($A1364,'Data Feed (20C)'!$A$1:$G$14,2,FALSE))</f>
        <v>DKR250911OEDSQU_20C_sample_1</v>
      </c>
      <c r="C1364" s="6" t="str">
        <f>IF(ISBLANK(A1364),"",VLOOKUP($A1364,'Data Feed (20C)'!$A$1:$G$14,3,FALSE))</f>
        <v>Oedera squarrosa</v>
      </c>
      <c r="D1364" s="6" t="str">
        <f>IF(ISBLANK(A1364),"",VLOOKUP($A1364,'Data Feed (20C)'!$A$1:$G$14,4,FALSE))</f>
        <v>20C</v>
      </c>
      <c r="E1364" s="6">
        <f>IF(ISBLANK(A1364),"",VLOOKUP($A1364,'Data Feed (20C)'!$A$1:$G$14,7,FALSE))</f>
        <v>1</v>
      </c>
      <c r="F1364" s="7">
        <v>45914.72361111111</v>
      </c>
      <c r="G1364" s="8">
        <v>0.938</v>
      </c>
    </row>
    <row r="1365">
      <c r="A1365" s="9" t="str">
        <f t="shared" ref="A1365:A1369" si="1591">A1364</f>
        <v>OEDSQU</v>
      </c>
      <c r="B1365" s="9" t="str">
        <f>IF(ISBLANK(A1364),"",LEFT(B1364,27)&amp;VALUE(RIGHT(B1364,1)+1))</f>
        <v>DKR250911OEDSQU_20C_sample_2</v>
      </c>
      <c r="C1365" s="6" t="str">
        <f t="shared" ref="C1365:D1365" si="1590">C1364</f>
        <v>Oedera squarrosa</v>
      </c>
      <c r="D1365" s="6" t="str">
        <f t="shared" si="1590"/>
        <v>20C</v>
      </c>
      <c r="E1365" s="10">
        <f>IF(ISBLANK(A1364),"",E1364+1)</f>
        <v>2</v>
      </c>
      <c r="F1365" s="11">
        <f t="shared" ref="F1365:F1369" si="1593">F1364</f>
        <v>45914.72361</v>
      </c>
      <c r="G1365" s="8">
        <v>0.764</v>
      </c>
    </row>
    <row r="1366">
      <c r="A1366" s="9" t="str">
        <f t="shared" si="1591"/>
        <v>OEDSQU</v>
      </c>
      <c r="B1366" s="9" t="str">
        <f>IF(ISBLANK(A1364),"",LEFT(B1365,27)&amp;VALUE(RIGHT(B1365,1)+1))</f>
        <v>DKR250911OEDSQU_20C_sample_3</v>
      </c>
      <c r="C1366" s="6" t="str">
        <f t="shared" ref="C1366:D1366" si="1592">C1365</f>
        <v>Oedera squarrosa</v>
      </c>
      <c r="D1366" s="6" t="str">
        <f t="shared" si="1592"/>
        <v>20C</v>
      </c>
      <c r="E1366" s="10">
        <f>IF(ISBLANK(A1364),"",E1365+1)</f>
        <v>3</v>
      </c>
      <c r="F1366" s="11">
        <f t="shared" si="1593"/>
        <v>45914.72361</v>
      </c>
      <c r="G1366" s="8">
        <v>1.135</v>
      </c>
    </row>
    <row r="1367">
      <c r="A1367" s="9" t="str">
        <f t="shared" si="1591"/>
        <v>OEDSQU</v>
      </c>
      <c r="B1367" s="9" t="str">
        <f>IF(ISBLANK(A1364),"",LEFT(B1366,27)&amp;VALUE(RIGHT(B1366,1)+1))</f>
        <v>DKR250911OEDSQU_20C_sample_4</v>
      </c>
      <c r="C1367" s="6" t="str">
        <f t="shared" ref="C1367:D1367" si="1594">C1366</f>
        <v>Oedera squarrosa</v>
      </c>
      <c r="D1367" s="6" t="str">
        <f t="shared" si="1594"/>
        <v>20C</v>
      </c>
      <c r="E1367" s="10">
        <f>IF(ISBLANK(A1364),"",E1366+1)</f>
        <v>4</v>
      </c>
      <c r="F1367" s="11">
        <f t="shared" si="1593"/>
        <v>45914.72361</v>
      </c>
      <c r="G1367" s="8">
        <v>1.024</v>
      </c>
    </row>
    <row r="1368">
      <c r="A1368" s="9" t="str">
        <f t="shared" si="1591"/>
        <v>OEDSQU</v>
      </c>
      <c r="B1368" s="9" t="str">
        <f>IF(ISBLANK(A1364),"",LEFT(B1367,27)&amp;VALUE(RIGHT(B1367,1)+1))</f>
        <v>DKR250911OEDSQU_20C_sample_5</v>
      </c>
      <c r="C1368" s="6" t="str">
        <f t="shared" ref="C1368:D1368" si="1595">C1367</f>
        <v>Oedera squarrosa</v>
      </c>
      <c r="D1368" s="6" t="str">
        <f t="shared" si="1595"/>
        <v>20C</v>
      </c>
      <c r="E1368" s="10">
        <f>IF(ISBLANK(A1364),"",E1367+1)</f>
        <v>5</v>
      </c>
      <c r="F1368" s="11">
        <f t="shared" si="1593"/>
        <v>45914.72361</v>
      </c>
      <c r="G1368" s="8">
        <v>0.472</v>
      </c>
    </row>
    <row r="1369">
      <c r="A1369" s="12" t="str">
        <f t="shared" si="1591"/>
        <v>OEDSQU</v>
      </c>
      <c r="B1369" s="12" t="str">
        <f>IF(ISBLANK(A1364),"",LEFT(B1368,27)&amp;VALUE(RIGHT(B1368,1)+1))</f>
        <v>DKR250911OEDSQU_20C_sample_6</v>
      </c>
      <c r="C1369" s="13" t="str">
        <f t="shared" ref="C1369:D1369" si="1596">C1368</f>
        <v>Oedera squarrosa</v>
      </c>
      <c r="D1369" s="13" t="str">
        <f t="shared" si="1596"/>
        <v>20C</v>
      </c>
      <c r="E1369" s="14">
        <f>IF(ISBLANK(A1364),"",E1368+1)</f>
        <v>6</v>
      </c>
      <c r="F1369" s="15">
        <f t="shared" si="1593"/>
        <v>45914.72361</v>
      </c>
      <c r="G1369" s="16">
        <v>0.175</v>
      </c>
    </row>
    <row r="1370">
      <c r="A1370" s="5" t="s">
        <v>7</v>
      </c>
      <c r="B1370" s="6" t="str">
        <f>IF(ISBLANK(A1370),"",VLOOKUP($A1370,'Data Feed (20C)'!$A$1:$G$14,2,FALSE))</f>
        <v>DKR250911PASOBT_20C_sample_1</v>
      </c>
      <c r="C1370" s="6" t="str">
        <f>IF(ISBLANK(A1370),"",VLOOKUP($A1370,'Data Feed (20C)'!$A$1:$G$14,3,FALSE))</f>
        <v>Passerina obtusifolia</v>
      </c>
      <c r="D1370" s="6" t="str">
        <f>IF(ISBLANK(A1370),"",VLOOKUP($A1370,'Data Feed (20C)'!$A$1:$G$14,4,FALSE))</f>
        <v>20C</v>
      </c>
      <c r="E1370" s="6">
        <f>IF(ISBLANK(A1370),"",VLOOKUP($A1370,'Data Feed (20C)'!$A$1:$G$14,7,FALSE))</f>
        <v>1</v>
      </c>
      <c r="F1370" s="7">
        <v>45914.725</v>
      </c>
      <c r="G1370" s="8">
        <v>2.447</v>
      </c>
    </row>
    <row r="1371">
      <c r="A1371" s="9" t="str">
        <f t="shared" ref="A1371:A1375" si="1598">A1370</f>
        <v>PASOBT</v>
      </c>
      <c r="B1371" s="9" t="str">
        <f>IF(ISBLANK(A1370),"",LEFT(B1370,27)&amp;VALUE(RIGHT(B1370,1)+1))</f>
        <v>DKR250911PASOBT_20C_sample_2</v>
      </c>
      <c r="C1371" s="6" t="str">
        <f t="shared" ref="C1371:D1371" si="1597">C1370</f>
        <v>Passerina obtusifolia</v>
      </c>
      <c r="D1371" s="6" t="str">
        <f t="shared" si="1597"/>
        <v>20C</v>
      </c>
      <c r="E1371" s="10">
        <f>IF(ISBLANK(A1370),"",E1370+1)</f>
        <v>2</v>
      </c>
      <c r="F1371" s="11">
        <f t="shared" ref="F1371:F1375" si="1600">F1370</f>
        <v>45914.725</v>
      </c>
      <c r="G1371" s="8">
        <v>3.102</v>
      </c>
    </row>
    <row r="1372">
      <c r="A1372" s="9" t="str">
        <f t="shared" si="1598"/>
        <v>PASOBT</v>
      </c>
      <c r="B1372" s="9" t="str">
        <f>IF(ISBLANK(A1370),"",LEFT(B1371,27)&amp;VALUE(RIGHT(B1371,1)+1))</f>
        <v>DKR250911PASOBT_20C_sample_3</v>
      </c>
      <c r="C1372" s="6" t="str">
        <f t="shared" ref="C1372:D1372" si="1599">C1371</f>
        <v>Passerina obtusifolia</v>
      </c>
      <c r="D1372" s="6" t="str">
        <f t="shared" si="1599"/>
        <v>20C</v>
      </c>
      <c r="E1372" s="10">
        <f>IF(ISBLANK(A1370),"",E1371+1)</f>
        <v>3</v>
      </c>
      <c r="F1372" s="11">
        <f t="shared" si="1600"/>
        <v>45914.725</v>
      </c>
      <c r="G1372" s="8">
        <v>1.098</v>
      </c>
    </row>
    <row r="1373">
      <c r="A1373" s="9" t="str">
        <f t="shared" si="1598"/>
        <v>PASOBT</v>
      </c>
      <c r="B1373" s="9" t="str">
        <f>IF(ISBLANK(A1370),"",LEFT(B1372,27)&amp;VALUE(RIGHT(B1372,1)+1))</f>
        <v>DKR250911PASOBT_20C_sample_4</v>
      </c>
      <c r="C1373" s="6" t="str">
        <f t="shared" ref="C1373:D1373" si="1601">C1372</f>
        <v>Passerina obtusifolia</v>
      </c>
      <c r="D1373" s="6" t="str">
        <f t="shared" si="1601"/>
        <v>20C</v>
      </c>
      <c r="E1373" s="10">
        <f>IF(ISBLANK(A1370),"",E1372+1)</f>
        <v>4</v>
      </c>
      <c r="F1373" s="11">
        <f t="shared" si="1600"/>
        <v>45914.725</v>
      </c>
      <c r="G1373" s="8">
        <v>1.506</v>
      </c>
    </row>
    <row r="1374">
      <c r="A1374" s="9" t="str">
        <f t="shared" si="1598"/>
        <v>PASOBT</v>
      </c>
      <c r="B1374" s="9" t="str">
        <f>IF(ISBLANK(A1370),"",LEFT(B1373,27)&amp;VALUE(RIGHT(B1373,1)+1))</f>
        <v>DKR250911PASOBT_20C_sample_5</v>
      </c>
      <c r="C1374" s="6" t="str">
        <f t="shared" ref="C1374:D1374" si="1602">C1373</f>
        <v>Passerina obtusifolia</v>
      </c>
      <c r="D1374" s="6" t="str">
        <f t="shared" si="1602"/>
        <v>20C</v>
      </c>
      <c r="E1374" s="10">
        <f>IF(ISBLANK(A1370),"",E1373+1)</f>
        <v>5</v>
      </c>
      <c r="F1374" s="11">
        <f t="shared" si="1600"/>
        <v>45914.725</v>
      </c>
      <c r="G1374" s="8">
        <v>1.265</v>
      </c>
    </row>
    <row r="1375">
      <c r="A1375" s="12" t="str">
        <f t="shared" si="1598"/>
        <v>PASOBT</v>
      </c>
      <c r="B1375" s="12" t="str">
        <f>IF(ISBLANK(A1370),"",LEFT(B1374,27)&amp;VALUE(RIGHT(B1374,1)+1))</f>
        <v>DKR250911PASOBT_20C_sample_6</v>
      </c>
      <c r="C1375" s="13" t="str">
        <f t="shared" ref="C1375:D1375" si="1603">C1374</f>
        <v>Passerina obtusifolia</v>
      </c>
      <c r="D1375" s="13" t="str">
        <f t="shared" si="1603"/>
        <v>20C</v>
      </c>
      <c r="E1375" s="14">
        <f>IF(ISBLANK(A1370),"",E1374+1)</f>
        <v>6</v>
      </c>
      <c r="F1375" s="15">
        <f t="shared" si="1600"/>
        <v>45914.725</v>
      </c>
      <c r="G1375" s="16">
        <v>2.128</v>
      </c>
    </row>
    <row r="1376">
      <c r="A1376" s="5" t="s">
        <v>9</v>
      </c>
      <c r="B1376" s="6" t="str">
        <f>IF(ISBLANK(A1376),"",VLOOKUP($A1376,'Data Feed (20C)'!$A$1:$G$14,2,FALSE))</f>
        <v>DKR250911PROLAU_20C_sample_1</v>
      </c>
      <c r="C1376" s="6" t="str">
        <f>IF(ISBLANK(A1376),"",VLOOKUP($A1376,'Data Feed (20C)'!$A$1:$G$14,3,FALSE))</f>
        <v>Protea laurifolia</v>
      </c>
      <c r="D1376" s="6" t="str">
        <f>IF(ISBLANK(A1376),"",VLOOKUP($A1376,'Data Feed (20C)'!$A$1:$G$14,4,FALSE))</f>
        <v>20C</v>
      </c>
      <c r="E1376" s="6">
        <f>IF(ISBLANK(A1376),"",VLOOKUP($A1376,'Data Feed (20C)'!$A$1:$G$14,7,FALSE))</f>
        <v>1</v>
      </c>
      <c r="F1376" s="7">
        <v>45914.72638888889</v>
      </c>
      <c r="G1376" s="8">
        <v>0.963</v>
      </c>
    </row>
    <row r="1377">
      <c r="A1377" s="9" t="str">
        <f t="shared" ref="A1377:A1381" si="1605">A1376</f>
        <v>PROLAU</v>
      </c>
      <c r="B1377" s="9" t="str">
        <f>IF(ISBLANK(A1376),"",LEFT(B1376,27)&amp;VALUE(RIGHT(B1376,1)+1))</f>
        <v>DKR250911PROLAU_20C_sample_2</v>
      </c>
      <c r="C1377" s="6" t="str">
        <f t="shared" ref="C1377:D1377" si="1604">C1376</f>
        <v>Protea laurifolia</v>
      </c>
      <c r="D1377" s="6" t="str">
        <f t="shared" si="1604"/>
        <v>20C</v>
      </c>
      <c r="E1377" s="10">
        <f>IF(ISBLANK(A1376),"",E1376+1)</f>
        <v>2</v>
      </c>
      <c r="F1377" s="11">
        <f t="shared" ref="F1377:F1381" si="1607">F1376</f>
        <v>45914.72639</v>
      </c>
      <c r="G1377" s="8">
        <v>0.702</v>
      </c>
    </row>
    <row r="1378">
      <c r="A1378" s="9" t="str">
        <f t="shared" si="1605"/>
        <v>PROLAU</v>
      </c>
      <c r="B1378" s="9" t="str">
        <f>IF(ISBLANK(A1376),"",LEFT(B1377,27)&amp;VALUE(RIGHT(B1377,1)+1))</f>
        <v>DKR250911PROLAU_20C_sample_3</v>
      </c>
      <c r="C1378" s="6" t="str">
        <f t="shared" ref="C1378:D1378" si="1606">C1377</f>
        <v>Protea laurifolia</v>
      </c>
      <c r="D1378" s="6" t="str">
        <f t="shared" si="1606"/>
        <v>20C</v>
      </c>
      <c r="E1378" s="10">
        <f>IF(ISBLANK(A1376),"",E1377+1)</f>
        <v>3</v>
      </c>
      <c r="F1378" s="11">
        <f t="shared" si="1607"/>
        <v>45914.72639</v>
      </c>
      <c r="G1378" s="8">
        <v>1.075</v>
      </c>
    </row>
    <row r="1379">
      <c r="A1379" s="9" t="str">
        <f t="shared" si="1605"/>
        <v>PROLAU</v>
      </c>
      <c r="B1379" s="9" t="str">
        <f>IF(ISBLANK(A1376),"",LEFT(B1378,27)&amp;VALUE(RIGHT(B1378,1)+1))</f>
        <v>DKR250911PROLAU_20C_sample_4</v>
      </c>
      <c r="C1379" s="6" t="str">
        <f t="shared" ref="C1379:D1379" si="1608">C1378</f>
        <v>Protea laurifolia</v>
      </c>
      <c r="D1379" s="6" t="str">
        <f t="shared" si="1608"/>
        <v>20C</v>
      </c>
      <c r="E1379" s="10">
        <f>IF(ISBLANK(A1376),"",E1378+1)</f>
        <v>4</v>
      </c>
      <c r="F1379" s="11">
        <f t="shared" si="1607"/>
        <v>45914.72639</v>
      </c>
      <c r="G1379" s="8">
        <v>0.522</v>
      </c>
    </row>
    <row r="1380">
      <c r="A1380" s="9" t="str">
        <f t="shared" si="1605"/>
        <v>PROLAU</v>
      </c>
      <c r="B1380" s="9" t="str">
        <f>IF(ISBLANK(A1376),"",LEFT(B1379,27)&amp;VALUE(RIGHT(B1379,1)+1))</f>
        <v>DKR250911PROLAU_20C_sample_5</v>
      </c>
      <c r="C1380" s="6" t="str">
        <f t="shared" ref="C1380:D1380" si="1609">C1379</f>
        <v>Protea laurifolia</v>
      </c>
      <c r="D1380" s="6" t="str">
        <f t="shared" si="1609"/>
        <v>20C</v>
      </c>
      <c r="E1380" s="10">
        <f>IF(ISBLANK(A1376),"",E1379+1)</f>
        <v>5</v>
      </c>
      <c r="F1380" s="11">
        <f t="shared" si="1607"/>
        <v>45914.72639</v>
      </c>
      <c r="G1380" s="8">
        <v>0.902</v>
      </c>
    </row>
    <row r="1381">
      <c r="A1381" s="12" t="str">
        <f t="shared" si="1605"/>
        <v>PROLAU</v>
      </c>
      <c r="B1381" s="12" t="str">
        <f>IF(ISBLANK(A1376),"",LEFT(B1380,27)&amp;VALUE(RIGHT(B1380,1)+1))</f>
        <v>DKR250911PROLAU_20C_sample_6</v>
      </c>
      <c r="C1381" s="13" t="str">
        <f t="shared" ref="C1381:D1381" si="1610">C1380</f>
        <v>Protea laurifolia</v>
      </c>
      <c r="D1381" s="13" t="str">
        <f t="shared" si="1610"/>
        <v>20C</v>
      </c>
      <c r="E1381" s="14">
        <f>IF(ISBLANK(A1376),"",E1380+1)</f>
        <v>6</v>
      </c>
      <c r="F1381" s="15">
        <f t="shared" si="1607"/>
        <v>45914.72639</v>
      </c>
      <c r="G1381" s="16">
        <v>0.866</v>
      </c>
    </row>
    <row r="1382">
      <c r="A1382" s="5" t="s">
        <v>8</v>
      </c>
      <c r="B1382" s="6" t="str">
        <f>IF(ISBLANK(A1382),"",VLOOKUP($A1382,'Data Feed (20C)'!$A$1:$G$14,2,FALSE))</f>
        <v>DKF250911PROLOR_20C_sample_1</v>
      </c>
      <c r="C1382" s="6" t="str">
        <f>IF(ISBLANK(A1382),"",VLOOKUP($A1382,'Data Feed (20C)'!$A$1:$G$14,3,FALSE))</f>
        <v>Protea lorifolia</v>
      </c>
      <c r="D1382" s="6" t="str">
        <f>IF(ISBLANK(A1382),"",VLOOKUP($A1382,'Data Feed (20C)'!$A$1:$G$14,4,FALSE))</f>
        <v>20C</v>
      </c>
      <c r="E1382" s="6">
        <f>IF(ISBLANK(A1382),"",VLOOKUP($A1382,'Data Feed (20C)'!$A$1:$G$14,7,FALSE))</f>
        <v>1</v>
      </c>
      <c r="F1382" s="7">
        <v>45914.72777777778</v>
      </c>
      <c r="G1382" s="8">
        <v>3.005</v>
      </c>
    </row>
    <row r="1383">
      <c r="A1383" s="9" t="str">
        <f t="shared" ref="A1383:A1387" si="1612">A1382</f>
        <v>PROLOR</v>
      </c>
      <c r="B1383" s="9" t="str">
        <f>IF(ISBLANK(A1382),"",LEFT(B1382,27)&amp;VALUE(RIGHT(B1382,1)+1))</f>
        <v>DKF250911PROLOR_20C_sample_2</v>
      </c>
      <c r="C1383" s="6" t="str">
        <f t="shared" ref="C1383:D1383" si="1611">C1382</f>
        <v>Protea lorifolia</v>
      </c>
      <c r="D1383" s="6" t="str">
        <f t="shared" si="1611"/>
        <v>20C</v>
      </c>
      <c r="E1383" s="10">
        <f>IF(ISBLANK(A1382),"",E1382+1)</f>
        <v>2</v>
      </c>
      <c r="F1383" s="11">
        <f t="shared" ref="F1383:F1387" si="1614">F1382</f>
        <v>45914.72778</v>
      </c>
      <c r="G1383" s="8">
        <v>2.825</v>
      </c>
    </row>
    <row r="1384">
      <c r="A1384" s="9" t="str">
        <f t="shared" si="1612"/>
        <v>PROLOR</v>
      </c>
      <c r="B1384" s="9" t="str">
        <f>IF(ISBLANK(A1382),"",LEFT(B1383,27)&amp;VALUE(RIGHT(B1383,1)+1))</f>
        <v>DKF250911PROLOR_20C_sample_3</v>
      </c>
      <c r="C1384" s="6" t="str">
        <f t="shared" ref="C1384:D1384" si="1613">C1383</f>
        <v>Protea lorifolia</v>
      </c>
      <c r="D1384" s="6" t="str">
        <f t="shared" si="1613"/>
        <v>20C</v>
      </c>
      <c r="E1384" s="10">
        <f>IF(ISBLANK(A1382),"",E1383+1)</f>
        <v>3</v>
      </c>
      <c r="F1384" s="11">
        <f t="shared" si="1614"/>
        <v>45914.72778</v>
      </c>
      <c r="G1384" s="8">
        <v>3.329</v>
      </c>
    </row>
    <row r="1385">
      <c r="A1385" s="9" t="str">
        <f t="shared" si="1612"/>
        <v>PROLOR</v>
      </c>
      <c r="B1385" s="9" t="str">
        <f>IF(ISBLANK(A1382),"",LEFT(B1384,27)&amp;VALUE(RIGHT(B1384,1)+1))</f>
        <v>DKF250911PROLOR_20C_sample_4</v>
      </c>
      <c r="C1385" s="6" t="str">
        <f t="shared" ref="C1385:D1385" si="1615">C1384</f>
        <v>Protea lorifolia</v>
      </c>
      <c r="D1385" s="6" t="str">
        <f t="shared" si="1615"/>
        <v>20C</v>
      </c>
      <c r="E1385" s="10">
        <f>IF(ISBLANK(A1382),"",E1384+1)</f>
        <v>4</v>
      </c>
      <c r="F1385" s="11">
        <f t="shared" si="1614"/>
        <v>45914.72778</v>
      </c>
      <c r="G1385" s="8">
        <v>2.794</v>
      </c>
    </row>
    <row r="1386">
      <c r="A1386" s="9" t="str">
        <f t="shared" si="1612"/>
        <v>PROLOR</v>
      </c>
      <c r="B1386" s="9" t="str">
        <f>IF(ISBLANK(A1382),"",LEFT(B1385,27)&amp;VALUE(RIGHT(B1385,1)+1))</f>
        <v>DKF250911PROLOR_20C_sample_5</v>
      </c>
      <c r="C1386" s="6" t="str">
        <f t="shared" ref="C1386:D1386" si="1616">C1385</f>
        <v>Protea lorifolia</v>
      </c>
      <c r="D1386" s="6" t="str">
        <f t="shared" si="1616"/>
        <v>20C</v>
      </c>
      <c r="E1386" s="10">
        <f>IF(ISBLANK(A1382),"",E1385+1)</f>
        <v>5</v>
      </c>
      <c r="F1386" s="11">
        <f t="shared" si="1614"/>
        <v>45914.72778</v>
      </c>
      <c r="G1386" s="8">
        <v>5.075</v>
      </c>
    </row>
    <row r="1387">
      <c r="A1387" s="12" t="str">
        <f t="shared" si="1612"/>
        <v>PROLOR</v>
      </c>
      <c r="B1387" s="12" t="str">
        <f>IF(ISBLANK(A1382),"",LEFT(B1386,27)&amp;VALUE(RIGHT(B1386,1)+1))</f>
        <v>DKF250911PROLOR_20C_sample_6</v>
      </c>
      <c r="C1387" s="13" t="str">
        <f t="shared" ref="C1387:D1387" si="1617">C1386</f>
        <v>Protea lorifolia</v>
      </c>
      <c r="D1387" s="13" t="str">
        <f t="shared" si="1617"/>
        <v>20C</v>
      </c>
      <c r="E1387" s="14">
        <f>IF(ISBLANK(A1382),"",E1386+1)</f>
        <v>6</v>
      </c>
      <c r="F1387" s="15">
        <f t="shared" si="1614"/>
        <v>45914.72778</v>
      </c>
      <c r="G1387" s="16">
        <v>4.369</v>
      </c>
    </row>
    <row r="1388">
      <c r="A1388" s="5" t="s">
        <v>13</v>
      </c>
      <c r="B1388" s="6" t="str">
        <f>IF(ISBLANK(A1388),"",VLOOKUP($A1388,'Data Feed (20C)'!$A$1:$G$14,2,FALSE))</f>
        <v>DKR250911RUSMUL_20C_sample_1</v>
      </c>
      <c r="C1388" s="6" t="str">
        <f>IF(ISBLANK(A1388),"",VLOOKUP($A1388,'Data Feed (20C)'!$A$1:$G$14,3,FALSE))</f>
        <v>Ruschia multiflora</v>
      </c>
      <c r="D1388" s="6" t="str">
        <f>IF(ISBLANK(A1388),"",VLOOKUP($A1388,'Data Feed (20C)'!$A$1:$G$14,4,FALSE))</f>
        <v>20C</v>
      </c>
      <c r="E1388" s="6">
        <f>IF(ISBLANK(A1388),"",VLOOKUP($A1388,'Data Feed (20C)'!$A$1:$G$14,7,FALSE))</f>
        <v>1</v>
      </c>
      <c r="F1388" s="7">
        <v>45914.729166666664</v>
      </c>
      <c r="G1388" s="8">
        <v>3.0</v>
      </c>
    </row>
    <row r="1389">
      <c r="A1389" s="9" t="str">
        <f t="shared" ref="A1389:A1393" si="1619">A1388</f>
        <v>RUSMUL</v>
      </c>
      <c r="B1389" s="9" t="str">
        <f>IF(ISBLANK(A1388),"",LEFT(B1388,27)&amp;VALUE(RIGHT(B1388,1)+1))</f>
        <v>DKR250911RUSMUL_20C_sample_2</v>
      </c>
      <c r="C1389" s="6" t="str">
        <f t="shared" ref="C1389:D1389" si="1618">C1388</f>
        <v>Ruschia multiflora</v>
      </c>
      <c r="D1389" s="6" t="str">
        <f t="shared" si="1618"/>
        <v>20C</v>
      </c>
      <c r="E1389" s="10">
        <f>IF(ISBLANK(A1388),"",E1388+1)</f>
        <v>2</v>
      </c>
      <c r="F1389" s="11">
        <f t="shared" ref="F1389:F1393" si="1621">F1388</f>
        <v>45914.72917</v>
      </c>
      <c r="G1389" s="8">
        <v>3.51</v>
      </c>
    </row>
    <row r="1390">
      <c r="A1390" s="9" t="str">
        <f t="shared" si="1619"/>
        <v>RUSMUL</v>
      </c>
      <c r="B1390" s="9" t="str">
        <f>IF(ISBLANK(A1388),"",LEFT(B1389,27)&amp;VALUE(RIGHT(B1389,1)+1))</f>
        <v>DKR250911RUSMUL_20C_sample_3</v>
      </c>
      <c r="C1390" s="6" t="str">
        <f t="shared" ref="C1390:D1390" si="1620">C1389</f>
        <v>Ruschia multiflora</v>
      </c>
      <c r="D1390" s="6" t="str">
        <f t="shared" si="1620"/>
        <v>20C</v>
      </c>
      <c r="E1390" s="10">
        <f>IF(ISBLANK(A1388),"",E1389+1)</f>
        <v>3</v>
      </c>
      <c r="F1390" s="11">
        <f t="shared" si="1621"/>
        <v>45914.72917</v>
      </c>
      <c r="G1390" s="8">
        <v>7.41</v>
      </c>
    </row>
    <row r="1391">
      <c r="A1391" s="9" t="str">
        <f t="shared" si="1619"/>
        <v>RUSMUL</v>
      </c>
      <c r="B1391" s="9" t="str">
        <f>IF(ISBLANK(A1388),"",LEFT(B1390,27)&amp;VALUE(RIGHT(B1390,1)+1))</f>
        <v>DKR250911RUSMUL_20C_sample_4</v>
      </c>
      <c r="C1391" s="6" t="str">
        <f t="shared" ref="C1391:D1391" si="1622">C1390</f>
        <v>Ruschia multiflora</v>
      </c>
      <c r="D1391" s="6" t="str">
        <f t="shared" si="1622"/>
        <v>20C</v>
      </c>
      <c r="E1391" s="10">
        <f>IF(ISBLANK(A1388),"",E1390+1)</f>
        <v>4</v>
      </c>
      <c r="F1391" s="11">
        <f t="shared" si="1621"/>
        <v>45914.72917</v>
      </c>
      <c r="G1391" s="8">
        <v>3.865</v>
      </c>
    </row>
    <row r="1392">
      <c r="A1392" s="9" t="str">
        <f t="shared" si="1619"/>
        <v>RUSMUL</v>
      </c>
      <c r="B1392" s="9" t="str">
        <f>IF(ISBLANK(A1388),"",LEFT(B1391,27)&amp;VALUE(RIGHT(B1391,1)+1))</f>
        <v>DKR250911RUSMUL_20C_sample_5</v>
      </c>
      <c r="C1392" s="6" t="str">
        <f t="shared" ref="C1392:D1392" si="1623">C1391</f>
        <v>Ruschia multiflora</v>
      </c>
      <c r="D1392" s="6" t="str">
        <f t="shared" si="1623"/>
        <v>20C</v>
      </c>
      <c r="E1392" s="10">
        <f>IF(ISBLANK(A1388),"",E1391+1)</f>
        <v>5</v>
      </c>
      <c r="F1392" s="11">
        <f t="shared" si="1621"/>
        <v>45914.72917</v>
      </c>
      <c r="G1392" s="8">
        <v>3.364</v>
      </c>
    </row>
    <row r="1393">
      <c r="A1393" s="12" t="str">
        <f t="shared" si="1619"/>
        <v>RUSMUL</v>
      </c>
      <c r="B1393" s="12" t="str">
        <f>IF(ISBLANK(A1388),"",LEFT(B1392,27)&amp;VALUE(RIGHT(B1392,1)+1))</f>
        <v>DKR250911RUSMUL_20C_sample_6</v>
      </c>
      <c r="C1393" s="13" t="str">
        <f t="shared" ref="C1393:D1393" si="1624">C1392</f>
        <v>Ruschia multiflora</v>
      </c>
      <c r="D1393" s="13" t="str">
        <f t="shared" si="1624"/>
        <v>20C</v>
      </c>
      <c r="E1393" s="14">
        <f>IF(ISBLANK(A1388),"",E1392+1)</f>
        <v>6</v>
      </c>
      <c r="F1393" s="15">
        <f t="shared" si="1621"/>
        <v>45914.72917</v>
      </c>
      <c r="G1393" s="16">
        <v>2.855</v>
      </c>
    </row>
    <row r="1394">
      <c r="A1394" s="5" t="s">
        <v>11</v>
      </c>
      <c r="B1394" s="6" t="str">
        <f>IF(ISBLANK(A1394),"",VLOOKUP($A1394,'Data Feed (20C)'!$A$1:$G$14,2,FALSE))</f>
        <v>DKF250911SELDOL_20C_sample_1</v>
      </c>
      <c r="C1394" s="6" t="str">
        <f>IF(ISBLANK(A1394),"",VLOOKUP($A1394,'Data Feed (20C)'!$A$1:$G$14,3,FALSE))</f>
        <v>Selago dolosa</v>
      </c>
      <c r="D1394" s="6" t="str">
        <f>IF(ISBLANK(A1394),"",VLOOKUP($A1394,'Data Feed (20C)'!$A$1:$G$14,4,FALSE))</f>
        <v>20C</v>
      </c>
      <c r="E1394" s="6">
        <f>IF(ISBLANK(A1394),"",VLOOKUP($A1394,'Data Feed (20C)'!$A$1:$G$14,7,FALSE))</f>
        <v>1</v>
      </c>
      <c r="F1394" s="7">
        <v>45914.73055555556</v>
      </c>
      <c r="G1394" s="8">
        <v>1.002</v>
      </c>
    </row>
    <row r="1395">
      <c r="A1395" s="9" t="str">
        <f t="shared" ref="A1395:A1399" si="1626">A1394</f>
        <v>SELDOL</v>
      </c>
      <c r="B1395" s="9" t="str">
        <f>IF(ISBLANK(A1394),"",LEFT(B1394,27)&amp;VALUE(RIGHT(B1394,1)+1))</f>
        <v>DKF250911SELDOL_20C_sample_2</v>
      </c>
      <c r="C1395" s="6" t="str">
        <f t="shared" ref="C1395:D1395" si="1625">C1394</f>
        <v>Selago dolosa</v>
      </c>
      <c r="D1395" s="6" t="str">
        <f t="shared" si="1625"/>
        <v>20C</v>
      </c>
      <c r="E1395" s="10">
        <f>IF(ISBLANK(A1394),"",E1394+1)</f>
        <v>2</v>
      </c>
      <c r="F1395" s="11">
        <f t="shared" ref="F1395:F1399" si="1628">F1394</f>
        <v>45914.73056</v>
      </c>
      <c r="G1395" s="8">
        <v>1.452</v>
      </c>
    </row>
    <row r="1396">
      <c r="A1396" s="9" t="str">
        <f t="shared" si="1626"/>
        <v>SELDOL</v>
      </c>
      <c r="B1396" s="9" t="str">
        <f>IF(ISBLANK(A1394),"",LEFT(B1395,27)&amp;VALUE(RIGHT(B1395,1)+1))</f>
        <v>DKF250911SELDOL_20C_sample_3</v>
      </c>
      <c r="C1396" s="6" t="str">
        <f t="shared" ref="C1396:D1396" si="1627">C1395</f>
        <v>Selago dolosa</v>
      </c>
      <c r="D1396" s="6" t="str">
        <f t="shared" si="1627"/>
        <v>20C</v>
      </c>
      <c r="E1396" s="10">
        <f>IF(ISBLANK(A1394),"",E1395+1)</f>
        <v>3</v>
      </c>
      <c r="F1396" s="11">
        <f t="shared" si="1628"/>
        <v>45914.73056</v>
      </c>
      <c r="G1396" s="8">
        <v>1.308</v>
      </c>
    </row>
    <row r="1397">
      <c r="A1397" s="9" t="str">
        <f t="shared" si="1626"/>
        <v>SELDOL</v>
      </c>
      <c r="B1397" s="9" t="str">
        <f>IF(ISBLANK(A1394),"",LEFT(B1396,27)&amp;VALUE(RIGHT(B1396,1)+1))</f>
        <v>DKF250911SELDOL_20C_sample_4</v>
      </c>
      <c r="C1397" s="6" t="str">
        <f t="shared" ref="C1397:D1397" si="1629">C1396</f>
        <v>Selago dolosa</v>
      </c>
      <c r="D1397" s="6" t="str">
        <f t="shared" si="1629"/>
        <v>20C</v>
      </c>
      <c r="E1397" s="10">
        <f>IF(ISBLANK(A1394),"",E1396+1)</f>
        <v>4</v>
      </c>
      <c r="F1397" s="11">
        <f t="shared" si="1628"/>
        <v>45914.73056</v>
      </c>
      <c r="G1397" s="8">
        <v>1.379</v>
      </c>
    </row>
    <row r="1398">
      <c r="A1398" s="9" t="str">
        <f t="shared" si="1626"/>
        <v>SELDOL</v>
      </c>
      <c r="B1398" s="9" t="str">
        <f>IF(ISBLANK(A1394),"",LEFT(B1397,27)&amp;VALUE(RIGHT(B1397,1)+1))</f>
        <v>DKF250911SELDOL_20C_sample_5</v>
      </c>
      <c r="C1398" s="6" t="str">
        <f t="shared" ref="C1398:D1398" si="1630">C1397</f>
        <v>Selago dolosa</v>
      </c>
      <c r="D1398" s="6" t="str">
        <f t="shared" si="1630"/>
        <v>20C</v>
      </c>
      <c r="E1398" s="10">
        <f>IF(ISBLANK(A1394),"",E1397+1)</f>
        <v>5</v>
      </c>
      <c r="F1398" s="11">
        <f t="shared" si="1628"/>
        <v>45914.73056</v>
      </c>
      <c r="G1398" s="8"/>
    </row>
    <row r="1399">
      <c r="A1399" s="12" t="str">
        <f t="shared" si="1626"/>
        <v>SELDOL</v>
      </c>
      <c r="B1399" s="12" t="str">
        <f>IF(ISBLANK(A1394),"",LEFT(B1398,27)&amp;VALUE(RIGHT(B1398,1)+1))</f>
        <v>DKF250911SELDOL_20C_sample_6</v>
      </c>
      <c r="C1399" s="13" t="str">
        <f t="shared" ref="C1399:D1399" si="1631">C1398</f>
        <v>Selago dolosa</v>
      </c>
      <c r="D1399" s="13" t="str">
        <f t="shared" si="1631"/>
        <v>20C</v>
      </c>
      <c r="E1399" s="14">
        <f>IF(ISBLANK(A1394),"",E1398+1)</f>
        <v>6</v>
      </c>
      <c r="F1399" s="15">
        <f t="shared" si="1628"/>
        <v>45914.73056</v>
      </c>
      <c r="G1399" s="16">
        <v>0.888</v>
      </c>
    </row>
    <row r="1400">
      <c r="A1400" s="5" t="s">
        <v>18</v>
      </c>
      <c r="B1400" s="6" t="str">
        <f>IF(ISBLANK(A1400),"",VLOOKUP($A1400,'Data Feed (20C)'!$A$1:$G$14,2,FALSE))</f>
        <v>DKR250911WAHNOD_20C_sample_1</v>
      </c>
      <c r="C1400" s="6" t="str">
        <f>IF(ISBLANK(A1400),"",VLOOKUP($A1400,'Data Feed (20C)'!$A$1:$G$14,3,FALSE))</f>
        <v>Wahlenbergia nodosa</v>
      </c>
      <c r="D1400" s="6" t="str">
        <f>IF(ISBLANK(A1400),"",VLOOKUP($A1400,'Data Feed (20C)'!$A$1:$G$14,4,FALSE))</f>
        <v>20C</v>
      </c>
      <c r="E1400" s="6">
        <f>IF(ISBLANK(A1400),"",VLOOKUP($A1400,'Data Feed (20C)'!$A$1:$G$14,7,FALSE))</f>
        <v>1</v>
      </c>
      <c r="F1400" s="7">
        <v>45914.731944444444</v>
      </c>
      <c r="G1400" s="8">
        <v>0.266</v>
      </c>
    </row>
    <row r="1401">
      <c r="A1401" s="9" t="str">
        <f t="shared" ref="A1401:A1405" si="1633">A1400</f>
        <v>WAHNOD</v>
      </c>
      <c r="B1401" s="9" t="str">
        <f>IF(ISBLANK(A1400),"",LEFT(B1400,27)&amp;VALUE(RIGHT(B1400,1)+1))</f>
        <v>DKR250911WAHNOD_20C_sample_2</v>
      </c>
      <c r="C1401" s="6" t="str">
        <f t="shared" ref="C1401:D1401" si="1632">C1400</f>
        <v>Wahlenbergia nodosa</v>
      </c>
      <c r="D1401" s="6" t="str">
        <f t="shared" si="1632"/>
        <v>20C</v>
      </c>
      <c r="E1401" s="10">
        <f>IF(ISBLANK(A1400),"",E1400+1)</f>
        <v>2</v>
      </c>
      <c r="F1401" s="11">
        <f t="shared" ref="F1401:F1405" si="1635">F1400</f>
        <v>45914.73194</v>
      </c>
      <c r="G1401" s="8"/>
    </row>
    <row r="1402">
      <c r="A1402" s="9" t="str">
        <f t="shared" si="1633"/>
        <v>WAHNOD</v>
      </c>
      <c r="B1402" s="9" t="str">
        <f>IF(ISBLANK(A1400),"",LEFT(B1401,27)&amp;VALUE(RIGHT(B1401,1)+1))</f>
        <v>DKR250911WAHNOD_20C_sample_3</v>
      </c>
      <c r="C1402" s="6" t="str">
        <f t="shared" ref="C1402:D1402" si="1634">C1401</f>
        <v>Wahlenbergia nodosa</v>
      </c>
      <c r="D1402" s="6" t="str">
        <f t="shared" si="1634"/>
        <v>20C</v>
      </c>
      <c r="E1402" s="10">
        <f>IF(ISBLANK(A1400),"",E1401+1)</f>
        <v>3</v>
      </c>
      <c r="F1402" s="11">
        <f t="shared" si="1635"/>
        <v>45914.73194</v>
      </c>
      <c r="G1402" s="8">
        <v>0.111</v>
      </c>
    </row>
    <row r="1403">
      <c r="A1403" s="9" t="str">
        <f t="shared" si="1633"/>
        <v>WAHNOD</v>
      </c>
      <c r="B1403" s="9" t="str">
        <f>IF(ISBLANK(A1400),"",LEFT(B1402,27)&amp;VALUE(RIGHT(B1402,1)+1))</f>
        <v>DKR250911WAHNOD_20C_sample_4</v>
      </c>
      <c r="C1403" s="6" t="str">
        <f t="shared" ref="C1403:D1403" si="1636">C1402</f>
        <v>Wahlenbergia nodosa</v>
      </c>
      <c r="D1403" s="6" t="str">
        <f t="shared" si="1636"/>
        <v>20C</v>
      </c>
      <c r="E1403" s="10">
        <f>IF(ISBLANK(A1400),"",E1402+1)</f>
        <v>4</v>
      </c>
      <c r="F1403" s="11">
        <f t="shared" si="1635"/>
        <v>45914.73194</v>
      </c>
      <c r="G1403" s="8">
        <v>0.595</v>
      </c>
    </row>
    <row r="1404">
      <c r="A1404" s="9" t="str">
        <f t="shared" si="1633"/>
        <v>WAHNOD</v>
      </c>
      <c r="B1404" s="9" t="str">
        <f>IF(ISBLANK(A1400),"",LEFT(B1403,27)&amp;VALUE(RIGHT(B1403,1)+1))</f>
        <v>DKR250911WAHNOD_20C_sample_5</v>
      </c>
      <c r="C1404" s="6" t="str">
        <f t="shared" ref="C1404:D1404" si="1637">C1403</f>
        <v>Wahlenbergia nodosa</v>
      </c>
      <c r="D1404" s="6" t="str">
        <f t="shared" si="1637"/>
        <v>20C</v>
      </c>
      <c r="E1404" s="10">
        <f>IF(ISBLANK(A1400),"",E1403+1)</f>
        <v>5</v>
      </c>
      <c r="F1404" s="11">
        <f t="shared" si="1635"/>
        <v>45914.73194</v>
      </c>
      <c r="G1404" s="8">
        <v>0.225</v>
      </c>
    </row>
    <row r="1405">
      <c r="A1405" s="12" t="str">
        <f t="shared" si="1633"/>
        <v>WAHNOD</v>
      </c>
      <c r="B1405" s="12" t="str">
        <f>IF(ISBLANK(A1400),"",LEFT(B1404,27)&amp;VALUE(RIGHT(B1404,1)+1))</f>
        <v>DKR250911WAHNOD_20C_sample_6</v>
      </c>
      <c r="C1405" s="13" t="str">
        <f t="shared" ref="C1405:D1405" si="1638">C1404</f>
        <v>Wahlenbergia nodosa</v>
      </c>
      <c r="D1405" s="13" t="str">
        <f t="shared" si="1638"/>
        <v>20C</v>
      </c>
      <c r="E1405" s="14">
        <f>IF(ISBLANK(A1400),"",E1404+1)</f>
        <v>6</v>
      </c>
      <c r="F1405" s="15">
        <f t="shared" si="1635"/>
        <v>45914.73194</v>
      </c>
      <c r="G1405" s="16">
        <v>0.333</v>
      </c>
    </row>
    <row r="1406">
      <c r="A1406" s="5" t="s">
        <v>12</v>
      </c>
      <c r="B1406" s="6" t="str">
        <f>IF(ISBLANK(A1406),"",VLOOKUP($A1406,'Data Feed (20C)'!$A$1:$G$14,2,FALSE))</f>
        <v>DKF250911AGACAP_20C_sample_1</v>
      </c>
      <c r="C1406" s="6" t="str">
        <f>IF(ISBLANK(A1406),"",VLOOKUP($A1406,'Data Feed (20C)'!$A$1:$G$14,3,FALSE))</f>
        <v>Agathosma capensis</v>
      </c>
      <c r="D1406" s="6" t="str">
        <f>IF(ISBLANK(A1406),"",VLOOKUP($A1406,'Data Feed (20C)'!$A$1:$G$14,4,FALSE))</f>
        <v>20C</v>
      </c>
      <c r="E1406" s="6">
        <f>IF(ISBLANK(A1406),"",VLOOKUP($A1406,'Data Feed (20C)'!$A$1:$G$14,7,FALSE))</f>
        <v>1</v>
      </c>
      <c r="F1406" s="7">
        <v>45915.45694444444</v>
      </c>
      <c r="G1406" s="8">
        <v>3.622</v>
      </c>
    </row>
    <row r="1407">
      <c r="A1407" s="9" t="str">
        <f t="shared" ref="A1407:A1411" si="1640">A1406</f>
        <v>AGACAP</v>
      </c>
      <c r="B1407" s="9" t="str">
        <f>IF(ISBLANK(A1406),"",LEFT(B1406,27)&amp;VALUE(RIGHT(B1406,1)+1))</f>
        <v>DKF250911AGACAP_20C_sample_2</v>
      </c>
      <c r="C1407" s="6" t="str">
        <f t="shared" ref="C1407:D1407" si="1639">C1406</f>
        <v>Agathosma capensis</v>
      </c>
      <c r="D1407" s="6" t="str">
        <f t="shared" si="1639"/>
        <v>20C</v>
      </c>
      <c r="E1407" s="10">
        <f>IF(ISBLANK(A1406),"",E1406+1)</f>
        <v>2</v>
      </c>
      <c r="F1407" s="11">
        <f t="shared" ref="F1407:F1411" si="1642">F1406</f>
        <v>45915.45694</v>
      </c>
      <c r="G1407" s="8">
        <v>1.178</v>
      </c>
    </row>
    <row r="1408">
      <c r="A1408" s="9" t="str">
        <f t="shared" si="1640"/>
        <v>AGACAP</v>
      </c>
      <c r="B1408" s="9" t="str">
        <f>IF(ISBLANK(A1406),"",LEFT(B1407,27)&amp;VALUE(RIGHT(B1407,1)+1))</f>
        <v>DKF250911AGACAP_20C_sample_3</v>
      </c>
      <c r="C1408" s="6" t="str">
        <f t="shared" ref="C1408:D1408" si="1641">C1407</f>
        <v>Agathosma capensis</v>
      </c>
      <c r="D1408" s="6" t="str">
        <f t="shared" si="1641"/>
        <v>20C</v>
      </c>
      <c r="E1408" s="10">
        <f>IF(ISBLANK(A1406),"",E1407+1)</f>
        <v>3</v>
      </c>
      <c r="F1408" s="11">
        <f t="shared" si="1642"/>
        <v>45915.45694</v>
      </c>
      <c r="G1408" s="8">
        <v>1.649</v>
      </c>
    </row>
    <row r="1409">
      <c r="A1409" s="9" t="str">
        <f t="shared" si="1640"/>
        <v>AGACAP</v>
      </c>
      <c r="B1409" s="9" t="str">
        <f>IF(ISBLANK(A1406),"",LEFT(B1408,27)&amp;VALUE(RIGHT(B1408,1)+1))</f>
        <v>DKF250911AGACAP_20C_sample_4</v>
      </c>
      <c r="C1409" s="6" t="str">
        <f t="shared" ref="C1409:D1409" si="1643">C1408</f>
        <v>Agathosma capensis</v>
      </c>
      <c r="D1409" s="6" t="str">
        <f t="shared" si="1643"/>
        <v>20C</v>
      </c>
      <c r="E1409" s="10">
        <f>IF(ISBLANK(A1406),"",E1408+1)</f>
        <v>4</v>
      </c>
      <c r="F1409" s="11">
        <f t="shared" si="1642"/>
        <v>45915.45694</v>
      </c>
      <c r="G1409" s="8">
        <v>1.245</v>
      </c>
    </row>
    <row r="1410">
      <c r="A1410" s="9" t="str">
        <f t="shared" si="1640"/>
        <v>AGACAP</v>
      </c>
      <c r="B1410" s="9" t="str">
        <f>IF(ISBLANK(A1406),"",LEFT(B1409,27)&amp;VALUE(RIGHT(B1409,1)+1))</f>
        <v>DKF250911AGACAP_20C_sample_5</v>
      </c>
      <c r="C1410" s="6" t="str">
        <f t="shared" ref="C1410:D1410" si="1644">C1409</f>
        <v>Agathosma capensis</v>
      </c>
      <c r="D1410" s="6" t="str">
        <f t="shared" si="1644"/>
        <v>20C</v>
      </c>
      <c r="E1410" s="10">
        <f>IF(ISBLANK(A1406),"",E1409+1)</f>
        <v>5</v>
      </c>
      <c r="F1410" s="11">
        <f t="shared" si="1642"/>
        <v>45915.45694</v>
      </c>
      <c r="G1410" s="8">
        <v>0.437</v>
      </c>
    </row>
    <row r="1411">
      <c r="A1411" s="12" t="str">
        <f t="shared" si="1640"/>
        <v>AGACAP</v>
      </c>
      <c r="B1411" s="12" t="str">
        <f>IF(ISBLANK(A1406),"",LEFT(B1410,27)&amp;VALUE(RIGHT(B1410,1)+1))</f>
        <v>DKF250911AGACAP_20C_sample_6</v>
      </c>
      <c r="C1411" s="13" t="str">
        <f t="shared" ref="C1411:D1411" si="1645">C1410</f>
        <v>Agathosma capensis</v>
      </c>
      <c r="D1411" s="13" t="str">
        <f t="shared" si="1645"/>
        <v>20C</v>
      </c>
      <c r="E1411" s="14">
        <f>IF(ISBLANK(A1406),"",E1410+1)</f>
        <v>6</v>
      </c>
      <c r="F1411" s="15">
        <f t="shared" si="1642"/>
        <v>45915.45694</v>
      </c>
      <c r="G1411" s="16">
        <v>1.305</v>
      </c>
    </row>
    <row r="1412">
      <c r="A1412" s="5" t="s">
        <v>14</v>
      </c>
      <c r="B1412" s="6" t="str">
        <f>IF(ISBLANK(A1412),"",VLOOKUP($A1412,'Data Feed (20C)'!$A$1:$G$14,2,FALSE))</f>
        <v>DKF250911ASPSHA_20C_sample_1</v>
      </c>
      <c r="C1412" s="6" t="str">
        <f>IF(ISBLANK(A1412),"",VLOOKUP($A1412,'Data Feed (20C)'!$A$1:$G$14,3,FALSE))</f>
        <v>Aspalathus shawii</v>
      </c>
      <c r="D1412" s="6" t="str">
        <f>IF(ISBLANK(A1412),"",VLOOKUP($A1412,'Data Feed (20C)'!$A$1:$G$14,4,FALSE))</f>
        <v>20C</v>
      </c>
      <c r="E1412" s="6">
        <f>IF(ISBLANK(A1412),"",VLOOKUP($A1412,'Data Feed (20C)'!$A$1:$G$14,7,FALSE))</f>
        <v>1</v>
      </c>
      <c r="F1412" s="7">
        <v>45915.458333333336</v>
      </c>
      <c r="G1412" s="8">
        <v>10.723</v>
      </c>
    </row>
    <row r="1413">
      <c r="A1413" s="9" t="str">
        <f t="shared" ref="A1413:A1417" si="1647">A1412</f>
        <v>ASPSHA</v>
      </c>
      <c r="B1413" s="9" t="str">
        <f>IF(ISBLANK(A1412),"",LEFT(B1412,27)&amp;VALUE(RIGHT(B1412,1)+1))</f>
        <v>DKF250911ASPSHA_20C_sample_2</v>
      </c>
      <c r="C1413" s="6" t="str">
        <f t="shared" ref="C1413:D1413" si="1646">C1412</f>
        <v>Aspalathus shawii</v>
      </c>
      <c r="D1413" s="6" t="str">
        <f t="shared" si="1646"/>
        <v>20C</v>
      </c>
      <c r="E1413" s="10">
        <f>IF(ISBLANK(A1412),"",E1412+1)</f>
        <v>2</v>
      </c>
      <c r="F1413" s="11">
        <f t="shared" ref="F1413:F1417" si="1649">F1412</f>
        <v>45915.45833</v>
      </c>
      <c r="G1413" s="8">
        <v>6.809</v>
      </c>
    </row>
    <row r="1414">
      <c r="A1414" s="9" t="str">
        <f t="shared" si="1647"/>
        <v>ASPSHA</v>
      </c>
      <c r="B1414" s="9" t="str">
        <f>IF(ISBLANK(A1412),"",LEFT(B1413,27)&amp;VALUE(RIGHT(B1413,1)+1))</f>
        <v>DKF250911ASPSHA_20C_sample_3</v>
      </c>
      <c r="C1414" s="6" t="str">
        <f t="shared" ref="C1414:D1414" si="1648">C1413</f>
        <v>Aspalathus shawii</v>
      </c>
      <c r="D1414" s="6" t="str">
        <f t="shared" si="1648"/>
        <v>20C</v>
      </c>
      <c r="E1414" s="10">
        <f>IF(ISBLANK(A1412),"",E1413+1)</f>
        <v>3</v>
      </c>
      <c r="F1414" s="11">
        <f t="shared" si="1649"/>
        <v>45915.45833</v>
      </c>
      <c r="G1414" s="8">
        <v>4.0</v>
      </c>
    </row>
    <row r="1415">
      <c r="A1415" s="9" t="str">
        <f t="shared" si="1647"/>
        <v>ASPSHA</v>
      </c>
      <c r="B1415" s="9" t="str">
        <f>IF(ISBLANK(A1412),"",LEFT(B1414,27)&amp;VALUE(RIGHT(B1414,1)+1))</f>
        <v>DKF250911ASPSHA_20C_sample_4</v>
      </c>
      <c r="C1415" s="6" t="str">
        <f t="shared" ref="C1415:D1415" si="1650">C1414</f>
        <v>Aspalathus shawii</v>
      </c>
      <c r="D1415" s="6" t="str">
        <f t="shared" si="1650"/>
        <v>20C</v>
      </c>
      <c r="E1415" s="10">
        <f>IF(ISBLANK(A1412),"",E1414+1)</f>
        <v>4</v>
      </c>
      <c r="F1415" s="11">
        <f t="shared" si="1649"/>
        <v>45915.45833</v>
      </c>
      <c r="G1415" s="8">
        <v>9.861</v>
      </c>
    </row>
    <row r="1416">
      <c r="A1416" s="9" t="str">
        <f t="shared" si="1647"/>
        <v>ASPSHA</v>
      </c>
      <c r="B1416" s="9" t="str">
        <f>IF(ISBLANK(A1412),"",LEFT(B1415,27)&amp;VALUE(RIGHT(B1415,1)+1))</f>
        <v>DKF250911ASPSHA_20C_sample_5</v>
      </c>
      <c r="C1416" s="6" t="str">
        <f t="shared" ref="C1416:D1416" si="1651">C1415</f>
        <v>Aspalathus shawii</v>
      </c>
      <c r="D1416" s="6" t="str">
        <f t="shared" si="1651"/>
        <v>20C</v>
      </c>
      <c r="E1416" s="10">
        <f>IF(ISBLANK(A1412),"",E1415+1)</f>
        <v>5</v>
      </c>
      <c r="F1416" s="11">
        <f t="shared" si="1649"/>
        <v>45915.45833</v>
      </c>
      <c r="G1416" s="8">
        <v>2.86</v>
      </c>
    </row>
    <row r="1417">
      <c r="A1417" s="12" t="str">
        <f t="shared" si="1647"/>
        <v>ASPSHA</v>
      </c>
      <c r="B1417" s="12" t="str">
        <f>IF(ISBLANK(A1412),"",LEFT(B1416,27)&amp;VALUE(RIGHT(B1416,1)+1))</f>
        <v>DKF250911ASPSHA_20C_sample_6</v>
      </c>
      <c r="C1417" s="13" t="str">
        <f t="shared" ref="C1417:D1417" si="1652">C1416</f>
        <v>Aspalathus shawii</v>
      </c>
      <c r="D1417" s="13" t="str">
        <f t="shared" si="1652"/>
        <v>20C</v>
      </c>
      <c r="E1417" s="14">
        <f>IF(ISBLANK(A1412),"",E1416+1)</f>
        <v>6</v>
      </c>
      <c r="F1417" s="15">
        <f t="shared" si="1649"/>
        <v>45915.45833</v>
      </c>
      <c r="G1417" s="16">
        <v>8.07</v>
      </c>
    </row>
    <row r="1418">
      <c r="A1418" s="5" t="s">
        <v>19</v>
      </c>
      <c r="B1418" s="6" t="str">
        <f>IF(ISBLANK(A1418),"",VLOOKUP($A1418,'Data Feed (20C)'!$A$1:$G$14,2,FALSE))</f>
        <v>DKR250911CLURUB_20C_sample_1</v>
      </c>
      <c r="C1418" s="6" t="str">
        <f>IF(ISBLANK(A1418),"",VLOOKUP($A1418,'Data Feed (20C)'!$A$1:$G$14,3,FALSE))</f>
        <v>Clutia rubricaulis</v>
      </c>
      <c r="D1418" s="6" t="str">
        <f>IF(ISBLANK(A1418),"",VLOOKUP($A1418,'Data Feed (20C)'!$A$1:$G$14,4,FALSE))</f>
        <v>20C</v>
      </c>
      <c r="E1418" s="6">
        <f>IF(ISBLANK(A1418),"",VLOOKUP($A1418,'Data Feed (20C)'!$A$1:$G$14,7,FALSE))</f>
        <v>1</v>
      </c>
      <c r="F1418" s="7">
        <v>45915.45972222222</v>
      </c>
      <c r="G1418" s="8">
        <v>0.338</v>
      </c>
    </row>
    <row r="1419">
      <c r="A1419" s="9" t="str">
        <f t="shared" ref="A1419:A1423" si="1654">A1418</f>
        <v>CLURUB</v>
      </c>
      <c r="B1419" s="9" t="str">
        <f>IF(ISBLANK(A1418),"",LEFT(B1418,27)&amp;VALUE(RIGHT(B1418,1)+1))</f>
        <v>DKR250911CLURUB_20C_sample_2</v>
      </c>
      <c r="C1419" s="6" t="str">
        <f t="shared" ref="C1419:D1419" si="1653">C1418</f>
        <v>Clutia rubricaulis</v>
      </c>
      <c r="D1419" s="6" t="str">
        <f t="shared" si="1653"/>
        <v>20C</v>
      </c>
      <c r="E1419" s="10">
        <f>IF(ISBLANK(A1418),"",E1418+1)</f>
        <v>2</v>
      </c>
      <c r="F1419" s="11">
        <f t="shared" ref="F1419:F1423" si="1656">F1418</f>
        <v>45915.45972</v>
      </c>
      <c r="G1419" s="8">
        <v>0.256</v>
      </c>
    </row>
    <row r="1420">
      <c r="A1420" s="9" t="str">
        <f t="shared" si="1654"/>
        <v>CLURUB</v>
      </c>
      <c r="B1420" s="9" t="str">
        <f>IF(ISBLANK(A1418),"",LEFT(B1419,27)&amp;VALUE(RIGHT(B1419,1)+1))</f>
        <v>DKR250911CLURUB_20C_sample_3</v>
      </c>
      <c r="C1420" s="6" t="str">
        <f t="shared" ref="C1420:D1420" si="1655">C1419</f>
        <v>Clutia rubricaulis</v>
      </c>
      <c r="D1420" s="6" t="str">
        <f t="shared" si="1655"/>
        <v>20C</v>
      </c>
      <c r="E1420" s="10">
        <f>IF(ISBLANK(A1418),"",E1419+1)</f>
        <v>3</v>
      </c>
      <c r="F1420" s="11">
        <f t="shared" si="1656"/>
        <v>45915.45972</v>
      </c>
      <c r="G1420" s="8">
        <v>0.345</v>
      </c>
    </row>
    <row r="1421">
      <c r="A1421" s="9" t="str">
        <f t="shared" si="1654"/>
        <v>CLURUB</v>
      </c>
      <c r="B1421" s="9" t="str">
        <f>IF(ISBLANK(A1418),"",LEFT(B1420,27)&amp;VALUE(RIGHT(B1420,1)+1))</f>
        <v>DKR250911CLURUB_20C_sample_4</v>
      </c>
      <c r="C1421" s="6" t="str">
        <f t="shared" ref="C1421:D1421" si="1657">C1420</f>
        <v>Clutia rubricaulis</v>
      </c>
      <c r="D1421" s="6" t="str">
        <f t="shared" si="1657"/>
        <v>20C</v>
      </c>
      <c r="E1421" s="10">
        <f>IF(ISBLANK(A1418),"",E1420+1)</f>
        <v>4</v>
      </c>
      <c r="F1421" s="11">
        <f t="shared" si="1656"/>
        <v>45915.45972</v>
      </c>
      <c r="G1421" s="8">
        <v>0.145</v>
      </c>
    </row>
    <row r="1422">
      <c r="A1422" s="9" t="str">
        <f t="shared" si="1654"/>
        <v>CLURUB</v>
      </c>
      <c r="B1422" s="9" t="str">
        <f>IF(ISBLANK(A1418),"",LEFT(B1421,27)&amp;VALUE(RIGHT(B1421,1)+1))</f>
        <v>DKR250911CLURUB_20C_sample_5</v>
      </c>
      <c r="C1422" s="6" t="str">
        <f t="shared" ref="C1422:D1422" si="1658">C1421</f>
        <v>Clutia rubricaulis</v>
      </c>
      <c r="D1422" s="6" t="str">
        <f t="shared" si="1658"/>
        <v>20C</v>
      </c>
      <c r="E1422" s="10">
        <f>IF(ISBLANK(A1418),"",E1421+1)</f>
        <v>5</v>
      </c>
      <c r="F1422" s="11">
        <f t="shared" si="1656"/>
        <v>45915.45972</v>
      </c>
      <c r="G1422" s="8">
        <v>0.332</v>
      </c>
    </row>
    <row r="1423">
      <c r="A1423" s="12" t="str">
        <f t="shared" si="1654"/>
        <v>CLURUB</v>
      </c>
      <c r="B1423" s="12" t="str">
        <f>IF(ISBLANK(A1418),"",LEFT(B1422,27)&amp;VALUE(RIGHT(B1422,1)+1))</f>
        <v>DKR250911CLURUB_20C_sample_6</v>
      </c>
      <c r="C1423" s="13" t="str">
        <f t="shared" ref="C1423:D1423" si="1659">C1422</f>
        <v>Clutia rubricaulis</v>
      </c>
      <c r="D1423" s="13" t="str">
        <f t="shared" si="1659"/>
        <v>20C</v>
      </c>
      <c r="E1423" s="14">
        <f>IF(ISBLANK(A1418),"",E1422+1)</f>
        <v>6</v>
      </c>
      <c r="F1423" s="15">
        <f t="shared" si="1656"/>
        <v>45915.45972</v>
      </c>
      <c r="G1423" s="16">
        <v>0.252</v>
      </c>
    </row>
    <row r="1424">
      <c r="A1424" s="5" t="s">
        <v>15</v>
      </c>
      <c r="B1424" s="6" t="str">
        <f>IF(ISBLANK(A1424),"",VLOOKUP($A1424,'Data Feed (20C)'!$A$1:$G$14,2,FALSE))</f>
        <v>DKR250911ELYRHI_20C_sample_1</v>
      </c>
      <c r="C1424" s="6" t="str">
        <f>IF(ISBLANK(A1424),"",VLOOKUP($A1424,'Data Feed (20C)'!$A$1:$G$14,3,FALSE))</f>
        <v>Elytropappus rhinocerotis</v>
      </c>
      <c r="D1424" s="6" t="str">
        <f>IF(ISBLANK(A1424),"",VLOOKUP($A1424,'Data Feed (20C)'!$A$1:$G$14,4,FALSE))</f>
        <v>20C</v>
      </c>
      <c r="E1424" s="6">
        <f>IF(ISBLANK(A1424),"",VLOOKUP($A1424,'Data Feed (20C)'!$A$1:$G$14,7,FALSE))</f>
        <v>1</v>
      </c>
      <c r="F1424" s="7">
        <v>45915.461805555555</v>
      </c>
      <c r="G1424" s="8">
        <v>2.469</v>
      </c>
    </row>
    <row r="1425">
      <c r="A1425" s="9" t="str">
        <f t="shared" ref="A1425:A1429" si="1661">A1424</f>
        <v>ELYRHI</v>
      </c>
      <c r="B1425" s="9" t="str">
        <f>IF(ISBLANK(A1424),"",LEFT(B1424,27)&amp;VALUE(RIGHT(B1424,1)+1))</f>
        <v>DKR250911ELYRHI_20C_sample_2</v>
      </c>
      <c r="C1425" s="6" t="str">
        <f t="shared" ref="C1425:D1425" si="1660">C1424</f>
        <v>Elytropappus rhinocerotis</v>
      </c>
      <c r="D1425" s="6" t="str">
        <f t="shared" si="1660"/>
        <v>20C</v>
      </c>
      <c r="E1425" s="10">
        <f>IF(ISBLANK(A1424),"",E1424+1)</f>
        <v>2</v>
      </c>
      <c r="F1425" s="11">
        <f t="shared" ref="F1425:F1429" si="1663">F1424</f>
        <v>45915.46181</v>
      </c>
      <c r="G1425" s="8">
        <v>2.863</v>
      </c>
    </row>
    <row r="1426">
      <c r="A1426" s="9" t="str">
        <f t="shared" si="1661"/>
        <v>ELYRHI</v>
      </c>
      <c r="B1426" s="9" t="str">
        <f>IF(ISBLANK(A1424),"",LEFT(B1425,27)&amp;VALUE(RIGHT(B1425,1)+1))</f>
        <v>DKR250911ELYRHI_20C_sample_3</v>
      </c>
      <c r="C1426" s="6" t="str">
        <f t="shared" ref="C1426:D1426" si="1662">C1425</f>
        <v>Elytropappus rhinocerotis</v>
      </c>
      <c r="D1426" s="6" t="str">
        <f t="shared" si="1662"/>
        <v>20C</v>
      </c>
      <c r="E1426" s="10">
        <f>IF(ISBLANK(A1424),"",E1425+1)</f>
        <v>3</v>
      </c>
      <c r="F1426" s="11">
        <f t="shared" si="1663"/>
        <v>45915.46181</v>
      </c>
      <c r="G1426" s="8">
        <v>4.347</v>
      </c>
    </row>
    <row r="1427">
      <c r="A1427" s="9" t="str">
        <f t="shared" si="1661"/>
        <v>ELYRHI</v>
      </c>
      <c r="B1427" s="9" t="str">
        <f>IF(ISBLANK(A1424),"",LEFT(B1426,27)&amp;VALUE(RIGHT(B1426,1)+1))</f>
        <v>DKR250911ELYRHI_20C_sample_4</v>
      </c>
      <c r="C1427" s="6" t="str">
        <f t="shared" ref="C1427:D1427" si="1664">C1426</f>
        <v>Elytropappus rhinocerotis</v>
      </c>
      <c r="D1427" s="6" t="str">
        <f t="shared" si="1664"/>
        <v>20C</v>
      </c>
      <c r="E1427" s="10">
        <f>IF(ISBLANK(A1424),"",E1426+1)</f>
        <v>4</v>
      </c>
      <c r="F1427" s="11">
        <f t="shared" si="1663"/>
        <v>45915.46181</v>
      </c>
      <c r="G1427" s="8">
        <v>2.802</v>
      </c>
    </row>
    <row r="1428">
      <c r="A1428" s="9" t="str">
        <f t="shared" si="1661"/>
        <v>ELYRHI</v>
      </c>
      <c r="B1428" s="9" t="str">
        <f>IF(ISBLANK(A1424),"",LEFT(B1427,27)&amp;VALUE(RIGHT(B1427,1)+1))</f>
        <v>DKR250911ELYRHI_20C_sample_5</v>
      </c>
      <c r="C1428" s="6" t="str">
        <f t="shared" ref="C1428:D1428" si="1665">C1427</f>
        <v>Elytropappus rhinocerotis</v>
      </c>
      <c r="D1428" s="6" t="str">
        <f t="shared" si="1665"/>
        <v>20C</v>
      </c>
      <c r="E1428" s="10">
        <f>IF(ISBLANK(A1424),"",E1427+1)</f>
        <v>5</v>
      </c>
      <c r="F1428" s="11">
        <f t="shared" si="1663"/>
        <v>45915.46181</v>
      </c>
      <c r="G1428" s="8">
        <v>1.712</v>
      </c>
    </row>
    <row r="1429">
      <c r="A1429" s="12" t="str">
        <f t="shared" si="1661"/>
        <v>ELYRHI</v>
      </c>
      <c r="B1429" s="12" t="str">
        <f>IF(ISBLANK(A1424),"",LEFT(B1428,27)&amp;VALUE(RIGHT(B1428,1)+1))</f>
        <v>DKR250911ELYRHI_20C_sample_6</v>
      </c>
      <c r="C1429" s="13" t="str">
        <f t="shared" ref="C1429:D1429" si="1666">C1428</f>
        <v>Elytropappus rhinocerotis</v>
      </c>
      <c r="D1429" s="13" t="str">
        <f t="shared" si="1666"/>
        <v>20C</v>
      </c>
      <c r="E1429" s="14">
        <f>IF(ISBLANK(A1424),"",E1428+1)</f>
        <v>6</v>
      </c>
      <c r="F1429" s="15">
        <f t="shared" si="1663"/>
        <v>45915.46181</v>
      </c>
      <c r="G1429" s="16">
        <v>1.482</v>
      </c>
    </row>
    <row r="1430">
      <c r="A1430" s="5" t="s">
        <v>10</v>
      </c>
      <c r="B1430" s="6" t="str">
        <f>IF(ISBLANK(A1430),"",VLOOKUP($A1430,'Data Feed (20C)'!$A$1:$G$14,2,FALSE))</f>
        <v>DKF250911LOBDEC_20C_sample_1</v>
      </c>
      <c r="C1430" s="6" t="str">
        <f>IF(ISBLANK(A1430),"",VLOOKUP($A1430,'Data Feed (20C)'!$A$1:$G$14,3,FALSE))</f>
        <v>Lobostemon decorus</v>
      </c>
      <c r="D1430" s="6" t="str">
        <f>IF(ISBLANK(A1430),"",VLOOKUP($A1430,'Data Feed (20C)'!$A$1:$G$14,4,FALSE))</f>
        <v>20C</v>
      </c>
      <c r="E1430" s="6">
        <f>IF(ISBLANK(A1430),"",VLOOKUP($A1430,'Data Feed (20C)'!$A$1:$G$14,7,FALSE))</f>
        <v>1</v>
      </c>
      <c r="F1430" s="7">
        <v>45915.46319444444</v>
      </c>
      <c r="G1430" s="8">
        <v>3.931</v>
      </c>
    </row>
    <row r="1431">
      <c r="A1431" s="9" t="str">
        <f t="shared" ref="A1431:A1435" si="1668">A1430</f>
        <v>LOBDEC</v>
      </c>
      <c r="B1431" s="9" t="str">
        <f>IF(ISBLANK(A1430),"",LEFT(B1430,27)&amp;VALUE(RIGHT(B1430,1)+1))</f>
        <v>DKF250911LOBDEC_20C_sample_2</v>
      </c>
      <c r="C1431" s="6" t="str">
        <f t="shared" ref="C1431:D1431" si="1667">C1430</f>
        <v>Lobostemon decorus</v>
      </c>
      <c r="D1431" s="6" t="str">
        <f t="shared" si="1667"/>
        <v>20C</v>
      </c>
      <c r="E1431" s="10">
        <f>IF(ISBLANK(A1430),"",E1430+1)</f>
        <v>2</v>
      </c>
      <c r="F1431" s="11">
        <f t="shared" ref="F1431:F1435" si="1670">F1430</f>
        <v>45915.46319</v>
      </c>
      <c r="G1431" s="8">
        <v>3.84</v>
      </c>
    </row>
    <row r="1432">
      <c r="A1432" s="9" t="str">
        <f t="shared" si="1668"/>
        <v>LOBDEC</v>
      </c>
      <c r="B1432" s="9" t="str">
        <f>IF(ISBLANK(A1430),"",LEFT(B1431,27)&amp;VALUE(RIGHT(B1431,1)+1))</f>
        <v>DKF250911LOBDEC_20C_sample_3</v>
      </c>
      <c r="C1432" s="6" t="str">
        <f t="shared" ref="C1432:D1432" si="1669">C1431</f>
        <v>Lobostemon decorus</v>
      </c>
      <c r="D1432" s="6" t="str">
        <f t="shared" si="1669"/>
        <v>20C</v>
      </c>
      <c r="E1432" s="10">
        <f>IF(ISBLANK(A1430),"",E1431+1)</f>
        <v>3</v>
      </c>
      <c r="F1432" s="11">
        <f t="shared" si="1670"/>
        <v>45915.46319</v>
      </c>
      <c r="G1432" s="8">
        <v>5.188</v>
      </c>
    </row>
    <row r="1433">
      <c r="A1433" s="9" t="str">
        <f t="shared" si="1668"/>
        <v>LOBDEC</v>
      </c>
      <c r="B1433" s="9" t="str">
        <f>IF(ISBLANK(A1430),"",LEFT(B1432,27)&amp;VALUE(RIGHT(B1432,1)+1))</f>
        <v>DKF250911LOBDEC_20C_sample_4</v>
      </c>
      <c r="C1433" s="6" t="str">
        <f t="shared" ref="C1433:D1433" si="1671">C1432</f>
        <v>Lobostemon decorus</v>
      </c>
      <c r="D1433" s="6" t="str">
        <f t="shared" si="1671"/>
        <v>20C</v>
      </c>
      <c r="E1433" s="10">
        <f>IF(ISBLANK(A1430),"",E1432+1)</f>
        <v>4</v>
      </c>
      <c r="F1433" s="11">
        <f t="shared" si="1670"/>
        <v>45915.46319</v>
      </c>
      <c r="G1433" s="8">
        <v>3.472</v>
      </c>
    </row>
    <row r="1434">
      <c r="A1434" s="9" t="str">
        <f t="shared" si="1668"/>
        <v>LOBDEC</v>
      </c>
      <c r="B1434" s="9" t="str">
        <f>IF(ISBLANK(A1430),"",LEFT(B1433,27)&amp;VALUE(RIGHT(B1433,1)+1))</f>
        <v>DKF250911LOBDEC_20C_sample_5</v>
      </c>
      <c r="C1434" s="6" t="str">
        <f t="shared" ref="C1434:D1434" si="1672">C1433</f>
        <v>Lobostemon decorus</v>
      </c>
      <c r="D1434" s="6" t="str">
        <f t="shared" si="1672"/>
        <v>20C</v>
      </c>
      <c r="E1434" s="10">
        <f>IF(ISBLANK(A1430),"",E1433+1)</f>
        <v>5</v>
      </c>
      <c r="F1434" s="11">
        <f t="shared" si="1670"/>
        <v>45915.46319</v>
      </c>
      <c r="G1434" s="8">
        <v>2.191</v>
      </c>
    </row>
    <row r="1435">
      <c r="A1435" s="12" t="str">
        <f t="shared" si="1668"/>
        <v>LOBDEC</v>
      </c>
      <c r="B1435" s="12" t="str">
        <f>IF(ISBLANK(A1430),"",LEFT(B1434,27)&amp;VALUE(RIGHT(B1434,1)+1))</f>
        <v>DKF250911LOBDEC_20C_sample_6</v>
      </c>
      <c r="C1435" s="13" t="str">
        <f t="shared" ref="C1435:D1435" si="1673">C1434</f>
        <v>Lobostemon decorus</v>
      </c>
      <c r="D1435" s="13" t="str">
        <f t="shared" si="1673"/>
        <v>20C</v>
      </c>
      <c r="E1435" s="14">
        <f>IF(ISBLANK(A1430),"",E1434+1)</f>
        <v>6</v>
      </c>
      <c r="F1435" s="15">
        <f t="shared" si="1670"/>
        <v>45915.46319</v>
      </c>
      <c r="G1435" s="16">
        <v>1.901</v>
      </c>
    </row>
    <row r="1436">
      <c r="A1436" s="5" t="s">
        <v>16</v>
      </c>
      <c r="B1436" s="6" t="str">
        <f>IF(ISBLANK(A1436),"",VLOOKUP($A1436,'Data Feed (20C)'!$A$1:$G$14,2,FALSE))</f>
        <v>DKR250911MICPOL_20C_sample_1</v>
      </c>
      <c r="C1436" s="6" t="str">
        <f>IF(ISBLANK(A1436),"",VLOOKUP($A1436,'Data Feed (20C)'!$A$1:$G$14,3,FALSE))</f>
        <v>Microdon polygaloides</v>
      </c>
      <c r="D1436" s="6" t="str">
        <f>IF(ISBLANK(A1436),"",VLOOKUP($A1436,'Data Feed (20C)'!$A$1:$G$14,4,FALSE))</f>
        <v>20C</v>
      </c>
      <c r="E1436" s="6">
        <f>IF(ISBLANK(A1436),"",VLOOKUP($A1436,'Data Feed (20C)'!$A$1:$G$14,7,FALSE))</f>
        <v>1</v>
      </c>
      <c r="F1436" s="7">
        <v>45915.46527777778</v>
      </c>
      <c r="G1436" s="8">
        <v>0.909</v>
      </c>
    </row>
    <row r="1437">
      <c r="A1437" s="9" t="str">
        <f t="shared" ref="A1437:A1441" si="1675">A1436</f>
        <v>MICPOL</v>
      </c>
      <c r="B1437" s="9" t="str">
        <f>IF(ISBLANK(A1436),"",LEFT(B1436,27)&amp;VALUE(RIGHT(B1436,1)+1))</f>
        <v>DKR250911MICPOL_20C_sample_2</v>
      </c>
      <c r="C1437" s="6" t="str">
        <f t="shared" ref="C1437:D1437" si="1674">C1436</f>
        <v>Microdon polygaloides</v>
      </c>
      <c r="D1437" s="6" t="str">
        <f t="shared" si="1674"/>
        <v>20C</v>
      </c>
      <c r="E1437" s="10">
        <f>IF(ISBLANK(A1436),"",E1436+1)</f>
        <v>2</v>
      </c>
      <c r="F1437" s="11">
        <f t="shared" ref="F1437:F1441" si="1677">F1436</f>
        <v>45915.46528</v>
      </c>
      <c r="G1437" s="8">
        <v>0.696</v>
      </c>
    </row>
    <row r="1438">
      <c r="A1438" s="9" t="str">
        <f t="shared" si="1675"/>
        <v>MICPOL</v>
      </c>
      <c r="B1438" s="9" t="str">
        <f>IF(ISBLANK(A1436),"",LEFT(B1437,27)&amp;VALUE(RIGHT(B1437,1)+1))</f>
        <v>DKR250911MICPOL_20C_sample_3</v>
      </c>
      <c r="C1438" s="6" t="str">
        <f t="shared" ref="C1438:D1438" si="1676">C1437</f>
        <v>Microdon polygaloides</v>
      </c>
      <c r="D1438" s="6" t="str">
        <f t="shared" si="1676"/>
        <v>20C</v>
      </c>
      <c r="E1438" s="10">
        <f>IF(ISBLANK(A1436),"",E1437+1)</f>
        <v>3</v>
      </c>
      <c r="F1438" s="11">
        <f t="shared" si="1677"/>
        <v>45915.46528</v>
      </c>
      <c r="G1438" s="8">
        <v>0.289</v>
      </c>
    </row>
    <row r="1439">
      <c r="A1439" s="9" t="str">
        <f t="shared" si="1675"/>
        <v>MICPOL</v>
      </c>
      <c r="B1439" s="9" t="str">
        <f>IF(ISBLANK(A1436),"",LEFT(B1438,27)&amp;VALUE(RIGHT(B1438,1)+1))</f>
        <v>DKR250911MICPOL_20C_sample_4</v>
      </c>
      <c r="C1439" s="6" t="str">
        <f t="shared" ref="C1439:D1439" si="1678">C1438</f>
        <v>Microdon polygaloides</v>
      </c>
      <c r="D1439" s="6" t="str">
        <f t="shared" si="1678"/>
        <v>20C</v>
      </c>
      <c r="E1439" s="10">
        <f>IF(ISBLANK(A1436),"",E1438+1)</f>
        <v>4</v>
      </c>
      <c r="F1439" s="11">
        <f t="shared" si="1677"/>
        <v>45915.46528</v>
      </c>
      <c r="G1439" s="8">
        <v>0.131</v>
      </c>
    </row>
    <row r="1440">
      <c r="A1440" s="9" t="str">
        <f t="shared" si="1675"/>
        <v>MICPOL</v>
      </c>
      <c r="B1440" s="9" t="str">
        <f>IF(ISBLANK(A1436),"",LEFT(B1439,27)&amp;VALUE(RIGHT(B1439,1)+1))</f>
        <v>DKR250911MICPOL_20C_sample_5</v>
      </c>
      <c r="C1440" s="6" t="str">
        <f t="shared" ref="C1440:D1440" si="1679">C1439</f>
        <v>Microdon polygaloides</v>
      </c>
      <c r="D1440" s="6" t="str">
        <f t="shared" si="1679"/>
        <v>20C</v>
      </c>
      <c r="E1440" s="10">
        <f>IF(ISBLANK(A1436),"",E1439+1)</f>
        <v>5</v>
      </c>
      <c r="F1440" s="11">
        <f t="shared" si="1677"/>
        <v>45915.46528</v>
      </c>
      <c r="G1440" s="8">
        <v>0.193</v>
      </c>
    </row>
    <row r="1441">
      <c r="A1441" s="12" t="str">
        <f t="shared" si="1675"/>
        <v>MICPOL</v>
      </c>
      <c r="B1441" s="12" t="str">
        <f>IF(ISBLANK(A1436),"",LEFT(B1440,27)&amp;VALUE(RIGHT(B1440,1)+1))</f>
        <v>DKR250911MICPOL_20C_sample_6</v>
      </c>
      <c r="C1441" s="13" t="str">
        <f t="shared" ref="C1441:D1441" si="1680">C1440</f>
        <v>Microdon polygaloides</v>
      </c>
      <c r="D1441" s="13" t="str">
        <f t="shared" si="1680"/>
        <v>20C</v>
      </c>
      <c r="E1441" s="14">
        <f>IF(ISBLANK(A1436),"",E1440+1)</f>
        <v>6</v>
      </c>
      <c r="F1441" s="15">
        <f t="shared" si="1677"/>
        <v>45915.46528</v>
      </c>
      <c r="G1441" s="16">
        <v>0.163</v>
      </c>
    </row>
    <row r="1442">
      <c r="A1442" s="5" t="s">
        <v>17</v>
      </c>
      <c r="B1442" s="6" t="str">
        <f>IF(ISBLANK(A1442),"",VLOOKUP($A1442,'Data Feed (20C)'!$A$1:$G$14,2,FALSE))</f>
        <v>DKR250911OEDSQU_20C_sample_1</v>
      </c>
      <c r="C1442" s="6" t="str">
        <f>IF(ISBLANK(A1442),"",VLOOKUP($A1442,'Data Feed (20C)'!$A$1:$G$14,3,FALSE))</f>
        <v>Oedera squarrosa</v>
      </c>
      <c r="D1442" s="6" t="str">
        <f>IF(ISBLANK(A1442),"",VLOOKUP($A1442,'Data Feed (20C)'!$A$1:$G$14,4,FALSE))</f>
        <v>20C</v>
      </c>
      <c r="E1442" s="6">
        <f>IF(ISBLANK(A1442),"",VLOOKUP($A1442,'Data Feed (20C)'!$A$1:$G$14,7,FALSE))</f>
        <v>1</v>
      </c>
      <c r="F1442" s="7">
        <v>45915.467361111114</v>
      </c>
      <c r="G1442" s="8">
        <v>0.915</v>
      </c>
    </row>
    <row r="1443">
      <c r="A1443" s="9" t="str">
        <f t="shared" ref="A1443:A1447" si="1682">A1442</f>
        <v>OEDSQU</v>
      </c>
      <c r="B1443" s="9" t="str">
        <f>IF(ISBLANK(A1442),"",LEFT(B1442,27)&amp;VALUE(RIGHT(B1442,1)+1))</f>
        <v>DKR250911OEDSQU_20C_sample_2</v>
      </c>
      <c r="C1443" s="6" t="str">
        <f t="shared" ref="C1443:D1443" si="1681">C1442</f>
        <v>Oedera squarrosa</v>
      </c>
      <c r="D1443" s="6" t="str">
        <f t="shared" si="1681"/>
        <v>20C</v>
      </c>
      <c r="E1443" s="10">
        <f>IF(ISBLANK(A1442),"",E1442+1)</f>
        <v>2</v>
      </c>
      <c r="F1443" s="11">
        <f t="shared" ref="F1443:F1447" si="1684">F1442</f>
        <v>45915.46736</v>
      </c>
      <c r="G1443" s="8">
        <v>0.746</v>
      </c>
    </row>
    <row r="1444">
      <c r="A1444" s="9" t="str">
        <f t="shared" si="1682"/>
        <v>OEDSQU</v>
      </c>
      <c r="B1444" s="9" t="str">
        <f>IF(ISBLANK(A1442),"",LEFT(B1443,27)&amp;VALUE(RIGHT(B1443,1)+1))</f>
        <v>DKR250911OEDSQU_20C_sample_3</v>
      </c>
      <c r="C1444" s="6" t="str">
        <f t="shared" ref="C1444:D1444" si="1683">C1443</f>
        <v>Oedera squarrosa</v>
      </c>
      <c r="D1444" s="6" t="str">
        <f t="shared" si="1683"/>
        <v>20C</v>
      </c>
      <c r="E1444" s="10">
        <f>IF(ISBLANK(A1442),"",E1443+1)</f>
        <v>3</v>
      </c>
      <c r="F1444" s="11">
        <f t="shared" si="1684"/>
        <v>45915.46736</v>
      </c>
      <c r="G1444" s="8">
        <v>1.081</v>
      </c>
    </row>
    <row r="1445">
      <c r="A1445" s="9" t="str">
        <f t="shared" si="1682"/>
        <v>OEDSQU</v>
      </c>
      <c r="B1445" s="9" t="str">
        <f>IF(ISBLANK(A1442),"",LEFT(B1444,27)&amp;VALUE(RIGHT(B1444,1)+1))</f>
        <v>DKR250911OEDSQU_20C_sample_4</v>
      </c>
      <c r="C1445" s="6" t="str">
        <f t="shared" ref="C1445:D1445" si="1685">C1444</f>
        <v>Oedera squarrosa</v>
      </c>
      <c r="D1445" s="6" t="str">
        <f t="shared" si="1685"/>
        <v>20C</v>
      </c>
      <c r="E1445" s="10">
        <f>IF(ISBLANK(A1442),"",E1444+1)</f>
        <v>4</v>
      </c>
      <c r="F1445" s="11">
        <f t="shared" si="1684"/>
        <v>45915.46736</v>
      </c>
      <c r="G1445" s="8">
        <v>0.984</v>
      </c>
    </row>
    <row r="1446">
      <c r="A1446" s="9" t="str">
        <f t="shared" si="1682"/>
        <v>OEDSQU</v>
      </c>
      <c r="B1446" s="9" t="str">
        <f>IF(ISBLANK(A1442),"",LEFT(B1445,27)&amp;VALUE(RIGHT(B1445,1)+1))</f>
        <v>DKR250911OEDSQU_20C_sample_5</v>
      </c>
      <c r="C1446" s="6" t="str">
        <f t="shared" ref="C1446:D1446" si="1686">C1445</f>
        <v>Oedera squarrosa</v>
      </c>
      <c r="D1446" s="6" t="str">
        <f t="shared" si="1686"/>
        <v>20C</v>
      </c>
      <c r="E1446" s="10">
        <f>IF(ISBLANK(A1442),"",E1445+1)</f>
        <v>5</v>
      </c>
      <c r="F1446" s="11">
        <f t="shared" si="1684"/>
        <v>45915.46736</v>
      </c>
      <c r="G1446" s="8">
        <v>0.445</v>
      </c>
    </row>
    <row r="1447">
      <c r="A1447" s="12" t="str">
        <f t="shared" si="1682"/>
        <v>OEDSQU</v>
      </c>
      <c r="B1447" s="12" t="str">
        <f>IF(ISBLANK(A1442),"",LEFT(B1446,27)&amp;VALUE(RIGHT(B1446,1)+1))</f>
        <v>DKR250911OEDSQU_20C_sample_6</v>
      </c>
      <c r="C1447" s="13" t="str">
        <f t="shared" ref="C1447:D1447" si="1687">C1446</f>
        <v>Oedera squarrosa</v>
      </c>
      <c r="D1447" s="13" t="str">
        <f t="shared" si="1687"/>
        <v>20C</v>
      </c>
      <c r="E1447" s="14">
        <f>IF(ISBLANK(A1442),"",E1446+1)</f>
        <v>6</v>
      </c>
      <c r="F1447" s="15">
        <f t="shared" si="1684"/>
        <v>45915.46736</v>
      </c>
      <c r="G1447" s="16">
        <v>0.175</v>
      </c>
    </row>
    <row r="1448">
      <c r="A1448" s="5" t="s">
        <v>7</v>
      </c>
      <c r="B1448" s="6" t="str">
        <f>IF(ISBLANK(A1448),"",VLOOKUP($A1448,'Data Feed (20C)'!$A$1:$G$14,2,FALSE))</f>
        <v>DKR250911PASOBT_20C_sample_1</v>
      </c>
      <c r="C1448" s="6" t="str">
        <f>IF(ISBLANK(A1448),"",VLOOKUP($A1448,'Data Feed (20C)'!$A$1:$G$14,3,FALSE))</f>
        <v>Passerina obtusifolia</v>
      </c>
      <c r="D1448" s="6" t="str">
        <f>IF(ISBLANK(A1448),"",VLOOKUP($A1448,'Data Feed (20C)'!$A$1:$G$14,4,FALSE))</f>
        <v>20C</v>
      </c>
      <c r="E1448" s="6">
        <f>IF(ISBLANK(A1448),"",VLOOKUP($A1448,'Data Feed (20C)'!$A$1:$G$14,7,FALSE))</f>
        <v>1</v>
      </c>
      <c r="F1448" s="7">
        <v>45915.46875</v>
      </c>
      <c r="G1448" s="8">
        <v>2.271</v>
      </c>
    </row>
    <row r="1449">
      <c r="A1449" s="9" t="str">
        <f t="shared" ref="A1449:A1453" si="1689">A1448</f>
        <v>PASOBT</v>
      </c>
      <c r="B1449" s="9" t="str">
        <f>IF(ISBLANK(A1448),"",LEFT(B1448,27)&amp;VALUE(RIGHT(B1448,1)+1))</f>
        <v>DKR250911PASOBT_20C_sample_2</v>
      </c>
      <c r="C1449" s="6" t="str">
        <f t="shared" ref="C1449:D1449" si="1688">C1448</f>
        <v>Passerina obtusifolia</v>
      </c>
      <c r="D1449" s="6" t="str">
        <f t="shared" si="1688"/>
        <v>20C</v>
      </c>
      <c r="E1449" s="10">
        <f>IF(ISBLANK(A1448),"",E1448+1)</f>
        <v>2</v>
      </c>
      <c r="F1449" s="11">
        <f t="shared" ref="F1449:F1453" si="1691">F1448</f>
        <v>45915.46875</v>
      </c>
      <c r="G1449" s="8">
        <v>2.885</v>
      </c>
    </row>
    <row r="1450">
      <c r="A1450" s="9" t="str">
        <f t="shared" si="1689"/>
        <v>PASOBT</v>
      </c>
      <c r="B1450" s="9" t="str">
        <f>IF(ISBLANK(A1448),"",LEFT(B1449,27)&amp;VALUE(RIGHT(B1449,1)+1))</f>
        <v>DKR250911PASOBT_20C_sample_3</v>
      </c>
      <c r="C1450" s="6" t="str">
        <f t="shared" ref="C1450:D1450" si="1690">C1449</f>
        <v>Passerina obtusifolia</v>
      </c>
      <c r="D1450" s="6" t="str">
        <f t="shared" si="1690"/>
        <v>20C</v>
      </c>
      <c r="E1450" s="10">
        <f>IF(ISBLANK(A1448),"",E1449+1)</f>
        <v>3</v>
      </c>
      <c r="F1450" s="11">
        <f t="shared" si="1691"/>
        <v>45915.46875</v>
      </c>
      <c r="G1450" s="8">
        <v>1.037</v>
      </c>
    </row>
    <row r="1451">
      <c r="A1451" s="9" t="str">
        <f t="shared" si="1689"/>
        <v>PASOBT</v>
      </c>
      <c r="B1451" s="9" t="str">
        <f>IF(ISBLANK(A1448),"",LEFT(B1450,27)&amp;VALUE(RIGHT(B1450,1)+1))</f>
        <v>DKR250911PASOBT_20C_sample_4</v>
      </c>
      <c r="C1451" s="6" t="str">
        <f t="shared" ref="C1451:D1451" si="1692">C1450</f>
        <v>Passerina obtusifolia</v>
      </c>
      <c r="D1451" s="6" t="str">
        <f t="shared" si="1692"/>
        <v>20C</v>
      </c>
      <c r="E1451" s="10">
        <f>IF(ISBLANK(A1448),"",E1450+1)</f>
        <v>4</v>
      </c>
      <c r="F1451" s="11">
        <f t="shared" si="1691"/>
        <v>45915.46875</v>
      </c>
      <c r="G1451" s="8">
        <v>1.457</v>
      </c>
    </row>
    <row r="1452">
      <c r="A1452" s="9" t="str">
        <f t="shared" si="1689"/>
        <v>PASOBT</v>
      </c>
      <c r="B1452" s="9" t="str">
        <f>IF(ISBLANK(A1448),"",LEFT(B1451,27)&amp;VALUE(RIGHT(B1451,1)+1))</f>
        <v>DKR250911PASOBT_20C_sample_5</v>
      </c>
      <c r="C1452" s="6" t="str">
        <f t="shared" ref="C1452:D1452" si="1693">C1451</f>
        <v>Passerina obtusifolia</v>
      </c>
      <c r="D1452" s="6" t="str">
        <f t="shared" si="1693"/>
        <v>20C</v>
      </c>
      <c r="E1452" s="10">
        <f>IF(ISBLANK(A1448),"",E1451+1)</f>
        <v>5</v>
      </c>
      <c r="F1452" s="11">
        <f t="shared" si="1691"/>
        <v>45915.46875</v>
      </c>
      <c r="G1452" s="8">
        <v>1.213</v>
      </c>
    </row>
    <row r="1453">
      <c r="A1453" s="12" t="str">
        <f t="shared" si="1689"/>
        <v>PASOBT</v>
      </c>
      <c r="B1453" s="12" t="str">
        <f>IF(ISBLANK(A1448),"",LEFT(B1452,27)&amp;VALUE(RIGHT(B1452,1)+1))</f>
        <v>DKR250911PASOBT_20C_sample_6</v>
      </c>
      <c r="C1453" s="13" t="str">
        <f t="shared" ref="C1453:D1453" si="1694">C1452</f>
        <v>Passerina obtusifolia</v>
      </c>
      <c r="D1453" s="13" t="str">
        <f t="shared" si="1694"/>
        <v>20C</v>
      </c>
      <c r="E1453" s="14">
        <f>IF(ISBLANK(A1448),"",E1452+1)</f>
        <v>6</v>
      </c>
      <c r="F1453" s="15">
        <f t="shared" si="1691"/>
        <v>45915.46875</v>
      </c>
      <c r="G1453" s="16">
        <v>2.066</v>
      </c>
    </row>
    <row r="1454">
      <c r="A1454" s="5" t="s">
        <v>9</v>
      </c>
      <c r="B1454" s="6" t="str">
        <f>IF(ISBLANK(A1454),"",VLOOKUP($A1454,'Data Feed (20C)'!$A$1:$G$14,2,FALSE))</f>
        <v>DKR250911PROLAU_20C_sample_1</v>
      </c>
      <c r="C1454" s="6" t="str">
        <f>IF(ISBLANK(A1454),"",VLOOKUP($A1454,'Data Feed (20C)'!$A$1:$G$14,3,FALSE))</f>
        <v>Protea laurifolia</v>
      </c>
      <c r="D1454" s="6" t="str">
        <f>IF(ISBLANK(A1454),"",VLOOKUP($A1454,'Data Feed (20C)'!$A$1:$G$14,4,FALSE))</f>
        <v>20C</v>
      </c>
      <c r="E1454" s="6">
        <f>IF(ISBLANK(A1454),"",VLOOKUP($A1454,'Data Feed (20C)'!$A$1:$G$14,7,FALSE))</f>
        <v>1</v>
      </c>
      <c r="F1454" s="7">
        <v>45915.47152777778</v>
      </c>
      <c r="G1454" s="8">
        <v>0.945</v>
      </c>
    </row>
    <row r="1455">
      <c r="A1455" s="9" t="str">
        <f t="shared" ref="A1455:A1459" si="1696">A1454</f>
        <v>PROLAU</v>
      </c>
      <c r="B1455" s="9" t="str">
        <f>IF(ISBLANK(A1454),"",LEFT(B1454,27)&amp;VALUE(RIGHT(B1454,1)+1))</f>
        <v>DKR250911PROLAU_20C_sample_2</v>
      </c>
      <c r="C1455" s="6" t="str">
        <f t="shared" ref="C1455:D1455" si="1695">C1454</f>
        <v>Protea laurifolia</v>
      </c>
      <c r="D1455" s="6" t="str">
        <f t="shared" si="1695"/>
        <v>20C</v>
      </c>
      <c r="E1455" s="10">
        <f>IF(ISBLANK(A1454),"",E1454+1)</f>
        <v>2</v>
      </c>
      <c r="F1455" s="11">
        <f t="shared" ref="F1455:F1459" si="1698">F1454</f>
        <v>45915.47153</v>
      </c>
      <c r="G1455" s="8">
        <v>0.666</v>
      </c>
    </row>
    <row r="1456">
      <c r="A1456" s="9" t="str">
        <f t="shared" si="1696"/>
        <v>PROLAU</v>
      </c>
      <c r="B1456" s="9" t="str">
        <f>IF(ISBLANK(A1454),"",LEFT(B1455,27)&amp;VALUE(RIGHT(B1455,1)+1))</f>
        <v>DKR250911PROLAU_20C_sample_3</v>
      </c>
      <c r="C1456" s="6" t="str">
        <f t="shared" ref="C1456:D1456" si="1697">C1455</f>
        <v>Protea laurifolia</v>
      </c>
      <c r="D1456" s="6" t="str">
        <f t="shared" si="1697"/>
        <v>20C</v>
      </c>
      <c r="E1456" s="10">
        <f>IF(ISBLANK(A1454),"",E1455+1)</f>
        <v>3</v>
      </c>
      <c r="F1456" s="11">
        <f t="shared" si="1698"/>
        <v>45915.47153</v>
      </c>
      <c r="G1456" s="8">
        <v>1.05</v>
      </c>
    </row>
    <row r="1457">
      <c r="A1457" s="9" t="str">
        <f t="shared" si="1696"/>
        <v>PROLAU</v>
      </c>
      <c r="B1457" s="9" t="str">
        <f>IF(ISBLANK(A1454),"",LEFT(B1456,27)&amp;VALUE(RIGHT(B1456,1)+1))</f>
        <v>DKR250911PROLAU_20C_sample_4</v>
      </c>
      <c r="C1457" s="6" t="str">
        <f t="shared" ref="C1457:D1457" si="1699">C1456</f>
        <v>Protea laurifolia</v>
      </c>
      <c r="D1457" s="6" t="str">
        <f t="shared" si="1699"/>
        <v>20C</v>
      </c>
      <c r="E1457" s="10">
        <f>IF(ISBLANK(A1454),"",E1456+1)</f>
        <v>4</v>
      </c>
      <c r="F1457" s="11">
        <f t="shared" si="1698"/>
        <v>45915.47153</v>
      </c>
      <c r="G1457" s="8">
        <v>0.511</v>
      </c>
    </row>
    <row r="1458">
      <c r="A1458" s="9" t="str">
        <f t="shared" si="1696"/>
        <v>PROLAU</v>
      </c>
      <c r="B1458" s="9" t="str">
        <f>IF(ISBLANK(A1454),"",LEFT(B1457,27)&amp;VALUE(RIGHT(B1457,1)+1))</f>
        <v>DKR250911PROLAU_20C_sample_5</v>
      </c>
      <c r="C1458" s="6" t="str">
        <f t="shared" ref="C1458:D1458" si="1700">C1457</f>
        <v>Protea laurifolia</v>
      </c>
      <c r="D1458" s="6" t="str">
        <f t="shared" si="1700"/>
        <v>20C</v>
      </c>
      <c r="E1458" s="10">
        <f>IF(ISBLANK(A1454),"",E1457+1)</f>
        <v>5</v>
      </c>
      <c r="F1458" s="11">
        <f t="shared" si="1698"/>
        <v>45915.47153</v>
      </c>
      <c r="G1458" s="8">
        <v>0.869</v>
      </c>
    </row>
    <row r="1459">
      <c r="A1459" s="12" t="str">
        <f t="shared" si="1696"/>
        <v>PROLAU</v>
      </c>
      <c r="B1459" s="12" t="str">
        <f>IF(ISBLANK(A1454),"",LEFT(B1458,27)&amp;VALUE(RIGHT(B1458,1)+1))</f>
        <v>DKR250911PROLAU_20C_sample_6</v>
      </c>
      <c r="C1459" s="13" t="str">
        <f t="shared" ref="C1459:D1459" si="1701">C1458</f>
        <v>Protea laurifolia</v>
      </c>
      <c r="D1459" s="13" t="str">
        <f t="shared" si="1701"/>
        <v>20C</v>
      </c>
      <c r="E1459" s="14">
        <f>IF(ISBLANK(A1454),"",E1458+1)</f>
        <v>6</v>
      </c>
      <c r="F1459" s="15">
        <f t="shared" si="1698"/>
        <v>45915.47153</v>
      </c>
      <c r="G1459" s="16">
        <v>0.819</v>
      </c>
    </row>
    <row r="1460">
      <c r="A1460" s="5" t="s">
        <v>8</v>
      </c>
      <c r="B1460" s="6" t="str">
        <f>IF(ISBLANK(A1460),"",VLOOKUP($A1460,'Data Feed (20C)'!$A$1:$G$14,2,FALSE))</f>
        <v>DKF250911PROLOR_20C_sample_1</v>
      </c>
      <c r="C1460" s="6" t="str">
        <f>IF(ISBLANK(A1460),"",VLOOKUP($A1460,'Data Feed (20C)'!$A$1:$G$14,3,FALSE))</f>
        <v>Protea lorifolia</v>
      </c>
      <c r="D1460" s="6" t="str">
        <f>IF(ISBLANK(A1460),"",VLOOKUP($A1460,'Data Feed (20C)'!$A$1:$G$14,4,FALSE))</f>
        <v>20C</v>
      </c>
      <c r="E1460" s="6">
        <f>IF(ISBLANK(A1460),"",VLOOKUP($A1460,'Data Feed (20C)'!$A$1:$G$14,7,FALSE))</f>
        <v>1</v>
      </c>
      <c r="F1460" s="7">
        <v>45915.47361111111</v>
      </c>
      <c r="G1460" s="8">
        <v>2.853</v>
      </c>
    </row>
    <row r="1461">
      <c r="A1461" s="9" t="str">
        <f t="shared" ref="A1461:A1465" si="1703">A1460</f>
        <v>PROLOR</v>
      </c>
      <c r="B1461" s="9" t="str">
        <f>IF(ISBLANK(A1460),"",LEFT(B1460,27)&amp;VALUE(RIGHT(B1460,1)+1))</f>
        <v>DKF250911PROLOR_20C_sample_2</v>
      </c>
      <c r="C1461" s="6" t="str">
        <f t="shared" ref="C1461:D1461" si="1702">C1460</f>
        <v>Protea lorifolia</v>
      </c>
      <c r="D1461" s="6" t="str">
        <f t="shared" si="1702"/>
        <v>20C</v>
      </c>
      <c r="E1461" s="10">
        <f>IF(ISBLANK(A1460),"",E1460+1)</f>
        <v>2</v>
      </c>
      <c r="F1461" s="11">
        <f t="shared" ref="F1461:F1465" si="1705">F1460</f>
        <v>45915.47361</v>
      </c>
      <c r="G1461" s="8">
        <v>1.954</v>
      </c>
    </row>
    <row r="1462">
      <c r="A1462" s="9" t="str">
        <f t="shared" si="1703"/>
        <v>PROLOR</v>
      </c>
      <c r="B1462" s="9" t="str">
        <f>IF(ISBLANK(A1460),"",LEFT(B1461,27)&amp;VALUE(RIGHT(B1461,1)+1))</f>
        <v>DKF250911PROLOR_20C_sample_3</v>
      </c>
      <c r="C1462" s="6" t="str">
        <f t="shared" ref="C1462:D1462" si="1704">C1461</f>
        <v>Protea lorifolia</v>
      </c>
      <c r="D1462" s="6" t="str">
        <f t="shared" si="1704"/>
        <v>20C</v>
      </c>
      <c r="E1462" s="10">
        <f>IF(ISBLANK(A1460),"",E1461+1)</f>
        <v>3</v>
      </c>
      <c r="F1462" s="11">
        <f t="shared" si="1705"/>
        <v>45915.47361</v>
      </c>
      <c r="G1462" s="8">
        <v>3.095</v>
      </c>
    </row>
    <row r="1463">
      <c r="A1463" s="9" t="str">
        <f t="shared" si="1703"/>
        <v>PROLOR</v>
      </c>
      <c r="B1463" s="9" t="str">
        <f>IF(ISBLANK(A1460),"",LEFT(B1462,27)&amp;VALUE(RIGHT(B1462,1)+1))</f>
        <v>DKF250911PROLOR_20C_sample_4</v>
      </c>
      <c r="C1463" s="6" t="str">
        <f t="shared" ref="C1463:D1463" si="1706">C1462</f>
        <v>Protea lorifolia</v>
      </c>
      <c r="D1463" s="6" t="str">
        <f t="shared" si="1706"/>
        <v>20C</v>
      </c>
      <c r="E1463" s="10">
        <f>IF(ISBLANK(A1460),"",E1462+1)</f>
        <v>4</v>
      </c>
      <c r="F1463" s="11">
        <f t="shared" si="1705"/>
        <v>45915.47361</v>
      </c>
      <c r="G1463" s="8">
        <v>2.7</v>
      </c>
    </row>
    <row r="1464">
      <c r="A1464" s="9" t="str">
        <f t="shared" si="1703"/>
        <v>PROLOR</v>
      </c>
      <c r="B1464" s="9" t="str">
        <f>IF(ISBLANK(A1460),"",LEFT(B1463,27)&amp;VALUE(RIGHT(B1463,1)+1))</f>
        <v>DKF250911PROLOR_20C_sample_5</v>
      </c>
      <c r="C1464" s="6" t="str">
        <f t="shared" ref="C1464:D1464" si="1707">C1463</f>
        <v>Protea lorifolia</v>
      </c>
      <c r="D1464" s="6" t="str">
        <f t="shared" si="1707"/>
        <v>20C</v>
      </c>
      <c r="E1464" s="10">
        <f>IF(ISBLANK(A1460),"",E1463+1)</f>
        <v>5</v>
      </c>
      <c r="F1464" s="11">
        <f t="shared" si="1705"/>
        <v>45915.47361</v>
      </c>
      <c r="G1464" s="8">
        <v>4.81</v>
      </c>
    </row>
    <row r="1465">
      <c r="A1465" s="12" t="str">
        <f t="shared" si="1703"/>
        <v>PROLOR</v>
      </c>
      <c r="B1465" s="12" t="str">
        <f>IF(ISBLANK(A1460),"",LEFT(B1464,27)&amp;VALUE(RIGHT(B1464,1)+1))</f>
        <v>DKF250911PROLOR_20C_sample_6</v>
      </c>
      <c r="C1465" s="13" t="str">
        <f t="shared" ref="C1465:D1465" si="1708">C1464</f>
        <v>Protea lorifolia</v>
      </c>
      <c r="D1465" s="13" t="str">
        <f t="shared" si="1708"/>
        <v>20C</v>
      </c>
      <c r="E1465" s="14">
        <f>IF(ISBLANK(A1460),"",E1464+1)</f>
        <v>6</v>
      </c>
      <c r="F1465" s="15">
        <f t="shared" si="1705"/>
        <v>45915.47361</v>
      </c>
      <c r="G1465" s="16">
        <v>4.305</v>
      </c>
    </row>
    <row r="1466">
      <c r="A1466" s="5" t="s">
        <v>13</v>
      </c>
      <c r="B1466" s="6" t="str">
        <f>IF(ISBLANK(A1466),"",VLOOKUP($A1466,'Data Feed (20C)'!$A$1:$G$14,2,FALSE))</f>
        <v>DKR250911RUSMUL_20C_sample_1</v>
      </c>
      <c r="C1466" s="6" t="str">
        <f>IF(ISBLANK(A1466),"",VLOOKUP($A1466,'Data Feed (20C)'!$A$1:$G$14,3,FALSE))</f>
        <v>Ruschia multiflora</v>
      </c>
      <c r="D1466" s="6" t="str">
        <f>IF(ISBLANK(A1466),"",VLOOKUP($A1466,'Data Feed (20C)'!$A$1:$G$14,4,FALSE))</f>
        <v>20C</v>
      </c>
      <c r="E1466" s="6">
        <f>IF(ISBLANK(A1466),"",VLOOKUP($A1466,'Data Feed (20C)'!$A$1:$G$14,7,FALSE))</f>
        <v>1</v>
      </c>
      <c r="F1466" s="7">
        <v>45915.475</v>
      </c>
      <c r="G1466" s="8">
        <v>2.9</v>
      </c>
    </row>
    <row r="1467">
      <c r="A1467" s="9" t="str">
        <f t="shared" ref="A1467:A1471" si="1710">A1466</f>
        <v>RUSMUL</v>
      </c>
      <c r="B1467" s="9" t="str">
        <f>IF(ISBLANK(A1466),"",LEFT(B1466,27)&amp;VALUE(RIGHT(B1466,1)+1))</f>
        <v>DKR250911RUSMUL_20C_sample_2</v>
      </c>
      <c r="C1467" s="6" t="str">
        <f t="shared" ref="C1467:D1467" si="1709">C1466</f>
        <v>Ruschia multiflora</v>
      </c>
      <c r="D1467" s="6" t="str">
        <f t="shared" si="1709"/>
        <v>20C</v>
      </c>
      <c r="E1467" s="10">
        <f>IF(ISBLANK(A1466),"",E1466+1)</f>
        <v>2</v>
      </c>
      <c r="F1467" s="11">
        <f t="shared" ref="F1467:F1471" si="1712">F1466</f>
        <v>45915.475</v>
      </c>
      <c r="G1467" s="8">
        <v>3.259</v>
      </c>
    </row>
    <row r="1468">
      <c r="A1468" s="9" t="str">
        <f t="shared" si="1710"/>
        <v>RUSMUL</v>
      </c>
      <c r="B1468" s="9" t="str">
        <f>IF(ISBLANK(A1466),"",LEFT(B1467,27)&amp;VALUE(RIGHT(B1467,1)+1))</f>
        <v>DKR250911RUSMUL_20C_sample_3</v>
      </c>
      <c r="C1468" s="6" t="str">
        <f t="shared" ref="C1468:D1468" si="1711">C1467</f>
        <v>Ruschia multiflora</v>
      </c>
      <c r="D1468" s="6" t="str">
        <f t="shared" si="1711"/>
        <v>20C</v>
      </c>
      <c r="E1468" s="10">
        <f>IF(ISBLANK(A1466),"",E1467+1)</f>
        <v>3</v>
      </c>
      <c r="F1468" s="11">
        <f t="shared" si="1712"/>
        <v>45915.475</v>
      </c>
      <c r="G1468" s="8">
        <v>7.11</v>
      </c>
    </row>
    <row r="1469">
      <c r="A1469" s="9" t="str">
        <f t="shared" si="1710"/>
        <v>RUSMUL</v>
      </c>
      <c r="B1469" s="9" t="str">
        <f>IF(ISBLANK(A1466),"",LEFT(B1468,27)&amp;VALUE(RIGHT(B1468,1)+1))</f>
        <v>DKR250911RUSMUL_20C_sample_4</v>
      </c>
      <c r="C1469" s="6" t="str">
        <f t="shared" ref="C1469:D1469" si="1713">C1468</f>
        <v>Ruschia multiflora</v>
      </c>
      <c r="D1469" s="6" t="str">
        <f t="shared" si="1713"/>
        <v>20C</v>
      </c>
      <c r="E1469" s="10">
        <f>IF(ISBLANK(A1466),"",E1468+1)</f>
        <v>4</v>
      </c>
      <c r="F1469" s="11">
        <f t="shared" si="1712"/>
        <v>45915.475</v>
      </c>
      <c r="G1469" s="8">
        <v>3.668</v>
      </c>
    </row>
    <row r="1470">
      <c r="A1470" s="9" t="str">
        <f t="shared" si="1710"/>
        <v>RUSMUL</v>
      </c>
      <c r="B1470" s="9" t="str">
        <f>IF(ISBLANK(A1466),"",LEFT(B1469,27)&amp;VALUE(RIGHT(B1469,1)+1))</f>
        <v>DKR250911RUSMUL_20C_sample_5</v>
      </c>
      <c r="C1470" s="6" t="str">
        <f t="shared" ref="C1470:D1470" si="1714">C1469</f>
        <v>Ruschia multiflora</v>
      </c>
      <c r="D1470" s="6" t="str">
        <f t="shared" si="1714"/>
        <v>20C</v>
      </c>
      <c r="E1470" s="10">
        <f>IF(ISBLANK(A1466),"",E1469+1)</f>
        <v>5</v>
      </c>
      <c r="F1470" s="11">
        <f t="shared" si="1712"/>
        <v>45915.475</v>
      </c>
      <c r="G1470" s="8">
        <v>3.234</v>
      </c>
    </row>
    <row r="1471">
      <c r="A1471" s="12" t="str">
        <f t="shared" si="1710"/>
        <v>RUSMUL</v>
      </c>
      <c r="B1471" s="12" t="str">
        <f>IF(ISBLANK(A1466),"",LEFT(B1470,27)&amp;VALUE(RIGHT(B1470,1)+1))</f>
        <v>DKR250911RUSMUL_20C_sample_6</v>
      </c>
      <c r="C1471" s="13" t="str">
        <f t="shared" ref="C1471:D1471" si="1715">C1470</f>
        <v>Ruschia multiflora</v>
      </c>
      <c r="D1471" s="13" t="str">
        <f t="shared" si="1715"/>
        <v>20C</v>
      </c>
      <c r="E1471" s="14">
        <f>IF(ISBLANK(A1466),"",E1470+1)</f>
        <v>6</v>
      </c>
      <c r="F1471" s="15">
        <f t="shared" si="1712"/>
        <v>45915.475</v>
      </c>
      <c r="G1471" s="16">
        <v>2.763</v>
      </c>
    </row>
    <row r="1472">
      <c r="A1472" s="5" t="s">
        <v>11</v>
      </c>
      <c r="B1472" s="6" t="str">
        <f>IF(ISBLANK(A1472),"",VLOOKUP($A1472,'Data Feed (20C)'!$A$1:$G$14,2,FALSE))</f>
        <v>DKF250911SELDOL_20C_sample_1</v>
      </c>
      <c r="C1472" s="6" t="str">
        <f>IF(ISBLANK(A1472),"",VLOOKUP($A1472,'Data Feed (20C)'!$A$1:$G$14,3,FALSE))</f>
        <v>Selago dolosa</v>
      </c>
      <c r="D1472" s="6" t="str">
        <f>IF(ISBLANK(A1472),"",VLOOKUP($A1472,'Data Feed (20C)'!$A$1:$G$14,4,FALSE))</f>
        <v>20C</v>
      </c>
      <c r="E1472" s="6">
        <f>IF(ISBLANK(A1472),"",VLOOKUP($A1472,'Data Feed (20C)'!$A$1:$G$14,7,FALSE))</f>
        <v>1</v>
      </c>
      <c r="F1472" s="7">
        <v>45915.47638888889</v>
      </c>
      <c r="G1472" s="8">
        <v>0.922</v>
      </c>
    </row>
    <row r="1473">
      <c r="A1473" s="9" t="str">
        <f t="shared" ref="A1473:A1477" si="1717">A1472</f>
        <v>SELDOL</v>
      </c>
      <c r="B1473" s="9" t="str">
        <f>IF(ISBLANK(A1472),"",LEFT(B1472,27)&amp;VALUE(RIGHT(B1472,1)+1))</f>
        <v>DKF250911SELDOL_20C_sample_2</v>
      </c>
      <c r="C1473" s="6" t="str">
        <f t="shared" ref="C1473:D1473" si="1716">C1472</f>
        <v>Selago dolosa</v>
      </c>
      <c r="D1473" s="6" t="str">
        <f t="shared" si="1716"/>
        <v>20C</v>
      </c>
      <c r="E1473" s="10">
        <f>IF(ISBLANK(A1472),"",E1472+1)</f>
        <v>2</v>
      </c>
      <c r="F1473" s="11">
        <f t="shared" ref="F1473:F1477" si="1719">F1472</f>
        <v>45915.47639</v>
      </c>
      <c r="G1473" s="8">
        <v>1.37</v>
      </c>
    </row>
    <row r="1474">
      <c r="A1474" s="9" t="str">
        <f t="shared" si="1717"/>
        <v>SELDOL</v>
      </c>
      <c r="B1474" s="9" t="str">
        <f>IF(ISBLANK(A1472),"",LEFT(B1473,27)&amp;VALUE(RIGHT(B1473,1)+1))</f>
        <v>DKF250911SELDOL_20C_sample_3</v>
      </c>
      <c r="C1474" s="6" t="str">
        <f t="shared" ref="C1474:D1474" si="1718">C1473</f>
        <v>Selago dolosa</v>
      </c>
      <c r="D1474" s="6" t="str">
        <f t="shared" si="1718"/>
        <v>20C</v>
      </c>
      <c r="E1474" s="10">
        <f>IF(ISBLANK(A1472),"",E1473+1)</f>
        <v>3</v>
      </c>
      <c r="F1474" s="11">
        <f t="shared" si="1719"/>
        <v>45915.47639</v>
      </c>
      <c r="G1474" s="8">
        <v>1.235</v>
      </c>
    </row>
    <row r="1475">
      <c r="A1475" s="9" t="str">
        <f t="shared" si="1717"/>
        <v>SELDOL</v>
      </c>
      <c r="B1475" s="9" t="str">
        <f>IF(ISBLANK(A1472),"",LEFT(B1474,27)&amp;VALUE(RIGHT(B1474,1)+1))</f>
        <v>DKF250911SELDOL_20C_sample_4</v>
      </c>
      <c r="C1475" s="6" t="str">
        <f t="shared" ref="C1475:D1475" si="1720">C1474</f>
        <v>Selago dolosa</v>
      </c>
      <c r="D1475" s="6" t="str">
        <f t="shared" si="1720"/>
        <v>20C</v>
      </c>
      <c r="E1475" s="10">
        <f>IF(ISBLANK(A1472),"",E1474+1)</f>
        <v>4</v>
      </c>
      <c r="F1475" s="11">
        <f t="shared" si="1719"/>
        <v>45915.47639</v>
      </c>
      <c r="G1475" s="8">
        <v>1.339</v>
      </c>
    </row>
    <row r="1476">
      <c r="A1476" s="9" t="str">
        <f t="shared" si="1717"/>
        <v>SELDOL</v>
      </c>
      <c r="B1476" s="9" t="str">
        <f>IF(ISBLANK(A1472),"",LEFT(B1475,27)&amp;VALUE(RIGHT(B1475,1)+1))</f>
        <v>DKF250911SELDOL_20C_sample_5</v>
      </c>
      <c r="C1476" s="6" t="str">
        <f t="shared" ref="C1476:D1476" si="1721">C1475</f>
        <v>Selago dolosa</v>
      </c>
      <c r="D1476" s="6" t="str">
        <f t="shared" si="1721"/>
        <v>20C</v>
      </c>
      <c r="E1476" s="10">
        <f>IF(ISBLANK(A1472),"",E1475+1)</f>
        <v>5</v>
      </c>
      <c r="F1476" s="11">
        <f t="shared" si="1719"/>
        <v>45915.47639</v>
      </c>
      <c r="G1476" s="8"/>
    </row>
    <row r="1477">
      <c r="A1477" s="12" t="str">
        <f t="shared" si="1717"/>
        <v>SELDOL</v>
      </c>
      <c r="B1477" s="12" t="str">
        <f>IF(ISBLANK(A1472),"",LEFT(B1476,27)&amp;VALUE(RIGHT(B1476,1)+1))</f>
        <v>DKF250911SELDOL_20C_sample_6</v>
      </c>
      <c r="C1477" s="13" t="str">
        <f t="shared" ref="C1477:D1477" si="1722">C1476</f>
        <v>Selago dolosa</v>
      </c>
      <c r="D1477" s="13" t="str">
        <f t="shared" si="1722"/>
        <v>20C</v>
      </c>
      <c r="E1477" s="14">
        <f>IF(ISBLANK(A1472),"",E1476+1)</f>
        <v>6</v>
      </c>
      <c r="F1477" s="15">
        <f t="shared" si="1719"/>
        <v>45915.47639</v>
      </c>
      <c r="G1477" s="16">
        <v>0.804</v>
      </c>
    </row>
    <row r="1478">
      <c r="A1478" s="5" t="s">
        <v>18</v>
      </c>
      <c r="B1478" s="6" t="str">
        <f>IF(ISBLANK(A1478),"",VLOOKUP($A1478,'Data Feed (20C)'!$A$1:$G$14,2,FALSE))</f>
        <v>DKR250911WAHNOD_20C_sample_1</v>
      </c>
      <c r="C1478" s="6" t="str">
        <f>IF(ISBLANK(A1478),"",VLOOKUP($A1478,'Data Feed (20C)'!$A$1:$G$14,3,FALSE))</f>
        <v>Wahlenbergia nodosa</v>
      </c>
      <c r="D1478" s="6" t="str">
        <f>IF(ISBLANK(A1478),"",VLOOKUP($A1478,'Data Feed (20C)'!$A$1:$G$14,4,FALSE))</f>
        <v>20C</v>
      </c>
      <c r="E1478" s="6">
        <f>IF(ISBLANK(A1478),"",VLOOKUP($A1478,'Data Feed (20C)'!$A$1:$G$14,7,FALSE))</f>
        <v>1</v>
      </c>
      <c r="F1478" s="7">
        <v>45915.478472222225</v>
      </c>
      <c r="G1478" s="8">
        <v>0.251</v>
      </c>
    </row>
    <row r="1479">
      <c r="A1479" s="9" t="str">
        <f t="shared" ref="A1479:A1483" si="1724">A1478</f>
        <v>WAHNOD</v>
      </c>
      <c r="B1479" s="9" t="str">
        <f>IF(ISBLANK(A1478),"",LEFT(B1478,27)&amp;VALUE(RIGHT(B1478,1)+1))</f>
        <v>DKR250911WAHNOD_20C_sample_2</v>
      </c>
      <c r="C1479" s="6" t="str">
        <f t="shared" ref="C1479:D1479" si="1723">C1478</f>
        <v>Wahlenbergia nodosa</v>
      </c>
      <c r="D1479" s="6" t="str">
        <f t="shared" si="1723"/>
        <v>20C</v>
      </c>
      <c r="E1479" s="10">
        <f>IF(ISBLANK(A1478),"",E1478+1)</f>
        <v>2</v>
      </c>
      <c r="F1479" s="11">
        <f t="shared" ref="F1479:F1483" si="1726">F1478</f>
        <v>45915.47847</v>
      </c>
      <c r="G1479" s="8">
        <v>0.148</v>
      </c>
    </row>
    <row r="1480">
      <c r="A1480" s="9" t="str">
        <f t="shared" si="1724"/>
        <v>WAHNOD</v>
      </c>
      <c r="B1480" s="9" t="str">
        <f>IF(ISBLANK(A1478),"",LEFT(B1479,27)&amp;VALUE(RIGHT(B1479,1)+1))</f>
        <v>DKR250911WAHNOD_20C_sample_3</v>
      </c>
      <c r="C1480" s="6" t="str">
        <f t="shared" ref="C1480:D1480" si="1725">C1479</f>
        <v>Wahlenbergia nodosa</v>
      </c>
      <c r="D1480" s="6" t="str">
        <f t="shared" si="1725"/>
        <v>20C</v>
      </c>
      <c r="E1480" s="10">
        <f>IF(ISBLANK(A1478),"",E1479+1)</f>
        <v>3</v>
      </c>
      <c r="F1480" s="11">
        <f t="shared" si="1726"/>
        <v>45915.47847</v>
      </c>
      <c r="G1480" s="8">
        <v>0.101</v>
      </c>
    </row>
    <row r="1481">
      <c r="A1481" s="9" t="str">
        <f t="shared" si="1724"/>
        <v>WAHNOD</v>
      </c>
      <c r="B1481" s="9" t="str">
        <f>IF(ISBLANK(A1478),"",LEFT(B1480,27)&amp;VALUE(RIGHT(B1480,1)+1))</f>
        <v>DKR250911WAHNOD_20C_sample_4</v>
      </c>
      <c r="C1481" s="6" t="str">
        <f t="shared" ref="C1481:D1481" si="1727">C1480</f>
        <v>Wahlenbergia nodosa</v>
      </c>
      <c r="D1481" s="6" t="str">
        <f t="shared" si="1727"/>
        <v>20C</v>
      </c>
      <c r="E1481" s="10">
        <f>IF(ISBLANK(A1478),"",E1480+1)</f>
        <v>4</v>
      </c>
      <c r="F1481" s="11">
        <f t="shared" si="1726"/>
        <v>45915.47847</v>
      </c>
      <c r="G1481" s="8">
        <v>0.6</v>
      </c>
    </row>
    <row r="1482">
      <c r="A1482" s="9" t="str">
        <f t="shared" si="1724"/>
        <v>WAHNOD</v>
      </c>
      <c r="B1482" s="9" t="str">
        <f>IF(ISBLANK(A1478),"",LEFT(B1481,27)&amp;VALUE(RIGHT(B1481,1)+1))</f>
        <v>DKR250911WAHNOD_20C_sample_5</v>
      </c>
      <c r="C1482" s="6" t="str">
        <f t="shared" ref="C1482:D1482" si="1728">C1481</f>
        <v>Wahlenbergia nodosa</v>
      </c>
      <c r="D1482" s="6" t="str">
        <f t="shared" si="1728"/>
        <v>20C</v>
      </c>
      <c r="E1482" s="10">
        <f>IF(ISBLANK(A1478),"",E1481+1)</f>
        <v>5</v>
      </c>
      <c r="F1482" s="11">
        <f t="shared" si="1726"/>
        <v>45915.47847</v>
      </c>
      <c r="G1482" s="8">
        <v>0.232</v>
      </c>
    </row>
    <row r="1483">
      <c r="A1483" s="12" t="str">
        <f t="shared" si="1724"/>
        <v>WAHNOD</v>
      </c>
      <c r="B1483" s="12" t="str">
        <f>IF(ISBLANK(A1478),"",LEFT(B1482,27)&amp;VALUE(RIGHT(B1482,1)+1))</f>
        <v>DKR250911WAHNOD_20C_sample_6</v>
      </c>
      <c r="C1483" s="13" t="str">
        <f t="shared" ref="C1483:D1483" si="1729">C1482</f>
        <v>Wahlenbergia nodosa</v>
      </c>
      <c r="D1483" s="13" t="str">
        <f t="shared" si="1729"/>
        <v>20C</v>
      </c>
      <c r="E1483" s="14">
        <f>IF(ISBLANK(A1478),"",E1482+1)</f>
        <v>6</v>
      </c>
      <c r="F1483" s="15">
        <f t="shared" si="1726"/>
        <v>45915.47847</v>
      </c>
      <c r="G1483" s="16">
        <v>0.333</v>
      </c>
    </row>
    <row r="1484">
      <c r="A1484" s="5" t="s">
        <v>14</v>
      </c>
      <c r="B1484" s="6" t="str">
        <f>IF(ISBLANK(A1484),"",VLOOKUP($A1484,'Data Feed (20C)'!$A$1:$G$14,2,FALSE))</f>
        <v>DKF250911ASPSHA_20C_sample_1</v>
      </c>
      <c r="C1484" s="6" t="str">
        <f>IF(ISBLANK(A1484),"",VLOOKUP($A1484,'Data Feed (20C)'!$A$1:$G$14,3,FALSE))</f>
        <v>Aspalathus shawii</v>
      </c>
      <c r="D1484" s="6" t="str">
        <f>IF(ISBLANK(A1484),"",VLOOKUP($A1484,'Data Feed (20C)'!$A$1:$G$14,4,FALSE))</f>
        <v>20C</v>
      </c>
      <c r="E1484" s="6">
        <f>IF(ISBLANK(A1484),"",VLOOKUP($A1484,'Data Feed (20C)'!$A$1:$G$14,7,FALSE))</f>
        <v>1</v>
      </c>
      <c r="F1484" s="7">
        <v>45915.68958333333</v>
      </c>
      <c r="G1484" s="8">
        <v>10.615</v>
      </c>
    </row>
    <row r="1485">
      <c r="A1485" s="9" t="str">
        <f t="shared" ref="A1485:A1489" si="1731">A1484</f>
        <v>ASPSHA</v>
      </c>
      <c r="B1485" s="9" t="str">
        <f>IF(ISBLANK(A1484),"",LEFT(B1484,27)&amp;VALUE(RIGHT(B1484,1)+1))</f>
        <v>DKF250911ASPSHA_20C_sample_2</v>
      </c>
      <c r="C1485" s="6" t="str">
        <f t="shared" ref="C1485:D1485" si="1730">C1484</f>
        <v>Aspalathus shawii</v>
      </c>
      <c r="D1485" s="6" t="str">
        <f t="shared" si="1730"/>
        <v>20C</v>
      </c>
      <c r="E1485" s="10">
        <f>IF(ISBLANK(A1484),"",E1484+1)</f>
        <v>2</v>
      </c>
      <c r="F1485" s="11">
        <f t="shared" ref="F1485:F1489" si="1733">F1484</f>
        <v>45915.68958</v>
      </c>
      <c r="G1485" s="8">
        <v>6.736</v>
      </c>
    </row>
    <row r="1486">
      <c r="A1486" s="9" t="str">
        <f t="shared" si="1731"/>
        <v>ASPSHA</v>
      </c>
      <c r="B1486" s="9" t="str">
        <f>IF(ISBLANK(A1484),"",LEFT(B1485,27)&amp;VALUE(RIGHT(B1485,1)+1))</f>
        <v>DKF250911ASPSHA_20C_sample_3</v>
      </c>
      <c r="C1486" s="6" t="str">
        <f t="shared" ref="C1486:D1486" si="1732">C1485</f>
        <v>Aspalathus shawii</v>
      </c>
      <c r="D1486" s="6" t="str">
        <f t="shared" si="1732"/>
        <v>20C</v>
      </c>
      <c r="E1486" s="10">
        <f>IF(ISBLANK(A1484),"",E1485+1)</f>
        <v>3</v>
      </c>
      <c r="F1486" s="11">
        <f t="shared" si="1733"/>
        <v>45915.68958</v>
      </c>
      <c r="G1486" s="8">
        <v>3.924</v>
      </c>
    </row>
    <row r="1487">
      <c r="A1487" s="9" t="str">
        <f t="shared" si="1731"/>
        <v>ASPSHA</v>
      </c>
      <c r="B1487" s="9" t="str">
        <f>IF(ISBLANK(A1484),"",LEFT(B1486,27)&amp;VALUE(RIGHT(B1486,1)+1))</f>
        <v>DKF250911ASPSHA_20C_sample_4</v>
      </c>
      <c r="C1487" s="6" t="str">
        <f t="shared" ref="C1487:D1487" si="1734">C1486</f>
        <v>Aspalathus shawii</v>
      </c>
      <c r="D1487" s="6" t="str">
        <f t="shared" si="1734"/>
        <v>20C</v>
      </c>
      <c r="E1487" s="10">
        <f>IF(ISBLANK(A1484),"",E1486+1)</f>
        <v>4</v>
      </c>
      <c r="F1487" s="11">
        <f t="shared" si="1733"/>
        <v>45915.68958</v>
      </c>
      <c r="G1487" s="8">
        <v>9.723</v>
      </c>
    </row>
    <row r="1488">
      <c r="A1488" s="9" t="str">
        <f t="shared" si="1731"/>
        <v>ASPSHA</v>
      </c>
      <c r="B1488" s="9" t="str">
        <f>IF(ISBLANK(A1484),"",LEFT(B1487,27)&amp;VALUE(RIGHT(B1487,1)+1))</f>
        <v>DKF250911ASPSHA_20C_sample_5</v>
      </c>
      <c r="C1488" s="6" t="str">
        <f t="shared" ref="C1488:D1488" si="1735">C1487</f>
        <v>Aspalathus shawii</v>
      </c>
      <c r="D1488" s="6" t="str">
        <f t="shared" si="1735"/>
        <v>20C</v>
      </c>
      <c r="E1488" s="10">
        <f>IF(ISBLANK(A1484),"",E1487+1)</f>
        <v>5</v>
      </c>
      <c r="F1488" s="11">
        <f t="shared" si="1733"/>
        <v>45915.68958</v>
      </c>
      <c r="G1488" s="8">
        <v>2.818</v>
      </c>
    </row>
    <row r="1489">
      <c r="A1489" s="12" t="str">
        <f t="shared" si="1731"/>
        <v>ASPSHA</v>
      </c>
      <c r="B1489" s="12" t="str">
        <f>IF(ISBLANK(A1484),"",LEFT(B1488,27)&amp;VALUE(RIGHT(B1488,1)+1))</f>
        <v>DKF250911ASPSHA_20C_sample_6</v>
      </c>
      <c r="C1489" s="13" t="str">
        <f t="shared" ref="C1489:D1489" si="1736">C1488</f>
        <v>Aspalathus shawii</v>
      </c>
      <c r="D1489" s="13" t="str">
        <f t="shared" si="1736"/>
        <v>20C</v>
      </c>
      <c r="E1489" s="14">
        <f>IF(ISBLANK(A1484),"",E1488+1)</f>
        <v>6</v>
      </c>
      <c r="F1489" s="15">
        <f t="shared" si="1733"/>
        <v>45915.68958</v>
      </c>
      <c r="G1489" s="16">
        <v>7.951</v>
      </c>
    </row>
    <row r="1490">
      <c r="A1490" s="5" t="s">
        <v>15</v>
      </c>
      <c r="B1490" s="6" t="str">
        <f>IF(ISBLANK(A1490),"",VLOOKUP($A1490,'Data Feed (20C)'!$A$1:$G$14,2,FALSE))</f>
        <v>DKR250911ELYRHI_20C_sample_1</v>
      </c>
      <c r="C1490" s="6" t="str">
        <f>IF(ISBLANK(A1490),"",VLOOKUP($A1490,'Data Feed (20C)'!$A$1:$G$14,3,FALSE))</f>
        <v>Elytropappus rhinocerotis</v>
      </c>
      <c r="D1490" s="6" t="str">
        <f>IF(ISBLANK(A1490),"",VLOOKUP($A1490,'Data Feed (20C)'!$A$1:$G$14,4,FALSE))</f>
        <v>20C</v>
      </c>
      <c r="E1490" s="6">
        <f>IF(ISBLANK(A1490),"",VLOOKUP($A1490,'Data Feed (20C)'!$A$1:$G$14,7,FALSE))</f>
        <v>1</v>
      </c>
      <c r="F1490" s="7">
        <v>45915.69236111111</v>
      </c>
      <c r="G1490" s="8">
        <v>2.447</v>
      </c>
    </row>
    <row r="1491">
      <c r="A1491" s="9" t="str">
        <f t="shared" ref="A1491:A1495" si="1738">A1490</f>
        <v>ELYRHI</v>
      </c>
      <c r="B1491" s="9" t="str">
        <f>IF(ISBLANK(A1490),"",LEFT(B1490,27)&amp;VALUE(RIGHT(B1490,1)+1))</f>
        <v>DKR250911ELYRHI_20C_sample_2</v>
      </c>
      <c r="C1491" s="6" t="str">
        <f t="shared" ref="C1491:D1491" si="1737">C1490</f>
        <v>Elytropappus rhinocerotis</v>
      </c>
      <c r="D1491" s="6" t="str">
        <f t="shared" si="1737"/>
        <v>20C</v>
      </c>
      <c r="E1491" s="10">
        <f>IF(ISBLANK(A1490),"",E1490+1)</f>
        <v>2</v>
      </c>
      <c r="F1491" s="11">
        <f t="shared" ref="F1491:F1495" si="1740">F1490</f>
        <v>45915.69236</v>
      </c>
      <c r="G1491" s="8">
        <v>2.856</v>
      </c>
    </row>
    <row r="1492">
      <c r="A1492" s="9" t="str">
        <f t="shared" si="1738"/>
        <v>ELYRHI</v>
      </c>
      <c r="B1492" s="9" t="str">
        <f>IF(ISBLANK(A1490),"",LEFT(B1491,27)&amp;VALUE(RIGHT(B1491,1)+1))</f>
        <v>DKR250911ELYRHI_20C_sample_3</v>
      </c>
      <c r="C1492" s="6" t="str">
        <f t="shared" ref="C1492:D1492" si="1739">C1491</f>
        <v>Elytropappus rhinocerotis</v>
      </c>
      <c r="D1492" s="6" t="str">
        <f t="shared" si="1739"/>
        <v>20C</v>
      </c>
      <c r="E1492" s="10">
        <f>IF(ISBLANK(A1490),"",E1491+1)</f>
        <v>3</v>
      </c>
      <c r="F1492" s="11">
        <f t="shared" si="1740"/>
        <v>45915.69236</v>
      </c>
      <c r="G1492" s="8">
        <v>4.259</v>
      </c>
    </row>
    <row r="1493">
      <c r="A1493" s="9" t="str">
        <f t="shared" si="1738"/>
        <v>ELYRHI</v>
      </c>
      <c r="B1493" s="9" t="str">
        <f>IF(ISBLANK(A1490),"",LEFT(B1492,27)&amp;VALUE(RIGHT(B1492,1)+1))</f>
        <v>DKR250911ELYRHI_20C_sample_4</v>
      </c>
      <c r="C1493" s="6" t="str">
        <f t="shared" ref="C1493:D1493" si="1741">C1492</f>
        <v>Elytropappus rhinocerotis</v>
      </c>
      <c r="D1493" s="6" t="str">
        <f t="shared" si="1741"/>
        <v>20C</v>
      </c>
      <c r="E1493" s="10">
        <f>IF(ISBLANK(A1490),"",E1492+1)</f>
        <v>4</v>
      </c>
      <c r="F1493" s="11">
        <f t="shared" si="1740"/>
        <v>45915.69236</v>
      </c>
      <c r="G1493" s="8">
        <v>2.764</v>
      </c>
    </row>
    <row r="1494">
      <c r="A1494" s="9" t="str">
        <f t="shared" si="1738"/>
        <v>ELYRHI</v>
      </c>
      <c r="B1494" s="9" t="str">
        <f>IF(ISBLANK(A1490),"",LEFT(B1493,27)&amp;VALUE(RIGHT(B1493,1)+1))</f>
        <v>DKR250911ELYRHI_20C_sample_5</v>
      </c>
      <c r="C1494" s="6" t="str">
        <f t="shared" ref="C1494:D1494" si="1742">C1493</f>
        <v>Elytropappus rhinocerotis</v>
      </c>
      <c r="D1494" s="6" t="str">
        <f t="shared" si="1742"/>
        <v>20C</v>
      </c>
      <c r="E1494" s="10">
        <f>IF(ISBLANK(A1490),"",E1493+1)</f>
        <v>5</v>
      </c>
      <c r="F1494" s="11">
        <f t="shared" si="1740"/>
        <v>45915.69236</v>
      </c>
      <c r="G1494" s="8">
        <v>1.679</v>
      </c>
    </row>
    <row r="1495">
      <c r="A1495" s="12" t="str">
        <f t="shared" si="1738"/>
        <v>ELYRHI</v>
      </c>
      <c r="B1495" s="12" t="str">
        <f>IF(ISBLANK(A1490),"",LEFT(B1494,27)&amp;VALUE(RIGHT(B1494,1)+1))</f>
        <v>DKR250911ELYRHI_20C_sample_6</v>
      </c>
      <c r="C1495" s="13" t="str">
        <f t="shared" ref="C1495:D1495" si="1743">C1494</f>
        <v>Elytropappus rhinocerotis</v>
      </c>
      <c r="D1495" s="13" t="str">
        <f t="shared" si="1743"/>
        <v>20C</v>
      </c>
      <c r="E1495" s="14">
        <f>IF(ISBLANK(A1490),"",E1494+1)</f>
        <v>6</v>
      </c>
      <c r="F1495" s="15">
        <f t="shared" si="1740"/>
        <v>45915.69236</v>
      </c>
      <c r="G1495" s="16">
        <v>1.461</v>
      </c>
    </row>
    <row r="1496">
      <c r="A1496" s="5" t="s">
        <v>10</v>
      </c>
      <c r="B1496" s="6" t="str">
        <f>IF(ISBLANK(A1496),"",VLOOKUP($A1496,'Data Feed (20C)'!$A$1:$G$14,2,FALSE))</f>
        <v>DKF250911LOBDEC_20C_sample_1</v>
      </c>
      <c r="C1496" s="6" t="str">
        <f>IF(ISBLANK(A1496),"",VLOOKUP($A1496,'Data Feed (20C)'!$A$1:$G$14,3,FALSE))</f>
        <v>Lobostemon decorus</v>
      </c>
      <c r="D1496" s="6" t="str">
        <f>IF(ISBLANK(A1496),"",VLOOKUP($A1496,'Data Feed (20C)'!$A$1:$G$14,4,FALSE))</f>
        <v>20C</v>
      </c>
      <c r="E1496" s="6">
        <f>IF(ISBLANK(A1496),"",VLOOKUP($A1496,'Data Feed (20C)'!$A$1:$G$14,7,FALSE))</f>
        <v>1</v>
      </c>
      <c r="F1496" s="7">
        <v>45915.69375</v>
      </c>
      <c r="G1496" s="8">
        <v>3.89</v>
      </c>
    </row>
    <row r="1497">
      <c r="A1497" s="9" t="str">
        <f t="shared" ref="A1497:A1501" si="1745">A1496</f>
        <v>LOBDEC</v>
      </c>
      <c r="B1497" s="9" t="str">
        <f>IF(ISBLANK(A1496),"",LEFT(B1496,27)&amp;VALUE(RIGHT(B1496,1)+1))</f>
        <v>DKF250911LOBDEC_20C_sample_2</v>
      </c>
      <c r="C1497" s="6" t="str">
        <f t="shared" ref="C1497:D1497" si="1744">C1496</f>
        <v>Lobostemon decorus</v>
      </c>
      <c r="D1497" s="6" t="str">
        <f t="shared" si="1744"/>
        <v>20C</v>
      </c>
      <c r="E1497" s="10">
        <f>IF(ISBLANK(A1496),"",E1496+1)</f>
        <v>2</v>
      </c>
      <c r="F1497" s="11">
        <f t="shared" ref="F1497:F1501" si="1747">F1496</f>
        <v>45915.69375</v>
      </c>
      <c r="G1497" s="8">
        <v>3.803</v>
      </c>
    </row>
    <row r="1498">
      <c r="A1498" s="9" t="str">
        <f t="shared" si="1745"/>
        <v>LOBDEC</v>
      </c>
      <c r="B1498" s="9" t="str">
        <f>IF(ISBLANK(A1496),"",LEFT(B1497,27)&amp;VALUE(RIGHT(B1497,1)+1))</f>
        <v>DKF250911LOBDEC_20C_sample_3</v>
      </c>
      <c r="C1498" s="6" t="str">
        <f t="shared" ref="C1498:D1498" si="1746">C1497</f>
        <v>Lobostemon decorus</v>
      </c>
      <c r="D1498" s="6" t="str">
        <f t="shared" si="1746"/>
        <v>20C</v>
      </c>
      <c r="E1498" s="10">
        <f>IF(ISBLANK(A1496),"",E1497+1)</f>
        <v>3</v>
      </c>
      <c r="F1498" s="11">
        <f t="shared" si="1747"/>
        <v>45915.69375</v>
      </c>
      <c r="G1498" s="8">
        <v>5.055</v>
      </c>
    </row>
    <row r="1499">
      <c r="A1499" s="9" t="str">
        <f t="shared" si="1745"/>
        <v>LOBDEC</v>
      </c>
      <c r="B1499" s="9" t="str">
        <f>IF(ISBLANK(A1496),"",LEFT(B1498,27)&amp;VALUE(RIGHT(B1498,1)+1))</f>
        <v>DKF250911LOBDEC_20C_sample_4</v>
      </c>
      <c r="C1499" s="6" t="str">
        <f t="shared" ref="C1499:D1499" si="1748">C1498</f>
        <v>Lobostemon decorus</v>
      </c>
      <c r="D1499" s="6" t="str">
        <f t="shared" si="1748"/>
        <v>20C</v>
      </c>
      <c r="E1499" s="10">
        <f>IF(ISBLANK(A1496),"",E1498+1)</f>
        <v>4</v>
      </c>
      <c r="F1499" s="11">
        <f t="shared" si="1747"/>
        <v>45915.69375</v>
      </c>
      <c r="G1499" s="8">
        <v>3.408</v>
      </c>
    </row>
    <row r="1500">
      <c r="A1500" s="9" t="str">
        <f t="shared" si="1745"/>
        <v>LOBDEC</v>
      </c>
      <c r="B1500" s="9" t="str">
        <f>IF(ISBLANK(A1496),"",LEFT(B1499,27)&amp;VALUE(RIGHT(B1499,1)+1))</f>
        <v>DKF250911LOBDEC_20C_sample_5</v>
      </c>
      <c r="C1500" s="6" t="str">
        <f t="shared" ref="C1500:D1500" si="1749">C1499</f>
        <v>Lobostemon decorus</v>
      </c>
      <c r="D1500" s="6" t="str">
        <f t="shared" si="1749"/>
        <v>20C</v>
      </c>
      <c r="E1500" s="10">
        <f>IF(ISBLANK(A1496),"",E1499+1)</f>
        <v>5</v>
      </c>
      <c r="F1500" s="11">
        <f t="shared" si="1747"/>
        <v>45915.69375</v>
      </c>
      <c r="G1500" s="8">
        <v>2.101</v>
      </c>
    </row>
    <row r="1501">
      <c r="A1501" s="12" t="str">
        <f t="shared" si="1745"/>
        <v>LOBDEC</v>
      </c>
      <c r="B1501" s="12" t="str">
        <f>IF(ISBLANK(A1496),"",LEFT(B1500,27)&amp;VALUE(RIGHT(B1500,1)+1))</f>
        <v>DKF250911LOBDEC_20C_sample_6</v>
      </c>
      <c r="C1501" s="13" t="str">
        <f t="shared" ref="C1501:D1501" si="1750">C1500</f>
        <v>Lobostemon decorus</v>
      </c>
      <c r="D1501" s="13" t="str">
        <f t="shared" si="1750"/>
        <v>20C</v>
      </c>
      <c r="E1501" s="14">
        <f>IF(ISBLANK(A1496),"",E1500+1)</f>
        <v>6</v>
      </c>
      <c r="F1501" s="15">
        <f t="shared" si="1747"/>
        <v>45915.69375</v>
      </c>
      <c r="G1501" s="16">
        <v>1.862</v>
      </c>
    </row>
    <row r="1502">
      <c r="A1502" s="5" t="s">
        <v>16</v>
      </c>
      <c r="B1502" s="6" t="str">
        <f>IF(ISBLANK(A1502),"",VLOOKUP($A1502,'Data Feed (20C)'!$A$1:$G$14,2,FALSE))</f>
        <v>DKR250911MICPOL_20C_sample_1</v>
      </c>
      <c r="C1502" s="6" t="str">
        <f>IF(ISBLANK(A1502),"",VLOOKUP($A1502,'Data Feed (20C)'!$A$1:$G$14,3,FALSE))</f>
        <v>Microdon polygaloides</v>
      </c>
      <c r="D1502" s="6" t="str">
        <f>IF(ISBLANK(A1502),"",VLOOKUP($A1502,'Data Feed (20C)'!$A$1:$G$14,4,FALSE))</f>
        <v>20C</v>
      </c>
      <c r="E1502" s="6">
        <f>IF(ISBLANK(A1502),"",VLOOKUP($A1502,'Data Feed (20C)'!$A$1:$G$14,7,FALSE))</f>
        <v>1</v>
      </c>
      <c r="F1502" s="7">
        <v>45915.69583333333</v>
      </c>
      <c r="G1502" s="8">
        <v>0.885</v>
      </c>
    </row>
    <row r="1503">
      <c r="A1503" s="9" t="str">
        <f t="shared" ref="A1503:A1507" si="1752">A1502</f>
        <v>MICPOL</v>
      </c>
      <c r="B1503" s="9" t="str">
        <f>IF(ISBLANK(A1502),"",LEFT(B1502,27)&amp;VALUE(RIGHT(B1502,1)+1))</f>
        <v>DKR250911MICPOL_20C_sample_2</v>
      </c>
      <c r="C1503" s="6" t="str">
        <f t="shared" ref="C1503:D1503" si="1751">C1502</f>
        <v>Microdon polygaloides</v>
      </c>
      <c r="D1503" s="6" t="str">
        <f t="shared" si="1751"/>
        <v>20C</v>
      </c>
      <c r="E1503" s="10">
        <f>IF(ISBLANK(A1502),"",E1502+1)</f>
        <v>2</v>
      </c>
      <c r="F1503" s="11">
        <f t="shared" ref="F1503:F1507" si="1754">F1502</f>
        <v>45915.69583</v>
      </c>
      <c r="G1503" s="8">
        <v>0.692</v>
      </c>
    </row>
    <row r="1504">
      <c r="A1504" s="9" t="str">
        <f t="shared" si="1752"/>
        <v>MICPOL</v>
      </c>
      <c r="B1504" s="9" t="str">
        <f>IF(ISBLANK(A1502),"",LEFT(B1503,27)&amp;VALUE(RIGHT(B1503,1)+1))</f>
        <v>DKR250911MICPOL_20C_sample_3</v>
      </c>
      <c r="C1504" s="6" t="str">
        <f t="shared" ref="C1504:D1504" si="1753">C1503</f>
        <v>Microdon polygaloides</v>
      </c>
      <c r="D1504" s="6" t="str">
        <f t="shared" si="1753"/>
        <v>20C</v>
      </c>
      <c r="E1504" s="10">
        <f>IF(ISBLANK(A1502),"",E1503+1)</f>
        <v>3</v>
      </c>
      <c r="F1504" s="11">
        <f t="shared" si="1754"/>
        <v>45915.69583</v>
      </c>
      <c r="G1504" s="8"/>
    </row>
    <row r="1505">
      <c r="A1505" s="9" t="str">
        <f t="shared" si="1752"/>
        <v>MICPOL</v>
      </c>
      <c r="B1505" s="9" t="str">
        <f>IF(ISBLANK(A1502),"",LEFT(B1504,27)&amp;VALUE(RIGHT(B1504,1)+1))</f>
        <v>DKR250911MICPOL_20C_sample_4</v>
      </c>
      <c r="C1505" s="6" t="str">
        <f t="shared" ref="C1505:D1505" si="1755">C1504</f>
        <v>Microdon polygaloides</v>
      </c>
      <c r="D1505" s="6" t="str">
        <f t="shared" si="1755"/>
        <v>20C</v>
      </c>
      <c r="E1505" s="10">
        <f>IF(ISBLANK(A1502),"",E1504+1)</f>
        <v>4</v>
      </c>
      <c r="F1505" s="11">
        <f t="shared" si="1754"/>
        <v>45915.69583</v>
      </c>
      <c r="G1505" s="8"/>
    </row>
    <row r="1506">
      <c r="A1506" s="9" t="str">
        <f t="shared" si="1752"/>
        <v>MICPOL</v>
      </c>
      <c r="B1506" s="9" t="str">
        <f>IF(ISBLANK(A1502),"",LEFT(B1505,27)&amp;VALUE(RIGHT(B1505,1)+1))</f>
        <v>DKR250911MICPOL_20C_sample_5</v>
      </c>
      <c r="C1506" s="6" t="str">
        <f t="shared" ref="C1506:D1506" si="1756">C1505</f>
        <v>Microdon polygaloides</v>
      </c>
      <c r="D1506" s="6" t="str">
        <f t="shared" si="1756"/>
        <v>20C</v>
      </c>
      <c r="E1506" s="10">
        <f>IF(ISBLANK(A1502),"",E1505+1)</f>
        <v>5</v>
      </c>
      <c r="F1506" s="11">
        <f t="shared" si="1754"/>
        <v>45915.69583</v>
      </c>
      <c r="G1506" s="8"/>
    </row>
    <row r="1507">
      <c r="A1507" s="12" t="str">
        <f t="shared" si="1752"/>
        <v>MICPOL</v>
      </c>
      <c r="B1507" s="12" t="str">
        <f>IF(ISBLANK(A1502),"",LEFT(B1506,27)&amp;VALUE(RIGHT(B1506,1)+1))</f>
        <v>DKR250911MICPOL_20C_sample_6</v>
      </c>
      <c r="C1507" s="13" t="str">
        <f t="shared" ref="C1507:D1507" si="1757">C1506</f>
        <v>Microdon polygaloides</v>
      </c>
      <c r="D1507" s="13" t="str">
        <f t="shared" si="1757"/>
        <v>20C</v>
      </c>
      <c r="E1507" s="14">
        <f>IF(ISBLANK(A1502),"",E1506+1)</f>
        <v>6</v>
      </c>
      <c r="F1507" s="15">
        <f t="shared" si="1754"/>
        <v>45915.69583</v>
      </c>
      <c r="G1507" s="16"/>
    </row>
    <row r="1508">
      <c r="A1508" s="5" t="s">
        <v>17</v>
      </c>
      <c r="B1508" s="6" t="str">
        <f>IF(ISBLANK(A1508),"",VLOOKUP($A1508,'Data Feed (20C)'!$A$1:$G$14,2,FALSE))</f>
        <v>DKR250911OEDSQU_20C_sample_1</v>
      </c>
      <c r="C1508" s="6" t="str">
        <f>IF(ISBLANK(A1508),"",VLOOKUP($A1508,'Data Feed (20C)'!$A$1:$G$14,3,FALSE))</f>
        <v>Oedera squarrosa</v>
      </c>
      <c r="D1508" s="6" t="str">
        <f>IF(ISBLANK(A1508),"",VLOOKUP($A1508,'Data Feed (20C)'!$A$1:$G$14,4,FALSE))</f>
        <v>20C</v>
      </c>
      <c r="E1508" s="6">
        <f>IF(ISBLANK(A1508),"",VLOOKUP($A1508,'Data Feed (20C)'!$A$1:$G$14,7,FALSE))</f>
        <v>1</v>
      </c>
      <c r="F1508" s="7">
        <v>45915.69652777778</v>
      </c>
      <c r="G1508" s="8">
        <v>0.911</v>
      </c>
    </row>
    <row r="1509">
      <c r="A1509" s="9" t="str">
        <f t="shared" ref="A1509:A1513" si="1759">A1508</f>
        <v>OEDSQU</v>
      </c>
      <c r="B1509" s="9" t="str">
        <f>IF(ISBLANK(A1508),"",LEFT(B1508,27)&amp;VALUE(RIGHT(B1508,1)+1))</f>
        <v>DKR250911OEDSQU_20C_sample_2</v>
      </c>
      <c r="C1509" s="6" t="str">
        <f t="shared" ref="C1509:D1509" si="1758">C1508</f>
        <v>Oedera squarrosa</v>
      </c>
      <c r="D1509" s="6" t="str">
        <f t="shared" si="1758"/>
        <v>20C</v>
      </c>
      <c r="E1509" s="10">
        <f>IF(ISBLANK(A1508),"",E1508+1)</f>
        <v>2</v>
      </c>
      <c r="F1509" s="11">
        <f t="shared" ref="F1509:F1513" si="1761">F1508</f>
        <v>45915.69653</v>
      </c>
      <c r="G1509" s="8">
        <v>0.742</v>
      </c>
    </row>
    <row r="1510">
      <c r="A1510" s="9" t="str">
        <f t="shared" si="1759"/>
        <v>OEDSQU</v>
      </c>
      <c r="B1510" s="9" t="str">
        <f>IF(ISBLANK(A1508),"",LEFT(B1509,27)&amp;VALUE(RIGHT(B1509,1)+1))</f>
        <v>DKR250911OEDSQU_20C_sample_3</v>
      </c>
      <c r="C1510" s="6" t="str">
        <f t="shared" ref="C1510:D1510" si="1760">C1509</f>
        <v>Oedera squarrosa</v>
      </c>
      <c r="D1510" s="6" t="str">
        <f t="shared" si="1760"/>
        <v>20C</v>
      </c>
      <c r="E1510" s="10">
        <f>IF(ISBLANK(A1508),"",E1509+1)</f>
        <v>3</v>
      </c>
      <c r="F1510" s="11">
        <f t="shared" si="1761"/>
        <v>45915.69653</v>
      </c>
      <c r="G1510" s="8">
        <v>1.079</v>
      </c>
    </row>
    <row r="1511">
      <c r="A1511" s="9" t="str">
        <f t="shared" si="1759"/>
        <v>OEDSQU</v>
      </c>
      <c r="B1511" s="9" t="str">
        <f>IF(ISBLANK(A1508),"",LEFT(B1510,27)&amp;VALUE(RIGHT(B1510,1)+1))</f>
        <v>DKR250911OEDSQU_20C_sample_4</v>
      </c>
      <c r="C1511" s="6" t="str">
        <f t="shared" ref="C1511:D1511" si="1762">C1510</f>
        <v>Oedera squarrosa</v>
      </c>
      <c r="D1511" s="6" t="str">
        <f t="shared" si="1762"/>
        <v>20C</v>
      </c>
      <c r="E1511" s="10">
        <f>IF(ISBLANK(A1508),"",E1510+1)</f>
        <v>4</v>
      </c>
      <c r="F1511" s="11">
        <f t="shared" si="1761"/>
        <v>45915.69653</v>
      </c>
      <c r="G1511" s="8">
        <v>0.983</v>
      </c>
    </row>
    <row r="1512">
      <c r="A1512" s="9" t="str">
        <f t="shared" si="1759"/>
        <v>OEDSQU</v>
      </c>
      <c r="B1512" s="9" t="str">
        <f>IF(ISBLANK(A1508),"",LEFT(B1511,27)&amp;VALUE(RIGHT(B1511,1)+1))</f>
        <v>DKR250911OEDSQU_20C_sample_5</v>
      </c>
      <c r="C1512" s="6" t="str">
        <f t="shared" ref="C1512:D1512" si="1763">C1511</f>
        <v>Oedera squarrosa</v>
      </c>
      <c r="D1512" s="6" t="str">
        <f t="shared" si="1763"/>
        <v>20C</v>
      </c>
      <c r="E1512" s="10">
        <f>IF(ISBLANK(A1508),"",E1511+1)</f>
        <v>5</v>
      </c>
      <c r="F1512" s="11">
        <f t="shared" si="1761"/>
        <v>45915.69653</v>
      </c>
      <c r="G1512" s="8">
        <v>0.451</v>
      </c>
    </row>
    <row r="1513">
      <c r="A1513" s="12" t="str">
        <f t="shared" si="1759"/>
        <v>OEDSQU</v>
      </c>
      <c r="B1513" s="12" t="str">
        <f>IF(ISBLANK(A1508),"",LEFT(B1512,27)&amp;VALUE(RIGHT(B1512,1)+1))</f>
        <v>DKR250911OEDSQU_20C_sample_6</v>
      </c>
      <c r="C1513" s="13" t="str">
        <f t="shared" ref="C1513:D1513" si="1764">C1512</f>
        <v>Oedera squarrosa</v>
      </c>
      <c r="D1513" s="13" t="str">
        <f t="shared" si="1764"/>
        <v>20C</v>
      </c>
      <c r="E1513" s="14">
        <f>IF(ISBLANK(A1508),"",E1512+1)</f>
        <v>6</v>
      </c>
      <c r="F1513" s="15">
        <f t="shared" si="1761"/>
        <v>45915.69653</v>
      </c>
      <c r="G1513" s="16"/>
    </row>
    <row r="1514">
      <c r="A1514" s="5" t="s">
        <v>7</v>
      </c>
      <c r="B1514" s="6" t="str">
        <f>IF(ISBLANK(A1514),"",VLOOKUP($A1514,'Data Feed (20C)'!$A$1:$G$14,2,FALSE))</f>
        <v>DKR250911PASOBT_20C_sample_1</v>
      </c>
      <c r="C1514" s="6" t="str">
        <f>IF(ISBLANK(A1514),"",VLOOKUP($A1514,'Data Feed (20C)'!$A$1:$G$14,3,FALSE))</f>
        <v>Passerina obtusifolia</v>
      </c>
      <c r="D1514" s="6" t="str">
        <f>IF(ISBLANK(A1514),"",VLOOKUP($A1514,'Data Feed (20C)'!$A$1:$G$14,4,FALSE))</f>
        <v>20C</v>
      </c>
      <c r="E1514" s="6">
        <f>IF(ISBLANK(A1514),"",VLOOKUP($A1514,'Data Feed (20C)'!$A$1:$G$14,7,FALSE))</f>
        <v>1</v>
      </c>
      <c r="F1514" s="7">
        <v>45915.69861111111</v>
      </c>
      <c r="G1514" s="8">
        <v>2.222</v>
      </c>
    </row>
    <row r="1515">
      <c r="A1515" s="9" t="str">
        <f t="shared" ref="A1515:A1519" si="1766">A1514</f>
        <v>PASOBT</v>
      </c>
      <c r="B1515" s="9" t="str">
        <f>IF(ISBLANK(A1514),"",LEFT(B1514,27)&amp;VALUE(RIGHT(B1514,1)+1))</f>
        <v>DKR250911PASOBT_20C_sample_2</v>
      </c>
      <c r="C1515" s="6" t="str">
        <f t="shared" ref="C1515:D1515" si="1765">C1514</f>
        <v>Passerina obtusifolia</v>
      </c>
      <c r="D1515" s="6" t="str">
        <f t="shared" si="1765"/>
        <v>20C</v>
      </c>
      <c r="E1515" s="10">
        <f>IF(ISBLANK(A1514),"",E1514+1)</f>
        <v>2</v>
      </c>
      <c r="F1515" s="11">
        <f t="shared" ref="F1515:F1519" si="1768">F1514</f>
        <v>45915.69861</v>
      </c>
      <c r="G1515" s="8">
        <v>2.861</v>
      </c>
    </row>
    <row r="1516">
      <c r="A1516" s="9" t="str">
        <f t="shared" si="1766"/>
        <v>PASOBT</v>
      </c>
      <c r="B1516" s="9" t="str">
        <f>IF(ISBLANK(A1514),"",LEFT(B1515,27)&amp;VALUE(RIGHT(B1515,1)+1))</f>
        <v>DKR250911PASOBT_20C_sample_3</v>
      </c>
      <c r="C1516" s="6" t="str">
        <f t="shared" ref="C1516:D1516" si="1767">C1515</f>
        <v>Passerina obtusifolia</v>
      </c>
      <c r="D1516" s="6" t="str">
        <f t="shared" si="1767"/>
        <v>20C</v>
      </c>
      <c r="E1516" s="10">
        <f>IF(ISBLANK(A1514),"",E1515+1)</f>
        <v>3</v>
      </c>
      <c r="F1516" s="11">
        <f t="shared" si="1768"/>
        <v>45915.69861</v>
      </c>
      <c r="G1516" s="8">
        <v>1.026</v>
      </c>
    </row>
    <row r="1517">
      <c r="A1517" s="9" t="str">
        <f t="shared" si="1766"/>
        <v>PASOBT</v>
      </c>
      <c r="B1517" s="9" t="str">
        <f>IF(ISBLANK(A1514),"",LEFT(B1516,27)&amp;VALUE(RIGHT(B1516,1)+1))</f>
        <v>DKR250911PASOBT_20C_sample_4</v>
      </c>
      <c r="C1517" s="6" t="str">
        <f t="shared" ref="C1517:D1517" si="1769">C1516</f>
        <v>Passerina obtusifolia</v>
      </c>
      <c r="D1517" s="6" t="str">
        <f t="shared" si="1769"/>
        <v>20C</v>
      </c>
      <c r="E1517" s="10">
        <f>IF(ISBLANK(A1514),"",E1516+1)</f>
        <v>4</v>
      </c>
      <c r="F1517" s="11">
        <f t="shared" si="1768"/>
        <v>45915.69861</v>
      </c>
      <c r="G1517" s="8">
        <v>1.458</v>
      </c>
    </row>
    <row r="1518">
      <c r="A1518" s="9" t="str">
        <f t="shared" si="1766"/>
        <v>PASOBT</v>
      </c>
      <c r="B1518" s="9" t="str">
        <f>IF(ISBLANK(A1514),"",LEFT(B1517,27)&amp;VALUE(RIGHT(B1517,1)+1))</f>
        <v>DKR250911PASOBT_20C_sample_5</v>
      </c>
      <c r="C1518" s="6" t="str">
        <f t="shared" ref="C1518:D1518" si="1770">C1517</f>
        <v>Passerina obtusifolia</v>
      </c>
      <c r="D1518" s="6" t="str">
        <f t="shared" si="1770"/>
        <v>20C</v>
      </c>
      <c r="E1518" s="10">
        <f>IF(ISBLANK(A1514),"",E1517+1)</f>
        <v>5</v>
      </c>
      <c r="F1518" s="11">
        <f t="shared" si="1768"/>
        <v>45915.69861</v>
      </c>
      <c r="G1518" s="8">
        <v>1.197</v>
      </c>
    </row>
    <row r="1519">
      <c r="A1519" s="12" t="str">
        <f t="shared" si="1766"/>
        <v>PASOBT</v>
      </c>
      <c r="B1519" s="12" t="str">
        <f>IF(ISBLANK(A1514),"",LEFT(B1518,27)&amp;VALUE(RIGHT(B1518,1)+1))</f>
        <v>DKR250911PASOBT_20C_sample_6</v>
      </c>
      <c r="C1519" s="13" t="str">
        <f t="shared" ref="C1519:D1519" si="1771">C1518</f>
        <v>Passerina obtusifolia</v>
      </c>
      <c r="D1519" s="13" t="str">
        <f t="shared" si="1771"/>
        <v>20C</v>
      </c>
      <c r="E1519" s="14">
        <f>IF(ISBLANK(A1514),"",E1518+1)</f>
        <v>6</v>
      </c>
      <c r="F1519" s="15">
        <f t="shared" si="1768"/>
        <v>45915.69861</v>
      </c>
      <c r="G1519" s="16">
        <v>2.063</v>
      </c>
    </row>
    <row r="1520">
      <c r="A1520" s="5" t="s">
        <v>9</v>
      </c>
      <c r="B1520" s="6" t="str">
        <f>IF(ISBLANK(A1520),"",VLOOKUP($A1520,'Data Feed (20C)'!$A$1:$G$14,2,FALSE))</f>
        <v>DKR250911PROLAU_20C_sample_1</v>
      </c>
      <c r="C1520" s="6" t="str">
        <f>IF(ISBLANK(A1520),"",VLOOKUP($A1520,'Data Feed (20C)'!$A$1:$G$14,3,FALSE))</f>
        <v>Protea laurifolia</v>
      </c>
      <c r="D1520" s="6" t="str">
        <f>IF(ISBLANK(A1520),"",VLOOKUP($A1520,'Data Feed (20C)'!$A$1:$G$14,4,FALSE))</f>
        <v>20C</v>
      </c>
      <c r="E1520" s="6">
        <f>IF(ISBLANK(A1520),"",VLOOKUP($A1520,'Data Feed (20C)'!$A$1:$G$14,7,FALSE))</f>
        <v>1</v>
      </c>
      <c r="F1520" s="7">
        <v>45915.700694444444</v>
      </c>
      <c r="G1520" s="8">
        <v>0.933</v>
      </c>
    </row>
    <row r="1521">
      <c r="A1521" s="9" t="str">
        <f t="shared" ref="A1521:A1525" si="1773">A1520</f>
        <v>PROLAU</v>
      </c>
      <c r="B1521" s="9" t="str">
        <f>IF(ISBLANK(A1520),"",LEFT(B1520,27)&amp;VALUE(RIGHT(B1520,1)+1))</f>
        <v>DKR250911PROLAU_20C_sample_2</v>
      </c>
      <c r="C1521" s="6" t="str">
        <f t="shared" ref="C1521:D1521" si="1772">C1520</f>
        <v>Protea laurifolia</v>
      </c>
      <c r="D1521" s="6" t="str">
        <f t="shared" si="1772"/>
        <v>20C</v>
      </c>
      <c r="E1521" s="10">
        <f>IF(ISBLANK(A1520),"",E1520+1)</f>
        <v>2</v>
      </c>
      <c r="F1521" s="11">
        <f t="shared" ref="F1521:F1525" si="1775">F1520</f>
        <v>45915.70069</v>
      </c>
      <c r="G1521" s="8">
        <v>0.668</v>
      </c>
    </row>
    <row r="1522">
      <c r="A1522" s="9" t="str">
        <f t="shared" si="1773"/>
        <v>PROLAU</v>
      </c>
      <c r="B1522" s="9" t="str">
        <f>IF(ISBLANK(A1520),"",LEFT(B1521,27)&amp;VALUE(RIGHT(B1521,1)+1))</f>
        <v>DKR250911PROLAU_20C_sample_3</v>
      </c>
      <c r="C1522" s="6" t="str">
        <f t="shared" ref="C1522:D1522" si="1774">C1521</f>
        <v>Protea laurifolia</v>
      </c>
      <c r="D1522" s="6" t="str">
        <f t="shared" si="1774"/>
        <v>20C</v>
      </c>
      <c r="E1522" s="10">
        <f>IF(ISBLANK(A1520),"",E1521+1)</f>
        <v>3</v>
      </c>
      <c r="F1522" s="11">
        <f t="shared" si="1775"/>
        <v>45915.70069</v>
      </c>
      <c r="G1522" s="8">
        <v>1.028</v>
      </c>
    </row>
    <row r="1523">
      <c r="A1523" s="9" t="str">
        <f t="shared" si="1773"/>
        <v>PROLAU</v>
      </c>
      <c r="B1523" s="9" t="str">
        <f>IF(ISBLANK(A1520),"",LEFT(B1522,27)&amp;VALUE(RIGHT(B1522,1)+1))</f>
        <v>DKR250911PROLAU_20C_sample_4</v>
      </c>
      <c r="C1523" s="6" t="str">
        <f t="shared" ref="C1523:D1523" si="1776">C1522</f>
        <v>Protea laurifolia</v>
      </c>
      <c r="D1523" s="6" t="str">
        <f t="shared" si="1776"/>
        <v>20C</v>
      </c>
      <c r="E1523" s="10">
        <f>IF(ISBLANK(A1520),"",E1522+1)</f>
        <v>4</v>
      </c>
      <c r="F1523" s="11">
        <f t="shared" si="1775"/>
        <v>45915.70069</v>
      </c>
      <c r="G1523" s="8">
        <v>0.501</v>
      </c>
    </row>
    <row r="1524">
      <c r="A1524" s="9" t="str">
        <f t="shared" si="1773"/>
        <v>PROLAU</v>
      </c>
      <c r="B1524" s="9" t="str">
        <f>IF(ISBLANK(A1520),"",LEFT(B1523,27)&amp;VALUE(RIGHT(B1523,1)+1))</f>
        <v>DKR250911PROLAU_20C_sample_5</v>
      </c>
      <c r="C1524" s="6" t="str">
        <f t="shared" ref="C1524:D1524" si="1777">C1523</f>
        <v>Protea laurifolia</v>
      </c>
      <c r="D1524" s="6" t="str">
        <f t="shared" si="1777"/>
        <v>20C</v>
      </c>
      <c r="E1524" s="10">
        <f>IF(ISBLANK(A1520),"",E1523+1)</f>
        <v>5</v>
      </c>
      <c r="F1524" s="11">
        <f t="shared" si="1775"/>
        <v>45915.70069</v>
      </c>
      <c r="G1524" s="8">
        <v>0.858</v>
      </c>
    </row>
    <row r="1525">
      <c r="A1525" s="12" t="str">
        <f t="shared" si="1773"/>
        <v>PROLAU</v>
      </c>
      <c r="B1525" s="12" t="str">
        <f>IF(ISBLANK(A1520),"",LEFT(B1524,27)&amp;VALUE(RIGHT(B1524,1)+1))</f>
        <v>DKR250911PROLAU_20C_sample_6</v>
      </c>
      <c r="C1525" s="13" t="str">
        <f t="shared" ref="C1525:D1525" si="1778">C1524</f>
        <v>Protea laurifolia</v>
      </c>
      <c r="D1525" s="13" t="str">
        <f t="shared" si="1778"/>
        <v>20C</v>
      </c>
      <c r="E1525" s="14">
        <f>IF(ISBLANK(A1520),"",E1524+1)</f>
        <v>6</v>
      </c>
      <c r="F1525" s="15">
        <f t="shared" si="1775"/>
        <v>45915.70069</v>
      </c>
      <c r="G1525" s="16">
        <v>0.804</v>
      </c>
    </row>
    <row r="1526">
      <c r="A1526" s="5" t="s">
        <v>8</v>
      </c>
      <c r="B1526" s="6" t="str">
        <f>IF(ISBLANK(A1526),"",VLOOKUP($A1526,'Data Feed (20C)'!$A$1:$G$14,2,FALSE))</f>
        <v>DKF250911PROLOR_20C_sample_1</v>
      </c>
      <c r="C1526" s="6" t="str">
        <f>IF(ISBLANK(A1526),"",VLOOKUP($A1526,'Data Feed (20C)'!$A$1:$G$14,3,FALSE))</f>
        <v>Protea lorifolia</v>
      </c>
      <c r="D1526" s="6" t="str">
        <f>IF(ISBLANK(A1526),"",VLOOKUP($A1526,'Data Feed (20C)'!$A$1:$G$14,4,FALSE))</f>
        <v>20C</v>
      </c>
      <c r="E1526" s="6">
        <f>IF(ISBLANK(A1526),"",VLOOKUP($A1526,'Data Feed (20C)'!$A$1:$G$14,7,FALSE))</f>
        <v>1</v>
      </c>
      <c r="F1526" s="7">
        <v>45915.70277777778</v>
      </c>
      <c r="G1526" s="8">
        <v>2.798</v>
      </c>
    </row>
    <row r="1527">
      <c r="A1527" s="9" t="str">
        <f t="shared" ref="A1527:A1531" si="1780">A1526</f>
        <v>PROLOR</v>
      </c>
      <c r="B1527" s="9" t="str">
        <f>IF(ISBLANK(A1526),"",LEFT(B1526,27)&amp;VALUE(RIGHT(B1526,1)+1))</f>
        <v>DKF250911PROLOR_20C_sample_2</v>
      </c>
      <c r="C1527" s="6" t="str">
        <f t="shared" ref="C1527:D1527" si="1779">C1526</f>
        <v>Protea lorifolia</v>
      </c>
      <c r="D1527" s="6" t="str">
        <f t="shared" si="1779"/>
        <v>20C</v>
      </c>
      <c r="E1527" s="10">
        <f>IF(ISBLANK(A1526),"",E1526+1)</f>
        <v>2</v>
      </c>
      <c r="F1527" s="11">
        <f t="shared" ref="F1527:F1531" si="1782">F1526</f>
        <v>45915.70278</v>
      </c>
      <c r="G1527" s="8">
        <v>1.922</v>
      </c>
    </row>
    <row r="1528">
      <c r="A1528" s="9" t="str">
        <f t="shared" si="1780"/>
        <v>PROLOR</v>
      </c>
      <c r="B1528" s="9" t="str">
        <f>IF(ISBLANK(A1526),"",LEFT(B1527,27)&amp;VALUE(RIGHT(B1527,1)+1))</f>
        <v>DKF250911PROLOR_20C_sample_3</v>
      </c>
      <c r="C1528" s="6" t="str">
        <f t="shared" ref="C1528:D1528" si="1781">C1527</f>
        <v>Protea lorifolia</v>
      </c>
      <c r="D1528" s="6" t="str">
        <f t="shared" si="1781"/>
        <v>20C</v>
      </c>
      <c r="E1528" s="10">
        <f>IF(ISBLANK(A1526),"",E1527+1)</f>
        <v>3</v>
      </c>
      <c r="F1528" s="11">
        <f t="shared" si="1782"/>
        <v>45915.70278</v>
      </c>
      <c r="G1528" s="8">
        <v>3.05</v>
      </c>
    </row>
    <row r="1529">
      <c r="A1529" s="9" t="str">
        <f t="shared" si="1780"/>
        <v>PROLOR</v>
      </c>
      <c r="B1529" s="9" t="str">
        <f>IF(ISBLANK(A1526),"",LEFT(B1528,27)&amp;VALUE(RIGHT(B1528,1)+1))</f>
        <v>DKF250911PROLOR_20C_sample_4</v>
      </c>
      <c r="C1529" s="6" t="str">
        <f t="shared" ref="C1529:D1529" si="1783">C1528</f>
        <v>Protea lorifolia</v>
      </c>
      <c r="D1529" s="6" t="str">
        <f t="shared" si="1783"/>
        <v>20C</v>
      </c>
      <c r="E1529" s="10">
        <f>IF(ISBLANK(A1526),"",E1528+1)</f>
        <v>4</v>
      </c>
      <c r="F1529" s="11">
        <f t="shared" si="1782"/>
        <v>45915.70278</v>
      </c>
      <c r="G1529" s="8">
        <v>2.686</v>
      </c>
    </row>
    <row r="1530">
      <c r="A1530" s="9" t="str">
        <f t="shared" si="1780"/>
        <v>PROLOR</v>
      </c>
      <c r="B1530" s="9" t="str">
        <f>IF(ISBLANK(A1526),"",LEFT(B1529,27)&amp;VALUE(RIGHT(B1529,1)+1))</f>
        <v>DKF250911PROLOR_20C_sample_5</v>
      </c>
      <c r="C1530" s="6" t="str">
        <f t="shared" ref="C1530:D1530" si="1784">C1529</f>
        <v>Protea lorifolia</v>
      </c>
      <c r="D1530" s="6" t="str">
        <f t="shared" si="1784"/>
        <v>20C</v>
      </c>
      <c r="E1530" s="10">
        <f>IF(ISBLANK(A1526),"",E1529+1)</f>
        <v>5</v>
      </c>
      <c r="F1530" s="11">
        <f t="shared" si="1782"/>
        <v>45915.70278</v>
      </c>
      <c r="G1530" s="8">
        <v>4.734</v>
      </c>
    </row>
    <row r="1531">
      <c r="A1531" s="12" t="str">
        <f t="shared" si="1780"/>
        <v>PROLOR</v>
      </c>
      <c r="B1531" s="12" t="str">
        <f>IF(ISBLANK(A1526),"",LEFT(B1530,27)&amp;VALUE(RIGHT(B1530,1)+1))</f>
        <v>DKF250911PROLOR_20C_sample_6</v>
      </c>
      <c r="C1531" s="13" t="str">
        <f t="shared" ref="C1531:D1531" si="1785">C1530</f>
        <v>Protea lorifolia</v>
      </c>
      <c r="D1531" s="13" t="str">
        <f t="shared" si="1785"/>
        <v>20C</v>
      </c>
      <c r="E1531" s="14">
        <f>IF(ISBLANK(A1526),"",E1530+1)</f>
        <v>6</v>
      </c>
      <c r="F1531" s="15">
        <f t="shared" si="1782"/>
        <v>45915.70278</v>
      </c>
      <c r="G1531" s="16">
        <v>4.265</v>
      </c>
    </row>
    <row r="1532">
      <c r="A1532" s="5" t="s">
        <v>13</v>
      </c>
      <c r="B1532" s="6" t="str">
        <f>IF(ISBLANK(A1532),"",VLOOKUP($A1532,'Data Feed (20C)'!$A$1:$G$14,2,FALSE))</f>
        <v>DKR250911RUSMUL_20C_sample_1</v>
      </c>
      <c r="C1532" s="6" t="str">
        <f>IF(ISBLANK(A1532),"",VLOOKUP($A1532,'Data Feed (20C)'!$A$1:$G$14,3,FALSE))</f>
        <v>Ruschia multiflora</v>
      </c>
      <c r="D1532" s="6" t="str">
        <f>IF(ISBLANK(A1532),"",VLOOKUP($A1532,'Data Feed (20C)'!$A$1:$G$14,4,FALSE))</f>
        <v>20C</v>
      </c>
      <c r="E1532" s="6">
        <f>IF(ISBLANK(A1532),"",VLOOKUP($A1532,'Data Feed (20C)'!$A$1:$G$14,7,FALSE))</f>
        <v>1</v>
      </c>
      <c r="F1532" s="7">
        <v>45915.70416666667</v>
      </c>
      <c r="G1532" s="8">
        <v>2.877</v>
      </c>
    </row>
    <row r="1533">
      <c r="A1533" s="9" t="str">
        <f t="shared" ref="A1533:A1537" si="1787">A1532</f>
        <v>RUSMUL</v>
      </c>
      <c r="B1533" s="9" t="str">
        <f>IF(ISBLANK(A1532),"",LEFT(B1532,27)&amp;VALUE(RIGHT(B1532,1)+1))</f>
        <v>DKR250911RUSMUL_20C_sample_2</v>
      </c>
      <c r="C1533" s="6" t="str">
        <f t="shared" ref="C1533:D1533" si="1786">C1532</f>
        <v>Ruschia multiflora</v>
      </c>
      <c r="D1533" s="6" t="str">
        <f t="shared" si="1786"/>
        <v>20C</v>
      </c>
      <c r="E1533" s="10">
        <f>IF(ISBLANK(A1532),"",E1532+1)</f>
        <v>2</v>
      </c>
      <c r="F1533" s="11">
        <f t="shared" ref="F1533:F1537" si="1789">F1532</f>
        <v>45915.70417</v>
      </c>
      <c r="G1533" s="8">
        <v>3.189</v>
      </c>
    </row>
    <row r="1534">
      <c r="A1534" s="9" t="str">
        <f t="shared" si="1787"/>
        <v>RUSMUL</v>
      </c>
      <c r="B1534" s="9" t="str">
        <f>IF(ISBLANK(A1532),"",LEFT(B1533,27)&amp;VALUE(RIGHT(B1533,1)+1))</f>
        <v>DKR250911RUSMUL_20C_sample_3</v>
      </c>
      <c r="C1534" s="6" t="str">
        <f t="shared" ref="C1534:D1534" si="1788">C1533</f>
        <v>Ruschia multiflora</v>
      </c>
      <c r="D1534" s="6" t="str">
        <f t="shared" si="1788"/>
        <v>20C</v>
      </c>
      <c r="E1534" s="10">
        <f>IF(ISBLANK(A1532),"",E1533+1)</f>
        <v>3</v>
      </c>
      <c r="F1534" s="11">
        <f t="shared" si="1789"/>
        <v>45915.70417</v>
      </c>
      <c r="G1534" s="8">
        <v>7.007</v>
      </c>
    </row>
    <row r="1535">
      <c r="A1535" s="9" t="str">
        <f t="shared" si="1787"/>
        <v>RUSMUL</v>
      </c>
      <c r="B1535" s="9" t="str">
        <f>IF(ISBLANK(A1532),"",LEFT(B1534,27)&amp;VALUE(RIGHT(B1534,1)+1))</f>
        <v>DKR250911RUSMUL_20C_sample_4</v>
      </c>
      <c r="C1535" s="6" t="str">
        <f t="shared" ref="C1535:D1535" si="1790">C1534</f>
        <v>Ruschia multiflora</v>
      </c>
      <c r="D1535" s="6" t="str">
        <f t="shared" si="1790"/>
        <v>20C</v>
      </c>
      <c r="E1535" s="10">
        <f>IF(ISBLANK(A1532),"",E1534+1)</f>
        <v>4</v>
      </c>
      <c r="F1535" s="11">
        <f t="shared" si="1789"/>
        <v>45915.70417</v>
      </c>
      <c r="G1535" s="8">
        <v>3.602</v>
      </c>
    </row>
    <row r="1536">
      <c r="A1536" s="9" t="str">
        <f t="shared" si="1787"/>
        <v>RUSMUL</v>
      </c>
      <c r="B1536" s="9" t="str">
        <f>IF(ISBLANK(A1532),"",LEFT(B1535,27)&amp;VALUE(RIGHT(B1535,1)+1))</f>
        <v>DKR250911RUSMUL_20C_sample_5</v>
      </c>
      <c r="C1536" s="6" t="str">
        <f t="shared" ref="C1536:D1536" si="1791">C1535</f>
        <v>Ruschia multiflora</v>
      </c>
      <c r="D1536" s="6" t="str">
        <f t="shared" si="1791"/>
        <v>20C</v>
      </c>
      <c r="E1536" s="10">
        <f>IF(ISBLANK(A1532),"",E1535+1)</f>
        <v>5</v>
      </c>
      <c r="F1536" s="11">
        <f t="shared" si="1789"/>
        <v>45915.70417</v>
      </c>
      <c r="G1536" s="8">
        <v>3.185</v>
      </c>
    </row>
    <row r="1537">
      <c r="A1537" s="12" t="str">
        <f t="shared" si="1787"/>
        <v>RUSMUL</v>
      </c>
      <c r="B1537" s="12" t="str">
        <f>IF(ISBLANK(A1532),"",LEFT(B1536,27)&amp;VALUE(RIGHT(B1536,1)+1))</f>
        <v>DKR250911RUSMUL_20C_sample_6</v>
      </c>
      <c r="C1537" s="13" t="str">
        <f t="shared" ref="C1537:D1537" si="1792">C1536</f>
        <v>Ruschia multiflora</v>
      </c>
      <c r="D1537" s="13" t="str">
        <f t="shared" si="1792"/>
        <v>20C</v>
      </c>
      <c r="E1537" s="14">
        <f>IF(ISBLANK(A1532),"",E1536+1)</f>
        <v>6</v>
      </c>
      <c r="F1537" s="15">
        <f t="shared" si="1789"/>
        <v>45915.70417</v>
      </c>
      <c r="G1537" s="16">
        <v>2.727</v>
      </c>
    </row>
    <row r="1538">
      <c r="A1538" s="5" t="s">
        <v>11</v>
      </c>
      <c r="B1538" s="6" t="str">
        <f>IF(ISBLANK(A1538),"",VLOOKUP($A1538,'Data Feed (20C)'!$A$1:$G$14,2,FALSE))</f>
        <v>DKF250911SELDOL_20C_sample_1</v>
      </c>
      <c r="C1538" s="6" t="str">
        <f>IF(ISBLANK(A1538),"",VLOOKUP($A1538,'Data Feed (20C)'!$A$1:$G$14,3,FALSE))</f>
        <v>Selago dolosa</v>
      </c>
      <c r="D1538" s="6" t="str">
        <f>IF(ISBLANK(A1538),"",VLOOKUP($A1538,'Data Feed (20C)'!$A$1:$G$14,4,FALSE))</f>
        <v>20C</v>
      </c>
      <c r="E1538" s="6">
        <f>IF(ISBLANK(A1538),"",VLOOKUP($A1538,'Data Feed (20C)'!$A$1:$G$14,7,FALSE))</f>
        <v>1</v>
      </c>
      <c r="F1538" s="7">
        <v>45915.70625</v>
      </c>
      <c r="G1538" s="8">
        <v>0.912</v>
      </c>
    </row>
    <row r="1539">
      <c r="A1539" s="9" t="str">
        <f t="shared" ref="A1539:A1543" si="1794">A1538</f>
        <v>SELDOL</v>
      </c>
      <c r="B1539" s="9" t="str">
        <f>IF(ISBLANK(A1538),"",LEFT(B1538,27)&amp;VALUE(RIGHT(B1538,1)+1))</f>
        <v>DKF250911SELDOL_20C_sample_2</v>
      </c>
      <c r="C1539" s="6" t="str">
        <f t="shared" ref="C1539:D1539" si="1793">C1538</f>
        <v>Selago dolosa</v>
      </c>
      <c r="D1539" s="6" t="str">
        <f t="shared" si="1793"/>
        <v>20C</v>
      </c>
      <c r="E1539" s="10">
        <f>IF(ISBLANK(A1538),"",E1538+1)</f>
        <v>2</v>
      </c>
      <c r="F1539" s="11">
        <f t="shared" ref="F1539:F1543" si="1796">F1538</f>
        <v>45915.70625</v>
      </c>
      <c r="G1539" s="8">
        <v>1.353</v>
      </c>
    </row>
    <row r="1540">
      <c r="A1540" s="9" t="str">
        <f t="shared" si="1794"/>
        <v>SELDOL</v>
      </c>
      <c r="B1540" s="9" t="str">
        <f>IF(ISBLANK(A1538),"",LEFT(B1539,27)&amp;VALUE(RIGHT(B1539,1)+1))</f>
        <v>DKF250911SELDOL_20C_sample_3</v>
      </c>
      <c r="C1540" s="6" t="str">
        <f t="shared" ref="C1540:D1540" si="1795">C1539</f>
        <v>Selago dolosa</v>
      </c>
      <c r="D1540" s="6" t="str">
        <f t="shared" si="1795"/>
        <v>20C</v>
      </c>
      <c r="E1540" s="10">
        <f>IF(ISBLANK(A1538),"",E1539+1)</f>
        <v>3</v>
      </c>
      <c r="F1540" s="11">
        <f t="shared" si="1796"/>
        <v>45915.70625</v>
      </c>
      <c r="G1540" s="8">
        <v>1.219</v>
      </c>
    </row>
    <row r="1541">
      <c r="A1541" s="9" t="str">
        <f t="shared" si="1794"/>
        <v>SELDOL</v>
      </c>
      <c r="B1541" s="9" t="str">
        <f>IF(ISBLANK(A1538),"",LEFT(B1540,27)&amp;VALUE(RIGHT(B1540,1)+1))</f>
        <v>DKF250911SELDOL_20C_sample_4</v>
      </c>
      <c r="C1541" s="6" t="str">
        <f t="shared" ref="C1541:D1541" si="1797">C1540</f>
        <v>Selago dolosa</v>
      </c>
      <c r="D1541" s="6" t="str">
        <f t="shared" si="1797"/>
        <v>20C</v>
      </c>
      <c r="E1541" s="10">
        <f>IF(ISBLANK(A1538),"",E1540+1)</f>
        <v>4</v>
      </c>
      <c r="F1541" s="11">
        <f t="shared" si="1796"/>
        <v>45915.70625</v>
      </c>
      <c r="G1541" s="8">
        <v>1.325</v>
      </c>
    </row>
    <row r="1542">
      <c r="A1542" s="9" t="str">
        <f t="shared" si="1794"/>
        <v>SELDOL</v>
      </c>
      <c r="B1542" s="9" t="str">
        <f>IF(ISBLANK(A1538),"",LEFT(B1541,27)&amp;VALUE(RIGHT(B1541,1)+1))</f>
        <v>DKF250911SELDOL_20C_sample_5</v>
      </c>
      <c r="C1542" s="6" t="str">
        <f t="shared" ref="C1542:D1542" si="1798">C1541</f>
        <v>Selago dolosa</v>
      </c>
      <c r="D1542" s="6" t="str">
        <f t="shared" si="1798"/>
        <v>20C</v>
      </c>
      <c r="E1542" s="10">
        <f>IF(ISBLANK(A1538),"",E1541+1)</f>
        <v>5</v>
      </c>
      <c r="F1542" s="11">
        <f t="shared" si="1796"/>
        <v>45915.70625</v>
      </c>
      <c r="G1542" s="8"/>
    </row>
    <row r="1543">
      <c r="A1543" s="12" t="str">
        <f t="shared" si="1794"/>
        <v>SELDOL</v>
      </c>
      <c r="B1543" s="12" t="str">
        <f>IF(ISBLANK(A1538),"",LEFT(B1542,27)&amp;VALUE(RIGHT(B1542,1)+1))</f>
        <v>DKF250911SELDOL_20C_sample_6</v>
      </c>
      <c r="C1543" s="13" t="str">
        <f t="shared" ref="C1543:D1543" si="1799">C1542</f>
        <v>Selago dolosa</v>
      </c>
      <c r="D1543" s="13" t="str">
        <f t="shared" si="1799"/>
        <v>20C</v>
      </c>
      <c r="E1543" s="14">
        <f>IF(ISBLANK(A1538),"",E1542+1)</f>
        <v>6</v>
      </c>
      <c r="F1543" s="15">
        <f t="shared" si="1796"/>
        <v>45915.70625</v>
      </c>
      <c r="G1543" s="16">
        <v>0.791</v>
      </c>
    </row>
    <row r="1544">
      <c r="A1544" s="5" t="s">
        <v>14</v>
      </c>
      <c r="B1544" s="6" t="str">
        <f>IF(ISBLANK(A1544),"",VLOOKUP($A1544,'Data Feed (20C)'!$A$1:$G$14,2,FALSE))</f>
        <v>DKF250911ASPSHA_20C_sample_1</v>
      </c>
      <c r="C1544" s="6" t="str">
        <f>IF(ISBLANK(A1544),"",VLOOKUP($A1544,'Data Feed (20C)'!$A$1:$G$14,3,FALSE))</f>
        <v>Aspalathus shawii</v>
      </c>
      <c r="D1544" s="6" t="str">
        <f>IF(ISBLANK(A1544),"",VLOOKUP($A1544,'Data Feed (20C)'!$A$1:$G$14,4,FALSE))</f>
        <v>20C</v>
      </c>
      <c r="E1544" s="6">
        <f>IF(ISBLANK(A1544),"",VLOOKUP($A1544,'Data Feed (20C)'!$A$1:$G$14,7,FALSE))</f>
        <v>1</v>
      </c>
      <c r="F1544" s="7">
        <v>45916.4875</v>
      </c>
      <c r="G1544" s="8">
        <v>10.409</v>
      </c>
    </row>
    <row r="1545">
      <c r="A1545" s="9" t="str">
        <f t="shared" ref="A1545:A1549" si="1801">A1544</f>
        <v>ASPSHA</v>
      </c>
      <c r="B1545" s="9" t="str">
        <f>IF(ISBLANK(A1544),"",LEFT(B1544,27)&amp;VALUE(RIGHT(B1544,1)+1))</f>
        <v>DKF250911ASPSHA_20C_sample_2</v>
      </c>
      <c r="C1545" s="6" t="str">
        <f t="shared" ref="C1545:D1545" si="1800">C1544</f>
        <v>Aspalathus shawii</v>
      </c>
      <c r="D1545" s="6" t="str">
        <f t="shared" si="1800"/>
        <v>20C</v>
      </c>
      <c r="E1545" s="10">
        <f>IF(ISBLANK(A1544),"",E1544+1)</f>
        <v>2</v>
      </c>
      <c r="F1545" s="11">
        <f t="shared" ref="F1545:F1549" si="1803">F1544</f>
        <v>45916.4875</v>
      </c>
      <c r="G1545" s="8">
        <v>6.583</v>
      </c>
    </row>
    <row r="1546">
      <c r="A1546" s="9" t="str">
        <f t="shared" si="1801"/>
        <v>ASPSHA</v>
      </c>
      <c r="B1546" s="9" t="str">
        <f>IF(ISBLANK(A1544),"",LEFT(B1545,27)&amp;VALUE(RIGHT(B1545,1)+1))</f>
        <v>DKF250911ASPSHA_20C_sample_3</v>
      </c>
      <c r="C1546" s="6" t="str">
        <f t="shared" ref="C1546:D1546" si="1802">C1545</f>
        <v>Aspalathus shawii</v>
      </c>
      <c r="D1546" s="6" t="str">
        <f t="shared" si="1802"/>
        <v>20C</v>
      </c>
      <c r="E1546" s="10">
        <f>IF(ISBLANK(A1544),"",E1545+1)</f>
        <v>3</v>
      </c>
      <c r="F1546" s="11">
        <f t="shared" si="1803"/>
        <v>45916.4875</v>
      </c>
      <c r="G1546" s="8">
        <v>3.771</v>
      </c>
    </row>
    <row r="1547">
      <c r="A1547" s="9" t="str">
        <f t="shared" si="1801"/>
        <v>ASPSHA</v>
      </c>
      <c r="B1547" s="9" t="str">
        <f>IF(ISBLANK(A1544),"",LEFT(B1546,27)&amp;VALUE(RIGHT(B1546,1)+1))</f>
        <v>DKF250911ASPSHA_20C_sample_4</v>
      </c>
      <c r="C1547" s="6" t="str">
        <f t="shared" ref="C1547:D1547" si="1804">C1546</f>
        <v>Aspalathus shawii</v>
      </c>
      <c r="D1547" s="6" t="str">
        <f t="shared" si="1804"/>
        <v>20C</v>
      </c>
      <c r="E1547" s="10">
        <f>IF(ISBLANK(A1544),"",E1546+1)</f>
        <v>4</v>
      </c>
      <c r="F1547" s="11">
        <f t="shared" si="1803"/>
        <v>45916.4875</v>
      </c>
      <c r="G1547" s="8">
        <v>9.462</v>
      </c>
    </row>
    <row r="1548">
      <c r="A1548" s="9" t="str">
        <f t="shared" si="1801"/>
        <v>ASPSHA</v>
      </c>
      <c r="B1548" s="9" t="str">
        <f>IF(ISBLANK(A1544),"",LEFT(B1547,27)&amp;VALUE(RIGHT(B1547,1)+1))</f>
        <v>DKF250911ASPSHA_20C_sample_5</v>
      </c>
      <c r="C1548" s="6" t="str">
        <f t="shared" ref="C1548:D1548" si="1805">C1547</f>
        <v>Aspalathus shawii</v>
      </c>
      <c r="D1548" s="6" t="str">
        <f t="shared" si="1805"/>
        <v>20C</v>
      </c>
      <c r="E1548" s="10">
        <f>IF(ISBLANK(A1544),"",E1547+1)</f>
        <v>5</v>
      </c>
      <c r="F1548" s="11">
        <f t="shared" si="1803"/>
        <v>45916.4875</v>
      </c>
      <c r="G1548" s="8">
        <v>2.752</v>
      </c>
    </row>
    <row r="1549">
      <c r="A1549" s="12" t="str">
        <f t="shared" si="1801"/>
        <v>ASPSHA</v>
      </c>
      <c r="B1549" s="12" t="str">
        <f>IF(ISBLANK(A1544),"",LEFT(B1548,27)&amp;VALUE(RIGHT(B1548,1)+1))</f>
        <v>DKF250911ASPSHA_20C_sample_6</v>
      </c>
      <c r="C1549" s="13" t="str">
        <f t="shared" ref="C1549:D1549" si="1806">C1548</f>
        <v>Aspalathus shawii</v>
      </c>
      <c r="D1549" s="13" t="str">
        <f t="shared" si="1806"/>
        <v>20C</v>
      </c>
      <c r="E1549" s="14">
        <f>IF(ISBLANK(A1544),"",E1548+1)</f>
        <v>6</v>
      </c>
      <c r="F1549" s="15">
        <f t="shared" si="1803"/>
        <v>45916.4875</v>
      </c>
      <c r="G1549" s="16">
        <v>7.721</v>
      </c>
    </row>
    <row r="1550">
      <c r="A1550" s="5" t="s">
        <v>15</v>
      </c>
      <c r="B1550" s="6" t="str">
        <f>IF(ISBLANK(A1550),"",VLOOKUP($A1550,'Data Feed (20C)'!$A$1:$G$14,2,FALSE))</f>
        <v>DKR250911ELYRHI_20C_sample_1</v>
      </c>
      <c r="C1550" s="6" t="str">
        <f>IF(ISBLANK(A1550),"",VLOOKUP($A1550,'Data Feed (20C)'!$A$1:$G$14,3,FALSE))</f>
        <v>Elytropappus rhinocerotis</v>
      </c>
      <c r="D1550" s="6" t="str">
        <f>IF(ISBLANK(A1550),"",VLOOKUP($A1550,'Data Feed (20C)'!$A$1:$G$14,4,FALSE))</f>
        <v>20C</v>
      </c>
      <c r="E1550" s="6">
        <f>IF(ISBLANK(A1550),"",VLOOKUP($A1550,'Data Feed (20C)'!$A$1:$G$14,7,FALSE))</f>
        <v>1</v>
      </c>
      <c r="F1550" s="7">
        <v>45916.48888888889</v>
      </c>
      <c r="G1550" s="8">
        <v>2.387</v>
      </c>
    </row>
    <row r="1551">
      <c r="A1551" s="9" t="str">
        <f t="shared" ref="A1551:A1555" si="1808">A1550</f>
        <v>ELYRHI</v>
      </c>
      <c r="B1551" s="9" t="str">
        <f>IF(ISBLANK(A1550),"",LEFT(B1550,27)&amp;VALUE(RIGHT(B1550,1)+1))</f>
        <v>DKR250911ELYRHI_20C_sample_2</v>
      </c>
      <c r="C1551" s="6" t="str">
        <f t="shared" ref="C1551:D1551" si="1807">C1550</f>
        <v>Elytropappus rhinocerotis</v>
      </c>
      <c r="D1551" s="6" t="str">
        <f t="shared" si="1807"/>
        <v>20C</v>
      </c>
      <c r="E1551" s="10">
        <f>IF(ISBLANK(A1550),"",E1550+1)</f>
        <v>2</v>
      </c>
      <c r="F1551" s="11">
        <f t="shared" ref="F1551:F1555" si="1810">F1550</f>
        <v>45916.48889</v>
      </c>
      <c r="G1551" s="8">
        <v>2.832</v>
      </c>
    </row>
    <row r="1552">
      <c r="A1552" s="9" t="str">
        <f t="shared" si="1808"/>
        <v>ELYRHI</v>
      </c>
      <c r="B1552" s="9" t="str">
        <f>IF(ISBLANK(A1550),"",LEFT(B1551,27)&amp;VALUE(RIGHT(B1551,1)+1))</f>
        <v>DKR250911ELYRHI_20C_sample_3</v>
      </c>
      <c r="C1552" s="6" t="str">
        <f t="shared" ref="C1552:D1552" si="1809">C1551</f>
        <v>Elytropappus rhinocerotis</v>
      </c>
      <c r="D1552" s="6" t="str">
        <f t="shared" si="1809"/>
        <v>20C</v>
      </c>
      <c r="E1552" s="10">
        <f>IF(ISBLANK(A1550),"",E1551+1)</f>
        <v>3</v>
      </c>
      <c r="F1552" s="11">
        <f t="shared" si="1810"/>
        <v>45916.48889</v>
      </c>
      <c r="G1552" s="8">
        <v>4.05</v>
      </c>
    </row>
    <row r="1553">
      <c r="A1553" s="9" t="str">
        <f t="shared" si="1808"/>
        <v>ELYRHI</v>
      </c>
      <c r="B1553" s="9" t="str">
        <f>IF(ISBLANK(A1550),"",LEFT(B1552,27)&amp;VALUE(RIGHT(B1552,1)+1))</f>
        <v>DKR250911ELYRHI_20C_sample_4</v>
      </c>
      <c r="C1553" s="6" t="str">
        <f t="shared" ref="C1553:D1553" si="1811">C1552</f>
        <v>Elytropappus rhinocerotis</v>
      </c>
      <c r="D1553" s="6" t="str">
        <f t="shared" si="1811"/>
        <v>20C</v>
      </c>
      <c r="E1553" s="10">
        <f>IF(ISBLANK(A1550),"",E1552+1)</f>
        <v>4</v>
      </c>
      <c r="F1553" s="11">
        <f t="shared" si="1810"/>
        <v>45916.48889</v>
      </c>
      <c r="G1553" s="8">
        <v>2.719</v>
      </c>
    </row>
    <row r="1554">
      <c r="A1554" s="9" t="str">
        <f t="shared" si="1808"/>
        <v>ELYRHI</v>
      </c>
      <c r="B1554" s="9" t="str">
        <f>IF(ISBLANK(A1550),"",LEFT(B1553,27)&amp;VALUE(RIGHT(B1553,1)+1))</f>
        <v>DKR250911ELYRHI_20C_sample_5</v>
      </c>
      <c r="C1554" s="6" t="str">
        <f t="shared" ref="C1554:D1554" si="1812">C1553</f>
        <v>Elytropappus rhinocerotis</v>
      </c>
      <c r="D1554" s="6" t="str">
        <f t="shared" si="1812"/>
        <v>20C</v>
      </c>
      <c r="E1554" s="10">
        <f>IF(ISBLANK(A1550),"",E1553+1)</f>
        <v>5</v>
      </c>
      <c r="F1554" s="11">
        <f t="shared" si="1810"/>
        <v>45916.48889</v>
      </c>
      <c r="G1554" s="8">
        <v>1.619</v>
      </c>
    </row>
    <row r="1555">
      <c r="A1555" s="12" t="str">
        <f t="shared" si="1808"/>
        <v>ELYRHI</v>
      </c>
      <c r="B1555" s="12" t="str">
        <f>IF(ISBLANK(A1550),"",LEFT(B1554,27)&amp;VALUE(RIGHT(B1554,1)+1))</f>
        <v>DKR250911ELYRHI_20C_sample_6</v>
      </c>
      <c r="C1555" s="13" t="str">
        <f t="shared" ref="C1555:D1555" si="1813">C1554</f>
        <v>Elytropappus rhinocerotis</v>
      </c>
      <c r="D1555" s="13" t="str">
        <f t="shared" si="1813"/>
        <v>20C</v>
      </c>
      <c r="E1555" s="14">
        <f>IF(ISBLANK(A1550),"",E1554+1)</f>
        <v>6</v>
      </c>
      <c r="F1555" s="15">
        <f t="shared" si="1810"/>
        <v>45916.48889</v>
      </c>
      <c r="G1555" s="16">
        <v>1.443</v>
      </c>
    </row>
    <row r="1556">
      <c r="A1556" s="5" t="s">
        <v>10</v>
      </c>
      <c r="B1556" s="6" t="str">
        <f>IF(ISBLANK(A1556),"",VLOOKUP($A1556,'Data Feed (20C)'!$A$1:$G$14,2,FALSE))</f>
        <v>DKF250911LOBDEC_20C_sample_1</v>
      </c>
      <c r="C1556" s="6" t="str">
        <f>IF(ISBLANK(A1556),"",VLOOKUP($A1556,'Data Feed (20C)'!$A$1:$G$14,3,FALSE))</f>
        <v>Lobostemon decorus</v>
      </c>
      <c r="D1556" s="6" t="str">
        <f>IF(ISBLANK(A1556),"",VLOOKUP($A1556,'Data Feed (20C)'!$A$1:$G$14,4,FALSE))</f>
        <v>20C</v>
      </c>
      <c r="E1556" s="6">
        <f>IF(ISBLANK(A1556),"",VLOOKUP($A1556,'Data Feed (20C)'!$A$1:$G$14,7,FALSE))</f>
        <v>1</v>
      </c>
      <c r="F1556" s="7">
        <v>45916.490277777775</v>
      </c>
      <c r="G1556" s="8">
        <v>3.825</v>
      </c>
    </row>
    <row r="1557">
      <c r="A1557" s="9" t="str">
        <f t="shared" ref="A1557:A1561" si="1815">A1556</f>
        <v>LOBDEC</v>
      </c>
      <c r="B1557" s="9" t="str">
        <f>IF(ISBLANK(A1556),"",LEFT(B1556,27)&amp;VALUE(RIGHT(B1556,1)+1))</f>
        <v>DKF250911LOBDEC_20C_sample_2</v>
      </c>
      <c r="C1557" s="6" t="str">
        <f t="shared" ref="C1557:D1557" si="1814">C1556</f>
        <v>Lobostemon decorus</v>
      </c>
      <c r="D1557" s="6" t="str">
        <f t="shared" si="1814"/>
        <v>20C</v>
      </c>
      <c r="E1557" s="10">
        <f>IF(ISBLANK(A1556),"",E1556+1)</f>
        <v>2</v>
      </c>
      <c r="F1557" s="11">
        <f t="shared" ref="F1557:F1561" si="1817">F1556</f>
        <v>45916.49028</v>
      </c>
      <c r="G1557" s="8">
        <v>3.748</v>
      </c>
    </row>
    <row r="1558">
      <c r="A1558" s="9" t="str">
        <f t="shared" si="1815"/>
        <v>LOBDEC</v>
      </c>
      <c r="B1558" s="9" t="str">
        <f>IF(ISBLANK(A1556),"",LEFT(B1557,27)&amp;VALUE(RIGHT(B1557,1)+1))</f>
        <v>DKF250911LOBDEC_20C_sample_3</v>
      </c>
      <c r="C1558" s="6" t="str">
        <f t="shared" ref="C1558:D1558" si="1816">C1557</f>
        <v>Lobostemon decorus</v>
      </c>
      <c r="D1558" s="6" t="str">
        <f t="shared" si="1816"/>
        <v>20C</v>
      </c>
      <c r="E1558" s="10">
        <f>IF(ISBLANK(A1556),"",E1557+1)</f>
        <v>3</v>
      </c>
      <c r="F1558" s="11">
        <f t="shared" si="1817"/>
        <v>45916.49028</v>
      </c>
      <c r="G1558" s="8">
        <v>4.795</v>
      </c>
    </row>
    <row r="1559">
      <c r="A1559" s="9" t="str">
        <f t="shared" si="1815"/>
        <v>LOBDEC</v>
      </c>
      <c r="B1559" s="9" t="str">
        <f>IF(ISBLANK(A1556),"",LEFT(B1558,27)&amp;VALUE(RIGHT(B1558,1)+1))</f>
        <v>DKF250911LOBDEC_20C_sample_4</v>
      </c>
      <c r="C1559" s="6" t="str">
        <f t="shared" ref="C1559:D1559" si="1818">C1558</f>
        <v>Lobostemon decorus</v>
      </c>
      <c r="D1559" s="6" t="str">
        <f t="shared" si="1818"/>
        <v>20C</v>
      </c>
      <c r="E1559" s="10">
        <f>IF(ISBLANK(A1556),"",E1558+1)</f>
        <v>4</v>
      </c>
      <c r="F1559" s="11">
        <f t="shared" si="1817"/>
        <v>45916.49028</v>
      </c>
      <c r="G1559" s="8">
        <v>3.292</v>
      </c>
    </row>
    <row r="1560">
      <c r="A1560" s="9" t="str">
        <f t="shared" si="1815"/>
        <v>LOBDEC</v>
      </c>
      <c r="B1560" s="9" t="str">
        <f>IF(ISBLANK(A1556),"",LEFT(B1559,27)&amp;VALUE(RIGHT(B1559,1)+1))</f>
        <v>DKF250911LOBDEC_20C_sample_5</v>
      </c>
      <c r="C1560" s="6" t="str">
        <f t="shared" ref="C1560:D1560" si="1819">C1559</f>
        <v>Lobostemon decorus</v>
      </c>
      <c r="D1560" s="6" t="str">
        <f t="shared" si="1819"/>
        <v>20C</v>
      </c>
      <c r="E1560" s="10">
        <f>IF(ISBLANK(A1556),"",E1559+1)</f>
        <v>5</v>
      </c>
      <c r="F1560" s="11">
        <f t="shared" si="1817"/>
        <v>45916.49028</v>
      </c>
      <c r="G1560" s="8">
        <v>1.931</v>
      </c>
    </row>
    <row r="1561">
      <c r="A1561" s="12" t="str">
        <f t="shared" si="1815"/>
        <v>LOBDEC</v>
      </c>
      <c r="B1561" s="12" t="str">
        <f>IF(ISBLANK(A1556),"",LEFT(B1560,27)&amp;VALUE(RIGHT(B1560,1)+1))</f>
        <v>DKF250911LOBDEC_20C_sample_6</v>
      </c>
      <c r="C1561" s="13" t="str">
        <f t="shared" ref="C1561:D1561" si="1820">C1560</f>
        <v>Lobostemon decorus</v>
      </c>
      <c r="D1561" s="13" t="str">
        <f t="shared" si="1820"/>
        <v>20C</v>
      </c>
      <c r="E1561" s="14">
        <f>IF(ISBLANK(A1556),"",E1560+1)</f>
        <v>6</v>
      </c>
      <c r="F1561" s="15">
        <f t="shared" si="1817"/>
        <v>45916.49028</v>
      </c>
      <c r="G1561" s="16">
        <v>1.78</v>
      </c>
    </row>
    <row r="1562">
      <c r="A1562" s="5" t="s">
        <v>16</v>
      </c>
      <c r="B1562" s="6" t="str">
        <f>IF(ISBLANK(A1562),"",VLOOKUP($A1562,'Data Feed (20C)'!$A$1:$G$14,2,FALSE))</f>
        <v>DKR250911MICPOL_20C_sample_1</v>
      </c>
      <c r="C1562" s="6" t="str">
        <f>IF(ISBLANK(A1562),"",VLOOKUP($A1562,'Data Feed (20C)'!$A$1:$G$14,3,FALSE))</f>
        <v>Microdon polygaloides</v>
      </c>
      <c r="D1562" s="6" t="str">
        <f>IF(ISBLANK(A1562),"",VLOOKUP($A1562,'Data Feed (20C)'!$A$1:$G$14,4,FALSE))</f>
        <v>20C</v>
      </c>
      <c r="E1562" s="6">
        <f>IF(ISBLANK(A1562),"",VLOOKUP($A1562,'Data Feed (20C)'!$A$1:$G$14,7,FALSE))</f>
        <v>1</v>
      </c>
      <c r="F1562" s="7">
        <v>45916.49166666667</v>
      </c>
      <c r="G1562" s="8">
        <v>0.852</v>
      </c>
    </row>
    <row r="1563">
      <c r="A1563" s="9" t="str">
        <f t="shared" ref="A1563:A1567" si="1822">A1562</f>
        <v>MICPOL</v>
      </c>
      <c r="B1563" s="9" t="str">
        <f>IF(ISBLANK(A1562),"",LEFT(B1562,27)&amp;VALUE(RIGHT(B1562,1)+1))</f>
        <v>DKR250911MICPOL_20C_sample_2</v>
      </c>
      <c r="C1563" s="6" t="str">
        <f t="shared" ref="C1563:D1563" si="1821">C1562</f>
        <v>Microdon polygaloides</v>
      </c>
      <c r="D1563" s="6" t="str">
        <f t="shared" si="1821"/>
        <v>20C</v>
      </c>
      <c r="E1563" s="10">
        <f>IF(ISBLANK(A1562),"",E1562+1)</f>
        <v>2</v>
      </c>
      <c r="F1563" s="11">
        <f t="shared" ref="F1563:F1567" si="1824">F1562</f>
        <v>45916.49167</v>
      </c>
      <c r="G1563" s="8">
        <v>0.688</v>
      </c>
    </row>
    <row r="1564">
      <c r="A1564" s="9" t="str">
        <f t="shared" si="1822"/>
        <v>MICPOL</v>
      </c>
      <c r="B1564" s="9" t="str">
        <f>IF(ISBLANK(A1562),"",LEFT(B1563,27)&amp;VALUE(RIGHT(B1563,1)+1))</f>
        <v>DKR250911MICPOL_20C_sample_3</v>
      </c>
      <c r="C1564" s="6" t="str">
        <f t="shared" ref="C1564:D1564" si="1823">C1563</f>
        <v>Microdon polygaloides</v>
      </c>
      <c r="D1564" s="6" t="str">
        <f t="shared" si="1823"/>
        <v>20C</v>
      </c>
      <c r="E1564" s="10">
        <f>IF(ISBLANK(A1562),"",E1563+1)</f>
        <v>3</v>
      </c>
      <c r="F1564" s="11">
        <f t="shared" si="1824"/>
        <v>45916.49167</v>
      </c>
      <c r="G1564" s="8"/>
    </row>
    <row r="1565">
      <c r="A1565" s="9" t="str">
        <f t="shared" si="1822"/>
        <v>MICPOL</v>
      </c>
      <c r="B1565" s="9" t="str">
        <f>IF(ISBLANK(A1562),"",LEFT(B1564,27)&amp;VALUE(RIGHT(B1564,1)+1))</f>
        <v>DKR250911MICPOL_20C_sample_4</v>
      </c>
      <c r="C1565" s="6" t="str">
        <f t="shared" ref="C1565:D1565" si="1825">C1564</f>
        <v>Microdon polygaloides</v>
      </c>
      <c r="D1565" s="6" t="str">
        <f t="shared" si="1825"/>
        <v>20C</v>
      </c>
      <c r="E1565" s="10">
        <f>IF(ISBLANK(A1562),"",E1564+1)</f>
        <v>4</v>
      </c>
      <c r="F1565" s="11">
        <f t="shared" si="1824"/>
        <v>45916.49167</v>
      </c>
      <c r="G1565" s="8"/>
    </row>
    <row r="1566">
      <c r="A1566" s="9" t="str">
        <f t="shared" si="1822"/>
        <v>MICPOL</v>
      </c>
      <c r="B1566" s="9" t="str">
        <f>IF(ISBLANK(A1562),"",LEFT(B1565,27)&amp;VALUE(RIGHT(B1565,1)+1))</f>
        <v>DKR250911MICPOL_20C_sample_5</v>
      </c>
      <c r="C1566" s="6" t="str">
        <f t="shared" ref="C1566:D1566" si="1826">C1565</f>
        <v>Microdon polygaloides</v>
      </c>
      <c r="D1566" s="6" t="str">
        <f t="shared" si="1826"/>
        <v>20C</v>
      </c>
      <c r="E1566" s="10">
        <f>IF(ISBLANK(A1562),"",E1565+1)</f>
        <v>5</v>
      </c>
      <c r="F1566" s="11">
        <f t="shared" si="1824"/>
        <v>45916.49167</v>
      </c>
      <c r="G1566" s="8"/>
    </row>
    <row r="1567">
      <c r="A1567" s="12" t="str">
        <f t="shared" si="1822"/>
        <v>MICPOL</v>
      </c>
      <c r="B1567" s="12" t="str">
        <f>IF(ISBLANK(A1562),"",LEFT(B1566,27)&amp;VALUE(RIGHT(B1566,1)+1))</f>
        <v>DKR250911MICPOL_20C_sample_6</v>
      </c>
      <c r="C1567" s="13" t="str">
        <f t="shared" ref="C1567:D1567" si="1827">C1566</f>
        <v>Microdon polygaloides</v>
      </c>
      <c r="D1567" s="13" t="str">
        <f t="shared" si="1827"/>
        <v>20C</v>
      </c>
      <c r="E1567" s="14">
        <f>IF(ISBLANK(A1562),"",E1566+1)</f>
        <v>6</v>
      </c>
      <c r="F1567" s="15">
        <f t="shared" si="1824"/>
        <v>45916.49167</v>
      </c>
      <c r="G1567" s="16"/>
    </row>
    <row r="1568">
      <c r="A1568" s="5" t="s">
        <v>7</v>
      </c>
      <c r="B1568" s="6" t="str">
        <f>IF(ISBLANK(A1568),"",VLOOKUP($A1568,'Data Feed (20C)'!$A$1:$G$14,2,FALSE))</f>
        <v>DKR250911PASOBT_20C_sample_1</v>
      </c>
      <c r="C1568" s="6" t="str">
        <f>IF(ISBLANK(A1568),"",VLOOKUP($A1568,'Data Feed (20C)'!$A$1:$G$14,3,FALSE))</f>
        <v>Passerina obtusifolia</v>
      </c>
      <c r="D1568" s="6" t="str">
        <f>IF(ISBLANK(A1568),"",VLOOKUP($A1568,'Data Feed (20C)'!$A$1:$G$14,4,FALSE))</f>
        <v>20C</v>
      </c>
      <c r="E1568" s="6">
        <f>IF(ISBLANK(A1568),"",VLOOKUP($A1568,'Data Feed (20C)'!$A$1:$G$14,7,FALSE))</f>
        <v>1</v>
      </c>
      <c r="F1568" s="7">
        <v>45916.49236111111</v>
      </c>
      <c r="G1568" s="8">
        <v>2.136</v>
      </c>
    </row>
    <row r="1569">
      <c r="A1569" s="9" t="str">
        <f t="shared" ref="A1569:A1573" si="1829">A1568</f>
        <v>PASOBT</v>
      </c>
      <c r="B1569" s="9" t="str">
        <f>IF(ISBLANK(A1568),"",LEFT(B1568,27)&amp;VALUE(RIGHT(B1568,1)+1))</f>
        <v>DKR250911PASOBT_20C_sample_2</v>
      </c>
      <c r="C1569" s="6" t="str">
        <f t="shared" ref="C1569:D1569" si="1828">C1568</f>
        <v>Passerina obtusifolia</v>
      </c>
      <c r="D1569" s="6" t="str">
        <f t="shared" si="1828"/>
        <v>20C</v>
      </c>
      <c r="E1569" s="10">
        <f>IF(ISBLANK(A1568),"",E1568+1)</f>
        <v>2</v>
      </c>
      <c r="F1569" s="11">
        <f t="shared" ref="F1569:F1573" si="1831">F1568</f>
        <v>45916.49236</v>
      </c>
      <c r="G1569" s="8">
        <v>2.807</v>
      </c>
    </row>
    <row r="1570">
      <c r="A1570" s="9" t="str">
        <f t="shared" si="1829"/>
        <v>PASOBT</v>
      </c>
      <c r="B1570" s="9" t="str">
        <f>IF(ISBLANK(A1568),"",LEFT(B1569,27)&amp;VALUE(RIGHT(B1569,1)+1))</f>
        <v>DKR250911PASOBT_20C_sample_3</v>
      </c>
      <c r="C1570" s="6" t="str">
        <f t="shared" ref="C1570:D1570" si="1830">C1569</f>
        <v>Passerina obtusifolia</v>
      </c>
      <c r="D1570" s="6" t="str">
        <f t="shared" si="1830"/>
        <v>20C</v>
      </c>
      <c r="E1570" s="10">
        <f>IF(ISBLANK(A1568),"",E1569+1)</f>
        <v>3</v>
      </c>
      <c r="F1570" s="11">
        <f t="shared" si="1831"/>
        <v>45916.49236</v>
      </c>
      <c r="G1570" s="8"/>
    </row>
    <row r="1571">
      <c r="A1571" s="9" t="str">
        <f t="shared" si="1829"/>
        <v>PASOBT</v>
      </c>
      <c r="B1571" s="9" t="str">
        <f>IF(ISBLANK(A1568),"",LEFT(B1570,27)&amp;VALUE(RIGHT(B1570,1)+1))</f>
        <v>DKR250911PASOBT_20C_sample_4</v>
      </c>
      <c r="C1571" s="6" t="str">
        <f t="shared" ref="C1571:D1571" si="1832">C1570</f>
        <v>Passerina obtusifolia</v>
      </c>
      <c r="D1571" s="6" t="str">
        <f t="shared" si="1832"/>
        <v>20C</v>
      </c>
      <c r="E1571" s="10">
        <f>IF(ISBLANK(A1568),"",E1570+1)</f>
        <v>4</v>
      </c>
      <c r="F1571" s="11">
        <f t="shared" si="1831"/>
        <v>45916.49236</v>
      </c>
      <c r="G1571" s="8"/>
    </row>
    <row r="1572">
      <c r="A1572" s="9" t="str">
        <f t="shared" si="1829"/>
        <v>PASOBT</v>
      </c>
      <c r="B1572" s="9" t="str">
        <f>IF(ISBLANK(A1568),"",LEFT(B1571,27)&amp;VALUE(RIGHT(B1571,1)+1))</f>
        <v>DKR250911PASOBT_20C_sample_5</v>
      </c>
      <c r="C1572" s="6" t="str">
        <f t="shared" ref="C1572:D1572" si="1833">C1571</f>
        <v>Passerina obtusifolia</v>
      </c>
      <c r="D1572" s="6" t="str">
        <f t="shared" si="1833"/>
        <v>20C</v>
      </c>
      <c r="E1572" s="10">
        <f>IF(ISBLANK(A1568),"",E1571+1)</f>
        <v>5</v>
      </c>
      <c r="F1572" s="11">
        <f t="shared" si="1831"/>
        <v>45916.49236</v>
      </c>
      <c r="G1572" s="8"/>
    </row>
    <row r="1573">
      <c r="A1573" s="12" t="str">
        <f t="shared" si="1829"/>
        <v>PASOBT</v>
      </c>
      <c r="B1573" s="12" t="str">
        <f>IF(ISBLANK(A1568),"",LEFT(B1572,27)&amp;VALUE(RIGHT(B1572,1)+1))</f>
        <v>DKR250911PASOBT_20C_sample_6</v>
      </c>
      <c r="C1573" s="13" t="str">
        <f t="shared" ref="C1573:D1573" si="1834">C1572</f>
        <v>Passerina obtusifolia</v>
      </c>
      <c r="D1573" s="13" t="str">
        <f t="shared" si="1834"/>
        <v>20C</v>
      </c>
      <c r="E1573" s="14">
        <f>IF(ISBLANK(A1568),"",E1572+1)</f>
        <v>6</v>
      </c>
      <c r="F1573" s="15">
        <f t="shared" si="1831"/>
        <v>45916.49236</v>
      </c>
      <c r="G1573" s="16"/>
    </row>
    <row r="1574">
      <c r="A1574" s="5" t="s">
        <v>9</v>
      </c>
      <c r="B1574" s="6" t="str">
        <f>IF(ISBLANK(A1574),"",VLOOKUP($A1574,'Data Feed (20C)'!$A$1:$G$14,2,FALSE))</f>
        <v>DKR250911PROLAU_20C_sample_1</v>
      </c>
      <c r="C1574" s="6" t="str">
        <f>IF(ISBLANK(A1574),"",VLOOKUP($A1574,'Data Feed (20C)'!$A$1:$G$14,3,FALSE))</f>
        <v>Protea laurifolia</v>
      </c>
      <c r="D1574" s="6" t="str">
        <f>IF(ISBLANK(A1574),"",VLOOKUP($A1574,'Data Feed (20C)'!$A$1:$G$14,4,FALSE))</f>
        <v>20C</v>
      </c>
      <c r="E1574" s="6">
        <f>IF(ISBLANK(A1574),"",VLOOKUP($A1574,'Data Feed (20C)'!$A$1:$G$14,7,FALSE))</f>
        <v>1</v>
      </c>
      <c r="F1574" s="7">
        <v>45916.493055555555</v>
      </c>
      <c r="G1574" s="8">
        <v>0.896</v>
      </c>
    </row>
    <row r="1575">
      <c r="A1575" s="9" t="str">
        <f t="shared" ref="A1575:A1579" si="1836">A1574</f>
        <v>PROLAU</v>
      </c>
      <c r="B1575" s="9" t="str">
        <f>IF(ISBLANK(A1574),"",LEFT(B1574,27)&amp;VALUE(RIGHT(B1574,1)+1))</f>
        <v>DKR250911PROLAU_20C_sample_2</v>
      </c>
      <c r="C1575" s="6" t="str">
        <f t="shared" ref="C1575:D1575" si="1835">C1574</f>
        <v>Protea laurifolia</v>
      </c>
      <c r="D1575" s="6" t="str">
        <f t="shared" si="1835"/>
        <v>20C</v>
      </c>
      <c r="E1575" s="10">
        <f>IF(ISBLANK(A1574),"",E1574+1)</f>
        <v>2</v>
      </c>
      <c r="F1575" s="11">
        <f t="shared" ref="F1575:F1579" si="1838">F1574</f>
        <v>45916.49306</v>
      </c>
      <c r="G1575" s="8">
        <v>0.667</v>
      </c>
    </row>
    <row r="1576">
      <c r="A1576" s="9" t="str">
        <f t="shared" si="1836"/>
        <v>PROLAU</v>
      </c>
      <c r="B1576" s="9" t="str">
        <f>IF(ISBLANK(A1574),"",LEFT(B1575,27)&amp;VALUE(RIGHT(B1575,1)+1))</f>
        <v>DKR250911PROLAU_20C_sample_3</v>
      </c>
      <c r="C1576" s="6" t="str">
        <f t="shared" ref="C1576:D1576" si="1837">C1575</f>
        <v>Protea laurifolia</v>
      </c>
      <c r="D1576" s="6" t="str">
        <f t="shared" si="1837"/>
        <v>20C</v>
      </c>
      <c r="E1576" s="10">
        <f>IF(ISBLANK(A1574),"",E1575+1)</f>
        <v>3</v>
      </c>
      <c r="F1576" s="11">
        <f t="shared" si="1838"/>
        <v>45916.49306</v>
      </c>
      <c r="G1576" s="8">
        <v>1.002</v>
      </c>
    </row>
    <row r="1577">
      <c r="A1577" s="9" t="str">
        <f t="shared" si="1836"/>
        <v>PROLAU</v>
      </c>
      <c r="B1577" s="9" t="str">
        <f>IF(ISBLANK(A1574),"",LEFT(B1576,27)&amp;VALUE(RIGHT(B1576,1)+1))</f>
        <v>DKR250911PROLAU_20C_sample_4</v>
      </c>
      <c r="C1577" s="6" t="str">
        <f t="shared" ref="C1577:D1577" si="1839">C1576</f>
        <v>Protea laurifolia</v>
      </c>
      <c r="D1577" s="6" t="str">
        <f t="shared" si="1839"/>
        <v>20C</v>
      </c>
      <c r="E1577" s="10">
        <f>IF(ISBLANK(A1574),"",E1576+1)</f>
        <v>4</v>
      </c>
      <c r="F1577" s="11">
        <f t="shared" si="1838"/>
        <v>45916.49306</v>
      </c>
      <c r="G1577" s="8">
        <v>0.487</v>
      </c>
    </row>
    <row r="1578">
      <c r="A1578" s="9" t="str">
        <f t="shared" si="1836"/>
        <v>PROLAU</v>
      </c>
      <c r="B1578" s="9" t="str">
        <f>IF(ISBLANK(A1574),"",LEFT(B1577,27)&amp;VALUE(RIGHT(B1577,1)+1))</f>
        <v>DKR250911PROLAU_20C_sample_5</v>
      </c>
      <c r="C1578" s="6" t="str">
        <f t="shared" ref="C1578:D1578" si="1840">C1577</f>
        <v>Protea laurifolia</v>
      </c>
      <c r="D1578" s="6" t="str">
        <f t="shared" si="1840"/>
        <v>20C</v>
      </c>
      <c r="E1578" s="10">
        <f>IF(ISBLANK(A1574),"",E1577+1)</f>
        <v>5</v>
      </c>
      <c r="F1578" s="11">
        <f t="shared" si="1838"/>
        <v>45916.49306</v>
      </c>
      <c r="G1578" s="8">
        <v>0.83</v>
      </c>
    </row>
    <row r="1579">
      <c r="A1579" s="12" t="str">
        <f t="shared" si="1836"/>
        <v>PROLAU</v>
      </c>
      <c r="B1579" s="12" t="str">
        <f>IF(ISBLANK(A1574),"",LEFT(B1578,27)&amp;VALUE(RIGHT(B1578,1)+1))</f>
        <v>DKR250911PROLAU_20C_sample_6</v>
      </c>
      <c r="C1579" s="13" t="str">
        <f t="shared" ref="C1579:D1579" si="1841">C1578</f>
        <v>Protea laurifolia</v>
      </c>
      <c r="D1579" s="13" t="str">
        <f t="shared" si="1841"/>
        <v>20C</v>
      </c>
      <c r="E1579" s="14">
        <f>IF(ISBLANK(A1574),"",E1578+1)</f>
        <v>6</v>
      </c>
      <c r="F1579" s="15">
        <f t="shared" si="1838"/>
        <v>45916.49306</v>
      </c>
      <c r="G1579" s="16">
        <v>0.76</v>
      </c>
    </row>
    <row r="1580">
      <c r="A1580" s="5" t="s">
        <v>8</v>
      </c>
      <c r="B1580" s="6" t="str">
        <f>IF(ISBLANK(A1580),"",VLOOKUP($A1580,'Data Feed (20C)'!$A$1:$G$14,2,FALSE))</f>
        <v>DKF250911PROLOR_20C_sample_1</v>
      </c>
      <c r="C1580" s="6" t="str">
        <f>IF(ISBLANK(A1580),"",VLOOKUP($A1580,'Data Feed (20C)'!$A$1:$G$14,3,FALSE))</f>
        <v>Protea lorifolia</v>
      </c>
      <c r="D1580" s="6" t="str">
        <f>IF(ISBLANK(A1580),"",VLOOKUP($A1580,'Data Feed (20C)'!$A$1:$G$14,4,FALSE))</f>
        <v>20C</v>
      </c>
      <c r="E1580" s="6">
        <f>IF(ISBLANK(A1580),"",VLOOKUP($A1580,'Data Feed (20C)'!$A$1:$G$14,7,FALSE))</f>
        <v>1</v>
      </c>
      <c r="F1580" s="7">
        <v>45916.49375</v>
      </c>
      <c r="G1580" s="8">
        <v>2.593</v>
      </c>
    </row>
    <row r="1581">
      <c r="A1581" s="9" t="str">
        <f t="shared" ref="A1581:A1585" si="1843">A1580</f>
        <v>PROLOR</v>
      </c>
      <c r="B1581" s="9" t="str">
        <f>IF(ISBLANK(A1580),"",LEFT(B1580,27)&amp;VALUE(RIGHT(B1580,1)+1))</f>
        <v>DKF250911PROLOR_20C_sample_2</v>
      </c>
      <c r="C1581" s="6" t="str">
        <f t="shared" ref="C1581:D1581" si="1842">C1580</f>
        <v>Protea lorifolia</v>
      </c>
      <c r="D1581" s="6" t="str">
        <f t="shared" si="1842"/>
        <v>20C</v>
      </c>
      <c r="E1581" s="10">
        <f>IF(ISBLANK(A1580),"",E1580+1)</f>
        <v>2</v>
      </c>
      <c r="F1581" s="11">
        <f t="shared" ref="F1581:F1585" si="1845">F1580</f>
        <v>45916.49375</v>
      </c>
      <c r="G1581" s="8">
        <v>1.866</v>
      </c>
    </row>
    <row r="1582">
      <c r="A1582" s="9" t="str">
        <f t="shared" si="1843"/>
        <v>PROLOR</v>
      </c>
      <c r="B1582" s="9" t="str">
        <f>IF(ISBLANK(A1580),"",LEFT(B1581,27)&amp;VALUE(RIGHT(B1581,1)+1))</f>
        <v>DKF250911PROLOR_20C_sample_3</v>
      </c>
      <c r="C1582" s="6" t="str">
        <f t="shared" ref="C1582:D1582" si="1844">C1581</f>
        <v>Protea lorifolia</v>
      </c>
      <c r="D1582" s="6" t="str">
        <f t="shared" si="1844"/>
        <v>20C</v>
      </c>
      <c r="E1582" s="10">
        <f>IF(ISBLANK(A1580),"",E1581+1)</f>
        <v>3</v>
      </c>
      <c r="F1582" s="11">
        <f t="shared" si="1845"/>
        <v>45916.49375</v>
      </c>
      <c r="G1582" s="8">
        <v>2.78</v>
      </c>
    </row>
    <row r="1583">
      <c r="A1583" s="9" t="str">
        <f t="shared" si="1843"/>
        <v>PROLOR</v>
      </c>
      <c r="B1583" s="9" t="str">
        <f>IF(ISBLANK(A1580),"",LEFT(B1582,27)&amp;VALUE(RIGHT(B1582,1)+1))</f>
        <v>DKF250911PROLOR_20C_sample_4</v>
      </c>
      <c r="C1583" s="6" t="str">
        <f t="shared" ref="C1583:D1583" si="1846">C1582</f>
        <v>Protea lorifolia</v>
      </c>
      <c r="D1583" s="6" t="str">
        <f t="shared" si="1846"/>
        <v>20C</v>
      </c>
      <c r="E1583" s="10">
        <f>IF(ISBLANK(A1580),"",E1582+1)</f>
        <v>4</v>
      </c>
      <c r="F1583" s="11">
        <f t="shared" si="1845"/>
        <v>45916.49375</v>
      </c>
      <c r="G1583" s="8">
        <v>2.592</v>
      </c>
    </row>
    <row r="1584">
      <c r="A1584" s="9" t="str">
        <f t="shared" si="1843"/>
        <v>PROLOR</v>
      </c>
      <c r="B1584" s="9" t="str">
        <f>IF(ISBLANK(A1580),"",LEFT(B1583,27)&amp;VALUE(RIGHT(B1583,1)+1))</f>
        <v>DKF250911PROLOR_20C_sample_5</v>
      </c>
      <c r="C1584" s="6" t="str">
        <f t="shared" ref="C1584:D1584" si="1847">C1583</f>
        <v>Protea lorifolia</v>
      </c>
      <c r="D1584" s="6" t="str">
        <f t="shared" si="1847"/>
        <v>20C</v>
      </c>
      <c r="E1584" s="10">
        <f>IF(ISBLANK(A1580),"",E1583+1)</f>
        <v>5</v>
      </c>
      <c r="F1584" s="11">
        <f t="shared" si="1845"/>
        <v>45916.49375</v>
      </c>
      <c r="G1584" s="8">
        <v>4.499</v>
      </c>
    </row>
    <row r="1585">
      <c r="A1585" s="12" t="str">
        <f t="shared" si="1843"/>
        <v>PROLOR</v>
      </c>
      <c r="B1585" s="12" t="str">
        <f>IF(ISBLANK(A1580),"",LEFT(B1584,27)&amp;VALUE(RIGHT(B1584,1)+1))</f>
        <v>DKF250911PROLOR_20C_sample_6</v>
      </c>
      <c r="C1585" s="13" t="str">
        <f t="shared" ref="C1585:D1585" si="1848">C1584</f>
        <v>Protea lorifolia</v>
      </c>
      <c r="D1585" s="13" t="str">
        <f t="shared" si="1848"/>
        <v>20C</v>
      </c>
      <c r="E1585" s="14">
        <f>IF(ISBLANK(A1580),"",E1584+1)</f>
        <v>6</v>
      </c>
      <c r="F1585" s="15">
        <f t="shared" si="1845"/>
        <v>45916.49375</v>
      </c>
      <c r="G1585" s="16">
        <v>4.176</v>
      </c>
    </row>
    <row r="1586">
      <c r="A1586" s="5" t="s">
        <v>13</v>
      </c>
      <c r="B1586" s="6" t="str">
        <f>IF(ISBLANK(A1586),"",VLOOKUP($A1586,'Data Feed (20C)'!$A$1:$G$14,2,FALSE))</f>
        <v>DKR250911RUSMUL_20C_sample_1</v>
      </c>
      <c r="C1586" s="6" t="str">
        <f>IF(ISBLANK(A1586),"",VLOOKUP($A1586,'Data Feed (20C)'!$A$1:$G$14,3,FALSE))</f>
        <v>Ruschia multiflora</v>
      </c>
      <c r="D1586" s="6" t="str">
        <f>IF(ISBLANK(A1586),"",VLOOKUP($A1586,'Data Feed (20C)'!$A$1:$G$14,4,FALSE))</f>
        <v>20C</v>
      </c>
      <c r="E1586" s="6">
        <f>IF(ISBLANK(A1586),"",VLOOKUP($A1586,'Data Feed (20C)'!$A$1:$G$14,7,FALSE))</f>
        <v>1</v>
      </c>
      <c r="F1586" s="7">
        <v>45916.49513888889</v>
      </c>
      <c r="G1586" s="8">
        <v>2.77</v>
      </c>
    </row>
    <row r="1587">
      <c r="A1587" s="9" t="str">
        <f t="shared" ref="A1587:A1591" si="1850">A1586</f>
        <v>RUSMUL</v>
      </c>
      <c r="B1587" s="9" t="str">
        <f>IF(ISBLANK(A1586),"",LEFT(B1586,27)&amp;VALUE(RIGHT(B1586,1)+1))</f>
        <v>DKR250911RUSMUL_20C_sample_2</v>
      </c>
      <c r="C1587" s="6" t="str">
        <f t="shared" ref="C1587:D1587" si="1849">C1586</f>
        <v>Ruschia multiflora</v>
      </c>
      <c r="D1587" s="6" t="str">
        <f t="shared" si="1849"/>
        <v>20C</v>
      </c>
      <c r="E1587" s="10">
        <f>IF(ISBLANK(A1586),"",E1586+1)</f>
        <v>2</v>
      </c>
      <c r="F1587" s="11">
        <f t="shared" ref="F1587:F1591" si="1852">F1586</f>
        <v>45916.49514</v>
      </c>
      <c r="G1587" s="8">
        <v>2.995</v>
      </c>
    </row>
    <row r="1588">
      <c r="A1588" s="9" t="str">
        <f t="shared" si="1850"/>
        <v>RUSMUL</v>
      </c>
      <c r="B1588" s="9" t="str">
        <f>IF(ISBLANK(A1586),"",LEFT(B1587,27)&amp;VALUE(RIGHT(B1587,1)+1))</f>
        <v>DKR250911RUSMUL_20C_sample_3</v>
      </c>
      <c r="C1588" s="6" t="str">
        <f t="shared" ref="C1588:D1588" si="1851">C1587</f>
        <v>Ruschia multiflora</v>
      </c>
      <c r="D1588" s="6" t="str">
        <f t="shared" si="1851"/>
        <v>20C</v>
      </c>
      <c r="E1588" s="10">
        <f>IF(ISBLANK(A1586),"",E1587+1)</f>
        <v>3</v>
      </c>
      <c r="F1588" s="11">
        <f t="shared" si="1852"/>
        <v>45916.49514</v>
      </c>
      <c r="G1588" s="8">
        <v>6.683</v>
      </c>
    </row>
    <row r="1589">
      <c r="A1589" s="9" t="str">
        <f t="shared" si="1850"/>
        <v>RUSMUL</v>
      </c>
      <c r="B1589" s="9" t="str">
        <f>IF(ISBLANK(A1586),"",LEFT(B1588,27)&amp;VALUE(RIGHT(B1588,1)+1))</f>
        <v>DKR250911RUSMUL_20C_sample_4</v>
      </c>
      <c r="C1589" s="6" t="str">
        <f t="shared" ref="C1589:D1589" si="1853">C1588</f>
        <v>Ruschia multiflora</v>
      </c>
      <c r="D1589" s="6" t="str">
        <f t="shared" si="1853"/>
        <v>20C</v>
      </c>
      <c r="E1589" s="10">
        <f>IF(ISBLANK(A1586),"",E1588+1)</f>
        <v>4</v>
      </c>
      <c r="F1589" s="11">
        <f t="shared" si="1852"/>
        <v>45916.49514</v>
      </c>
      <c r="G1589" s="8">
        <v>3.411</v>
      </c>
    </row>
    <row r="1590">
      <c r="A1590" s="9" t="str">
        <f t="shared" si="1850"/>
        <v>RUSMUL</v>
      </c>
      <c r="B1590" s="9" t="str">
        <f>IF(ISBLANK(A1586),"",LEFT(B1589,27)&amp;VALUE(RIGHT(B1589,1)+1))</f>
        <v>DKR250911RUSMUL_20C_sample_5</v>
      </c>
      <c r="C1590" s="6" t="str">
        <f t="shared" ref="C1590:D1590" si="1854">C1589</f>
        <v>Ruschia multiflora</v>
      </c>
      <c r="D1590" s="6" t="str">
        <f t="shared" si="1854"/>
        <v>20C</v>
      </c>
      <c r="E1590" s="10">
        <f>IF(ISBLANK(A1586),"",E1589+1)</f>
        <v>5</v>
      </c>
      <c r="F1590" s="11">
        <f t="shared" si="1852"/>
        <v>45916.49514</v>
      </c>
      <c r="G1590" s="8">
        <v>3.072</v>
      </c>
    </row>
    <row r="1591">
      <c r="A1591" s="12" t="str">
        <f t="shared" si="1850"/>
        <v>RUSMUL</v>
      </c>
      <c r="B1591" s="12" t="str">
        <f>IF(ISBLANK(A1586),"",LEFT(B1590,27)&amp;VALUE(RIGHT(B1590,1)+1))</f>
        <v>DKR250911RUSMUL_20C_sample_6</v>
      </c>
      <c r="C1591" s="13" t="str">
        <f t="shared" ref="C1591:D1591" si="1855">C1590</f>
        <v>Ruschia multiflora</v>
      </c>
      <c r="D1591" s="13" t="str">
        <f t="shared" si="1855"/>
        <v>20C</v>
      </c>
      <c r="E1591" s="14">
        <f>IF(ISBLANK(A1586),"",E1590+1)</f>
        <v>6</v>
      </c>
      <c r="F1591" s="15">
        <f t="shared" si="1852"/>
        <v>45916.49514</v>
      </c>
      <c r="G1591" s="16">
        <v>2.639</v>
      </c>
    </row>
    <row r="1592">
      <c r="A1592" s="5" t="s">
        <v>11</v>
      </c>
      <c r="B1592" s="6" t="str">
        <f>IF(ISBLANK(A1592),"",VLOOKUP($A1592,'Data Feed (20C)'!$A$1:$G$14,2,FALSE))</f>
        <v>DKF250911SELDOL_20C_sample_1</v>
      </c>
      <c r="C1592" s="6" t="str">
        <f>IF(ISBLANK(A1592),"",VLOOKUP($A1592,'Data Feed (20C)'!$A$1:$G$14,3,FALSE))</f>
        <v>Selago dolosa</v>
      </c>
      <c r="D1592" s="6" t="str">
        <f>IF(ISBLANK(A1592),"",VLOOKUP($A1592,'Data Feed (20C)'!$A$1:$G$14,4,FALSE))</f>
        <v>20C</v>
      </c>
      <c r="E1592" s="6">
        <f>IF(ISBLANK(A1592),"",VLOOKUP($A1592,'Data Feed (20C)'!$A$1:$G$14,7,FALSE))</f>
        <v>1</v>
      </c>
      <c r="F1592" s="7">
        <v>45916.49652777778</v>
      </c>
      <c r="G1592" s="8">
        <v>0.862</v>
      </c>
    </row>
    <row r="1593">
      <c r="A1593" s="9" t="str">
        <f t="shared" ref="A1593:A1597" si="1857">A1592</f>
        <v>SELDOL</v>
      </c>
      <c r="B1593" s="9" t="str">
        <f>IF(ISBLANK(A1592),"",LEFT(B1592,27)&amp;VALUE(RIGHT(B1592,1)+1))</f>
        <v>DKF250911SELDOL_20C_sample_2</v>
      </c>
      <c r="C1593" s="6" t="str">
        <f t="shared" ref="C1593:D1593" si="1856">C1592</f>
        <v>Selago dolosa</v>
      </c>
      <c r="D1593" s="6" t="str">
        <f t="shared" si="1856"/>
        <v>20C</v>
      </c>
      <c r="E1593" s="10">
        <f>IF(ISBLANK(A1592),"",E1592+1)</f>
        <v>2</v>
      </c>
      <c r="F1593" s="11">
        <f t="shared" ref="F1593:F1597" si="1859">F1592</f>
        <v>45916.49653</v>
      </c>
      <c r="G1593" s="8">
        <v>1.322</v>
      </c>
    </row>
    <row r="1594">
      <c r="A1594" s="9" t="str">
        <f t="shared" si="1857"/>
        <v>SELDOL</v>
      </c>
      <c r="B1594" s="9" t="str">
        <f>IF(ISBLANK(A1592),"",LEFT(B1593,27)&amp;VALUE(RIGHT(B1593,1)+1))</f>
        <v>DKF250911SELDOL_20C_sample_3</v>
      </c>
      <c r="C1594" s="6" t="str">
        <f t="shared" ref="C1594:D1594" si="1858">C1593</f>
        <v>Selago dolosa</v>
      </c>
      <c r="D1594" s="6" t="str">
        <f t="shared" si="1858"/>
        <v>20C</v>
      </c>
      <c r="E1594" s="10">
        <f>IF(ISBLANK(A1592),"",E1593+1)</f>
        <v>3</v>
      </c>
      <c r="F1594" s="11">
        <f t="shared" si="1859"/>
        <v>45916.49653</v>
      </c>
      <c r="G1594" s="8">
        <v>1.185</v>
      </c>
    </row>
    <row r="1595">
      <c r="A1595" s="9" t="str">
        <f t="shared" si="1857"/>
        <v>SELDOL</v>
      </c>
      <c r="B1595" s="9" t="str">
        <f>IF(ISBLANK(A1592),"",LEFT(B1594,27)&amp;VALUE(RIGHT(B1594,1)+1))</f>
        <v>DKF250911SELDOL_20C_sample_4</v>
      </c>
      <c r="C1595" s="6" t="str">
        <f t="shared" ref="C1595:D1595" si="1860">C1594</f>
        <v>Selago dolosa</v>
      </c>
      <c r="D1595" s="6" t="str">
        <f t="shared" si="1860"/>
        <v>20C</v>
      </c>
      <c r="E1595" s="10">
        <f>IF(ISBLANK(A1592),"",E1594+1)</f>
        <v>4</v>
      </c>
      <c r="F1595" s="11">
        <f t="shared" si="1859"/>
        <v>45916.49653</v>
      </c>
      <c r="G1595" s="8">
        <v>1.302</v>
      </c>
    </row>
    <row r="1596">
      <c r="A1596" s="9" t="str">
        <f t="shared" si="1857"/>
        <v>SELDOL</v>
      </c>
      <c r="B1596" s="9" t="str">
        <f>IF(ISBLANK(A1592),"",LEFT(B1595,27)&amp;VALUE(RIGHT(B1595,1)+1))</f>
        <v>DKF250911SELDOL_20C_sample_5</v>
      </c>
      <c r="C1596" s="6" t="str">
        <f t="shared" ref="C1596:D1596" si="1861">C1595</f>
        <v>Selago dolosa</v>
      </c>
      <c r="D1596" s="6" t="str">
        <f t="shared" si="1861"/>
        <v>20C</v>
      </c>
      <c r="E1596" s="10">
        <f>IF(ISBLANK(A1592),"",E1595+1)</f>
        <v>5</v>
      </c>
      <c r="F1596" s="11">
        <f t="shared" si="1859"/>
        <v>45916.49653</v>
      </c>
      <c r="G1596" s="8"/>
    </row>
    <row r="1597">
      <c r="A1597" s="12" t="str">
        <f t="shared" si="1857"/>
        <v>SELDOL</v>
      </c>
      <c r="B1597" s="12" t="str">
        <f>IF(ISBLANK(A1592),"",LEFT(B1596,27)&amp;VALUE(RIGHT(B1596,1)+1))</f>
        <v>DKF250911SELDOL_20C_sample_6</v>
      </c>
      <c r="C1597" s="13" t="str">
        <f t="shared" ref="C1597:D1597" si="1862">C1596</f>
        <v>Selago dolosa</v>
      </c>
      <c r="D1597" s="13" t="str">
        <f t="shared" si="1862"/>
        <v>20C</v>
      </c>
      <c r="E1597" s="14">
        <f>IF(ISBLANK(A1592),"",E1596+1)</f>
        <v>6</v>
      </c>
      <c r="F1597" s="15">
        <f t="shared" si="1859"/>
        <v>45916.49653</v>
      </c>
      <c r="G1597" s="16">
        <v>0.748</v>
      </c>
    </row>
    <row r="1598">
      <c r="A1598" s="5" t="s">
        <v>14</v>
      </c>
      <c r="B1598" s="6" t="str">
        <f>IF(ISBLANK(A1598),"",VLOOKUP($A1598,'Data Feed (20C)'!$A$1:$G$14,2,FALSE))</f>
        <v>DKF250911ASPSHA_20C_sample_1</v>
      </c>
      <c r="C1598" s="6" t="str">
        <f>IF(ISBLANK(A1598),"",VLOOKUP($A1598,'Data Feed (20C)'!$A$1:$G$14,3,FALSE))</f>
        <v>Aspalathus shawii</v>
      </c>
      <c r="D1598" s="6" t="str">
        <f>IF(ISBLANK(A1598),"",VLOOKUP($A1598,'Data Feed (20C)'!$A$1:$G$14,4,FALSE))</f>
        <v>20C</v>
      </c>
      <c r="E1598" s="6">
        <f>IF(ISBLANK(A1598),"",VLOOKUP($A1598,'Data Feed (20C)'!$A$1:$G$14,7,FALSE))</f>
        <v>1</v>
      </c>
      <c r="F1598" s="7">
        <v>45916.71597222222</v>
      </c>
      <c r="G1598" s="8">
        <v>10.327</v>
      </c>
    </row>
    <row r="1599">
      <c r="A1599" s="9" t="str">
        <f t="shared" ref="A1599:A1603" si="1864">A1598</f>
        <v>ASPSHA</v>
      </c>
      <c r="B1599" s="9" t="str">
        <f>IF(ISBLANK(A1598),"",LEFT(B1598,27)&amp;VALUE(RIGHT(B1598,1)+1))</f>
        <v>DKF250911ASPSHA_20C_sample_2</v>
      </c>
      <c r="C1599" s="6" t="str">
        <f t="shared" ref="C1599:D1599" si="1863">C1598</f>
        <v>Aspalathus shawii</v>
      </c>
      <c r="D1599" s="6" t="str">
        <f t="shared" si="1863"/>
        <v>20C</v>
      </c>
      <c r="E1599" s="10">
        <f>IF(ISBLANK(A1598),"",E1598+1)</f>
        <v>2</v>
      </c>
      <c r="F1599" s="11">
        <f t="shared" ref="F1599:F1603" si="1866">F1598</f>
        <v>45916.71597</v>
      </c>
      <c r="G1599" s="8">
        <v>6.511</v>
      </c>
    </row>
    <row r="1600">
      <c r="A1600" s="9" t="str">
        <f t="shared" si="1864"/>
        <v>ASPSHA</v>
      </c>
      <c r="B1600" s="9" t="str">
        <f>IF(ISBLANK(A1598),"",LEFT(B1599,27)&amp;VALUE(RIGHT(B1599,1)+1))</f>
        <v>DKF250911ASPSHA_20C_sample_3</v>
      </c>
      <c r="C1600" s="6" t="str">
        <f t="shared" ref="C1600:D1600" si="1865">C1599</f>
        <v>Aspalathus shawii</v>
      </c>
      <c r="D1600" s="6" t="str">
        <f t="shared" si="1865"/>
        <v>20C</v>
      </c>
      <c r="E1600" s="10">
        <f>IF(ISBLANK(A1598),"",E1599+1)</f>
        <v>3</v>
      </c>
      <c r="F1600" s="11">
        <f t="shared" si="1866"/>
        <v>45916.71597</v>
      </c>
      <c r="G1600" s="8">
        <v>3.719</v>
      </c>
    </row>
    <row r="1601">
      <c r="A1601" s="9" t="str">
        <f t="shared" si="1864"/>
        <v>ASPSHA</v>
      </c>
      <c r="B1601" s="9" t="str">
        <f>IF(ISBLANK(A1598),"",LEFT(B1600,27)&amp;VALUE(RIGHT(B1600,1)+1))</f>
        <v>DKF250911ASPSHA_20C_sample_4</v>
      </c>
      <c r="C1601" s="6" t="str">
        <f t="shared" ref="C1601:D1601" si="1867">C1600</f>
        <v>Aspalathus shawii</v>
      </c>
      <c r="D1601" s="6" t="str">
        <f t="shared" si="1867"/>
        <v>20C</v>
      </c>
      <c r="E1601" s="10">
        <f>IF(ISBLANK(A1598),"",E1600+1)</f>
        <v>4</v>
      </c>
      <c r="F1601" s="11">
        <f t="shared" si="1866"/>
        <v>45916.71597</v>
      </c>
      <c r="G1601" s="8">
        <v>9.372</v>
      </c>
    </row>
    <row r="1602">
      <c r="A1602" s="9" t="str">
        <f t="shared" si="1864"/>
        <v>ASPSHA</v>
      </c>
      <c r="B1602" s="9" t="str">
        <f>IF(ISBLANK(A1598),"",LEFT(B1601,27)&amp;VALUE(RIGHT(B1601,1)+1))</f>
        <v>DKF250911ASPSHA_20C_sample_5</v>
      </c>
      <c r="C1602" s="6" t="str">
        <f t="shared" ref="C1602:D1602" si="1868">C1601</f>
        <v>Aspalathus shawii</v>
      </c>
      <c r="D1602" s="6" t="str">
        <f t="shared" si="1868"/>
        <v>20C</v>
      </c>
      <c r="E1602" s="10">
        <f>IF(ISBLANK(A1598),"",E1601+1)</f>
        <v>5</v>
      </c>
      <c r="F1602" s="11">
        <f t="shared" si="1866"/>
        <v>45916.71597</v>
      </c>
      <c r="G1602" s="8">
        <v>2.722</v>
      </c>
    </row>
    <row r="1603">
      <c r="A1603" s="12" t="str">
        <f t="shared" si="1864"/>
        <v>ASPSHA</v>
      </c>
      <c r="B1603" s="12" t="str">
        <f>IF(ISBLANK(A1598),"",LEFT(B1602,27)&amp;VALUE(RIGHT(B1602,1)+1))</f>
        <v>DKF250911ASPSHA_20C_sample_6</v>
      </c>
      <c r="C1603" s="13" t="str">
        <f t="shared" ref="C1603:D1603" si="1869">C1602</f>
        <v>Aspalathus shawii</v>
      </c>
      <c r="D1603" s="13" t="str">
        <f t="shared" si="1869"/>
        <v>20C</v>
      </c>
      <c r="E1603" s="14">
        <f>IF(ISBLANK(A1598),"",E1602+1)</f>
        <v>6</v>
      </c>
      <c r="F1603" s="15">
        <f t="shared" si="1866"/>
        <v>45916.71597</v>
      </c>
      <c r="G1603" s="16"/>
    </row>
    <row r="1604">
      <c r="A1604" s="5" t="s">
        <v>15</v>
      </c>
      <c r="B1604" s="6" t="str">
        <f>IF(ISBLANK(A1604),"",VLOOKUP($A1604,'Data Feed (20C)'!$A$1:$G$14,2,FALSE))</f>
        <v>DKR250911ELYRHI_20C_sample_1</v>
      </c>
      <c r="C1604" s="6" t="str">
        <f>IF(ISBLANK(A1604),"",VLOOKUP($A1604,'Data Feed (20C)'!$A$1:$G$14,3,FALSE))</f>
        <v>Elytropappus rhinocerotis</v>
      </c>
      <c r="D1604" s="6" t="str">
        <f>IF(ISBLANK(A1604),"",VLOOKUP($A1604,'Data Feed (20C)'!$A$1:$G$14,4,FALSE))</f>
        <v>20C</v>
      </c>
      <c r="E1604" s="6">
        <f>IF(ISBLANK(A1604),"",VLOOKUP($A1604,'Data Feed (20C)'!$A$1:$G$14,7,FALSE))</f>
        <v>1</v>
      </c>
      <c r="F1604" s="7">
        <v>45916.717361111114</v>
      </c>
      <c r="G1604" s="8">
        <v>2.365</v>
      </c>
    </row>
    <row r="1605">
      <c r="A1605" s="9" t="str">
        <f t="shared" ref="A1605:A1609" si="1871">A1604</f>
        <v>ELYRHI</v>
      </c>
      <c r="B1605" s="9" t="str">
        <f>IF(ISBLANK(A1604),"",LEFT(B1604,27)&amp;VALUE(RIGHT(B1604,1)+1))</f>
        <v>DKR250911ELYRHI_20C_sample_2</v>
      </c>
      <c r="C1605" s="6" t="str">
        <f t="shared" ref="C1605:D1605" si="1870">C1604</f>
        <v>Elytropappus rhinocerotis</v>
      </c>
      <c r="D1605" s="6" t="str">
        <f t="shared" si="1870"/>
        <v>20C</v>
      </c>
      <c r="E1605" s="10">
        <f>IF(ISBLANK(A1604),"",E1604+1)</f>
        <v>2</v>
      </c>
      <c r="F1605" s="11">
        <f t="shared" ref="F1605:F1609" si="1873">F1604</f>
        <v>45916.71736</v>
      </c>
      <c r="G1605" s="8"/>
    </row>
    <row r="1606">
      <c r="A1606" s="9" t="str">
        <f t="shared" si="1871"/>
        <v>ELYRHI</v>
      </c>
      <c r="B1606" s="9" t="str">
        <f>IF(ISBLANK(A1604),"",LEFT(B1605,27)&amp;VALUE(RIGHT(B1605,1)+1))</f>
        <v>DKR250911ELYRHI_20C_sample_3</v>
      </c>
      <c r="C1606" s="6" t="str">
        <f t="shared" ref="C1606:D1606" si="1872">C1605</f>
        <v>Elytropappus rhinocerotis</v>
      </c>
      <c r="D1606" s="6" t="str">
        <f t="shared" si="1872"/>
        <v>20C</v>
      </c>
      <c r="E1606" s="10">
        <f>IF(ISBLANK(A1604),"",E1605+1)</f>
        <v>3</v>
      </c>
      <c r="F1606" s="11">
        <f t="shared" si="1873"/>
        <v>45916.71736</v>
      </c>
      <c r="G1606" s="8">
        <v>3.987</v>
      </c>
    </row>
    <row r="1607">
      <c r="A1607" s="9" t="str">
        <f t="shared" si="1871"/>
        <v>ELYRHI</v>
      </c>
      <c r="B1607" s="9" t="str">
        <f>IF(ISBLANK(A1604),"",LEFT(B1606,27)&amp;VALUE(RIGHT(B1606,1)+1))</f>
        <v>DKR250911ELYRHI_20C_sample_4</v>
      </c>
      <c r="C1607" s="6" t="str">
        <f t="shared" ref="C1607:D1607" si="1874">C1606</f>
        <v>Elytropappus rhinocerotis</v>
      </c>
      <c r="D1607" s="6" t="str">
        <f t="shared" si="1874"/>
        <v>20C</v>
      </c>
      <c r="E1607" s="10">
        <f>IF(ISBLANK(A1604),"",E1606+1)</f>
        <v>4</v>
      </c>
      <c r="F1607" s="11">
        <f t="shared" si="1873"/>
        <v>45916.71736</v>
      </c>
      <c r="G1607" s="8">
        <v>2.7</v>
      </c>
    </row>
    <row r="1608">
      <c r="A1608" s="9" t="str">
        <f t="shared" si="1871"/>
        <v>ELYRHI</v>
      </c>
      <c r="B1608" s="9" t="str">
        <f>IF(ISBLANK(A1604),"",LEFT(B1607,27)&amp;VALUE(RIGHT(B1607,1)+1))</f>
        <v>DKR250911ELYRHI_20C_sample_5</v>
      </c>
      <c r="C1608" s="6" t="str">
        <f t="shared" ref="C1608:D1608" si="1875">C1607</f>
        <v>Elytropappus rhinocerotis</v>
      </c>
      <c r="D1608" s="6" t="str">
        <f t="shared" si="1875"/>
        <v>20C</v>
      </c>
      <c r="E1608" s="10">
        <f>IF(ISBLANK(A1604),"",E1607+1)</f>
        <v>5</v>
      </c>
      <c r="F1608" s="11">
        <f t="shared" si="1873"/>
        <v>45916.71736</v>
      </c>
      <c r="G1608" s="8">
        <v>1.603</v>
      </c>
    </row>
    <row r="1609">
      <c r="A1609" s="12" t="str">
        <f t="shared" si="1871"/>
        <v>ELYRHI</v>
      </c>
      <c r="B1609" s="12" t="str">
        <f>IF(ISBLANK(A1604),"",LEFT(B1608,27)&amp;VALUE(RIGHT(B1608,1)+1))</f>
        <v>DKR250911ELYRHI_20C_sample_6</v>
      </c>
      <c r="C1609" s="13" t="str">
        <f t="shared" ref="C1609:D1609" si="1876">C1608</f>
        <v>Elytropappus rhinocerotis</v>
      </c>
      <c r="D1609" s="13" t="str">
        <f t="shared" si="1876"/>
        <v>20C</v>
      </c>
      <c r="E1609" s="14">
        <f>IF(ISBLANK(A1604),"",E1608+1)</f>
        <v>6</v>
      </c>
      <c r="F1609" s="15">
        <f t="shared" si="1873"/>
        <v>45916.71736</v>
      </c>
      <c r="G1609" s="16"/>
    </row>
    <row r="1610">
      <c r="A1610" s="5" t="s">
        <v>10</v>
      </c>
      <c r="B1610" s="6" t="str">
        <f>IF(ISBLANK(A1610),"",VLOOKUP($A1610,'Data Feed (20C)'!$A$1:$G$14,2,FALSE))</f>
        <v>DKF250911LOBDEC_20C_sample_1</v>
      </c>
      <c r="C1610" s="6" t="str">
        <f>IF(ISBLANK(A1610),"",VLOOKUP($A1610,'Data Feed (20C)'!$A$1:$G$14,3,FALSE))</f>
        <v>Lobostemon decorus</v>
      </c>
      <c r="D1610" s="6" t="str">
        <f>IF(ISBLANK(A1610),"",VLOOKUP($A1610,'Data Feed (20C)'!$A$1:$G$14,4,FALSE))</f>
        <v>20C</v>
      </c>
      <c r="E1610" s="6">
        <f>IF(ISBLANK(A1610),"",VLOOKUP($A1610,'Data Feed (20C)'!$A$1:$G$14,7,FALSE))</f>
        <v>1</v>
      </c>
      <c r="F1610" s="7">
        <v>45916.71805555555</v>
      </c>
      <c r="G1610" s="8"/>
    </row>
    <row r="1611">
      <c r="A1611" s="9" t="str">
        <f t="shared" ref="A1611:A1615" si="1878">A1610</f>
        <v>LOBDEC</v>
      </c>
      <c r="B1611" s="9" t="str">
        <f>IF(ISBLANK(A1610),"",LEFT(B1610,27)&amp;VALUE(RIGHT(B1610,1)+1))</f>
        <v>DKF250911LOBDEC_20C_sample_2</v>
      </c>
      <c r="C1611" s="6" t="str">
        <f t="shared" ref="C1611:D1611" si="1877">C1610</f>
        <v>Lobostemon decorus</v>
      </c>
      <c r="D1611" s="6" t="str">
        <f t="shared" si="1877"/>
        <v>20C</v>
      </c>
      <c r="E1611" s="10">
        <f>IF(ISBLANK(A1610),"",E1610+1)</f>
        <v>2</v>
      </c>
      <c r="F1611" s="11">
        <f t="shared" ref="F1611:F1615" si="1880">F1610</f>
        <v>45916.71806</v>
      </c>
      <c r="G1611" s="8"/>
    </row>
    <row r="1612">
      <c r="A1612" s="9" t="str">
        <f t="shared" si="1878"/>
        <v>LOBDEC</v>
      </c>
      <c r="B1612" s="9" t="str">
        <f>IF(ISBLANK(A1610),"",LEFT(B1611,27)&amp;VALUE(RIGHT(B1611,1)+1))</f>
        <v>DKF250911LOBDEC_20C_sample_3</v>
      </c>
      <c r="C1612" s="6" t="str">
        <f t="shared" ref="C1612:D1612" si="1879">C1611</f>
        <v>Lobostemon decorus</v>
      </c>
      <c r="D1612" s="6" t="str">
        <f t="shared" si="1879"/>
        <v>20C</v>
      </c>
      <c r="E1612" s="10">
        <f>IF(ISBLANK(A1610),"",E1611+1)</f>
        <v>3</v>
      </c>
      <c r="F1612" s="11">
        <f t="shared" si="1880"/>
        <v>45916.71806</v>
      </c>
      <c r="G1612" s="8">
        <v>4.722</v>
      </c>
    </row>
    <row r="1613">
      <c r="A1613" s="9" t="str">
        <f t="shared" si="1878"/>
        <v>LOBDEC</v>
      </c>
      <c r="B1613" s="9" t="str">
        <f>IF(ISBLANK(A1610),"",LEFT(B1612,27)&amp;VALUE(RIGHT(B1612,1)+1))</f>
        <v>DKF250911LOBDEC_20C_sample_4</v>
      </c>
      <c r="C1613" s="6" t="str">
        <f t="shared" ref="C1613:D1613" si="1881">C1612</f>
        <v>Lobostemon decorus</v>
      </c>
      <c r="D1613" s="6" t="str">
        <f t="shared" si="1881"/>
        <v>20C</v>
      </c>
      <c r="E1613" s="10">
        <f>IF(ISBLANK(A1610),"",E1612+1)</f>
        <v>4</v>
      </c>
      <c r="F1613" s="11">
        <f t="shared" si="1880"/>
        <v>45916.71806</v>
      </c>
      <c r="G1613" s="8">
        <v>3.251</v>
      </c>
    </row>
    <row r="1614">
      <c r="A1614" s="9" t="str">
        <f t="shared" si="1878"/>
        <v>LOBDEC</v>
      </c>
      <c r="B1614" s="9" t="str">
        <f>IF(ISBLANK(A1610),"",LEFT(B1613,27)&amp;VALUE(RIGHT(B1613,1)+1))</f>
        <v>DKF250911LOBDEC_20C_sample_5</v>
      </c>
      <c r="C1614" s="6" t="str">
        <f t="shared" ref="C1614:D1614" si="1882">C1613</f>
        <v>Lobostemon decorus</v>
      </c>
      <c r="D1614" s="6" t="str">
        <f t="shared" si="1882"/>
        <v>20C</v>
      </c>
      <c r="E1614" s="10">
        <f>IF(ISBLANK(A1610),"",E1613+1)</f>
        <v>5</v>
      </c>
      <c r="F1614" s="11">
        <f t="shared" si="1880"/>
        <v>45916.71806</v>
      </c>
      <c r="G1614" s="8">
        <v>1.888</v>
      </c>
    </row>
    <row r="1615">
      <c r="A1615" s="12" t="str">
        <f t="shared" si="1878"/>
        <v>LOBDEC</v>
      </c>
      <c r="B1615" s="12" t="str">
        <f>IF(ISBLANK(A1610),"",LEFT(B1614,27)&amp;VALUE(RIGHT(B1614,1)+1))</f>
        <v>DKF250911LOBDEC_20C_sample_6</v>
      </c>
      <c r="C1615" s="13" t="str">
        <f t="shared" ref="C1615:D1615" si="1883">C1614</f>
        <v>Lobostemon decorus</v>
      </c>
      <c r="D1615" s="13" t="str">
        <f t="shared" si="1883"/>
        <v>20C</v>
      </c>
      <c r="E1615" s="14">
        <f>IF(ISBLANK(A1610),"",E1614+1)</f>
        <v>6</v>
      </c>
      <c r="F1615" s="15">
        <f t="shared" si="1880"/>
        <v>45916.71806</v>
      </c>
      <c r="G1615" s="16"/>
    </row>
    <row r="1616">
      <c r="A1616" s="5" t="s">
        <v>16</v>
      </c>
      <c r="B1616" s="6" t="str">
        <f>IF(ISBLANK(A1616),"",VLOOKUP($A1616,'Data Feed (20C)'!$A$1:$G$14,2,FALSE))</f>
        <v>DKR250911MICPOL_20C_sample_1</v>
      </c>
      <c r="C1616" s="6" t="str">
        <f>IF(ISBLANK(A1616),"",VLOOKUP($A1616,'Data Feed (20C)'!$A$1:$G$14,3,FALSE))</f>
        <v>Microdon polygaloides</v>
      </c>
      <c r="D1616" s="6" t="str">
        <f>IF(ISBLANK(A1616),"",VLOOKUP($A1616,'Data Feed (20C)'!$A$1:$G$14,4,FALSE))</f>
        <v>20C</v>
      </c>
      <c r="E1616" s="6">
        <f>IF(ISBLANK(A1616),"",VLOOKUP($A1616,'Data Feed (20C)'!$A$1:$G$14,7,FALSE))</f>
        <v>1</v>
      </c>
      <c r="F1616" s="7">
        <v>45916.71875</v>
      </c>
      <c r="G1616" s="8">
        <v>0.842</v>
      </c>
    </row>
    <row r="1617">
      <c r="A1617" s="9" t="str">
        <f t="shared" ref="A1617:A1621" si="1885">A1616</f>
        <v>MICPOL</v>
      </c>
      <c r="B1617" s="9" t="str">
        <f>IF(ISBLANK(A1616),"",LEFT(B1616,27)&amp;VALUE(RIGHT(B1616,1)+1))</f>
        <v>DKR250911MICPOL_20C_sample_2</v>
      </c>
      <c r="C1617" s="6" t="str">
        <f t="shared" ref="C1617:D1617" si="1884">C1616</f>
        <v>Microdon polygaloides</v>
      </c>
      <c r="D1617" s="6" t="str">
        <f t="shared" si="1884"/>
        <v>20C</v>
      </c>
      <c r="E1617" s="10">
        <f>IF(ISBLANK(A1616),"",E1616+1)</f>
        <v>2</v>
      </c>
      <c r="F1617" s="11">
        <f t="shared" ref="F1617:F1621" si="1887">F1616</f>
        <v>45916.71875</v>
      </c>
      <c r="G1617" s="8"/>
    </row>
    <row r="1618">
      <c r="A1618" s="9" t="str">
        <f t="shared" si="1885"/>
        <v>MICPOL</v>
      </c>
      <c r="B1618" s="9" t="str">
        <f>IF(ISBLANK(A1616),"",LEFT(B1617,27)&amp;VALUE(RIGHT(B1617,1)+1))</f>
        <v>DKR250911MICPOL_20C_sample_3</v>
      </c>
      <c r="C1618" s="6" t="str">
        <f t="shared" ref="C1618:D1618" si="1886">C1617</f>
        <v>Microdon polygaloides</v>
      </c>
      <c r="D1618" s="6" t="str">
        <f t="shared" si="1886"/>
        <v>20C</v>
      </c>
      <c r="E1618" s="10">
        <f>IF(ISBLANK(A1616),"",E1617+1)</f>
        <v>3</v>
      </c>
      <c r="F1618" s="11">
        <f t="shared" si="1887"/>
        <v>45916.71875</v>
      </c>
      <c r="G1618" s="8"/>
    </row>
    <row r="1619">
      <c r="A1619" s="9" t="str">
        <f t="shared" si="1885"/>
        <v>MICPOL</v>
      </c>
      <c r="B1619" s="9" t="str">
        <f>IF(ISBLANK(A1616),"",LEFT(B1618,27)&amp;VALUE(RIGHT(B1618,1)+1))</f>
        <v>DKR250911MICPOL_20C_sample_4</v>
      </c>
      <c r="C1619" s="6" t="str">
        <f t="shared" ref="C1619:D1619" si="1888">C1618</f>
        <v>Microdon polygaloides</v>
      </c>
      <c r="D1619" s="6" t="str">
        <f t="shared" si="1888"/>
        <v>20C</v>
      </c>
      <c r="E1619" s="10">
        <f>IF(ISBLANK(A1616),"",E1618+1)</f>
        <v>4</v>
      </c>
      <c r="F1619" s="11">
        <f t="shared" si="1887"/>
        <v>45916.71875</v>
      </c>
      <c r="G1619" s="8"/>
    </row>
    <row r="1620">
      <c r="A1620" s="9" t="str">
        <f t="shared" si="1885"/>
        <v>MICPOL</v>
      </c>
      <c r="B1620" s="9" t="str">
        <f>IF(ISBLANK(A1616),"",LEFT(B1619,27)&amp;VALUE(RIGHT(B1619,1)+1))</f>
        <v>DKR250911MICPOL_20C_sample_5</v>
      </c>
      <c r="C1620" s="6" t="str">
        <f t="shared" ref="C1620:D1620" si="1889">C1619</f>
        <v>Microdon polygaloides</v>
      </c>
      <c r="D1620" s="6" t="str">
        <f t="shared" si="1889"/>
        <v>20C</v>
      </c>
      <c r="E1620" s="10">
        <f>IF(ISBLANK(A1616),"",E1619+1)</f>
        <v>5</v>
      </c>
      <c r="F1620" s="11">
        <f t="shared" si="1887"/>
        <v>45916.71875</v>
      </c>
      <c r="G1620" s="8"/>
    </row>
    <row r="1621">
      <c r="A1621" s="12" t="str">
        <f t="shared" si="1885"/>
        <v>MICPOL</v>
      </c>
      <c r="B1621" s="12" t="str">
        <f>IF(ISBLANK(A1616),"",LEFT(B1620,27)&amp;VALUE(RIGHT(B1620,1)+1))</f>
        <v>DKR250911MICPOL_20C_sample_6</v>
      </c>
      <c r="C1621" s="13" t="str">
        <f t="shared" ref="C1621:D1621" si="1890">C1620</f>
        <v>Microdon polygaloides</v>
      </c>
      <c r="D1621" s="13" t="str">
        <f t="shared" si="1890"/>
        <v>20C</v>
      </c>
      <c r="E1621" s="14">
        <f>IF(ISBLANK(A1616),"",E1620+1)</f>
        <v>6</v>
      </c>
      <c r="F1621" s="15">
        <f t="shared" si="1887"/>
        <v>45916.71875</v>
      </c>
      <c r="G1621" s="16"/>
    </row>
    <row r="1622">
      <c r="A1622" s="5" t="s">
        <v>7</v>
      </c>
      <c r="B1622" s="6" t="str">
        <f>IF(ISBLANK(A1622),"",VLOOKUP($A1622,'Data Feed (20C)'!$A$1:$G$14,2,FALSE))</f>
        <v>DKR250911PASOBT_20C_sample_1</v>
      </c>
      <c r="C1622" s="6" t="str">
        <f>IF(ISBLANK(A1622),"",VLOOKUP($A1622,'Data Feed (20C)'!$A$1:$G$14,3,FALSE))</f>
        <v>Passerina obtusifolia</v>
      </c>
      <c r="D1622" s="6" t="str">
        <f>IF(ISBLANK(A1622),"",VLOOKUP($A1622,'Data Feed (20C)'!$A$1:$G$14,4,FALSE))</f>
        <v>20C</v>
      </c>
      <c r="E1622" s="6">
        <f>IF(ISBLANK(A1622),"",VLOOKUP($A1622,'Data Feed (20C)'!$A$1:$G$14,7,FALSE))</f>
        <v>1</v>
      </c>
      <c r="F1622" s="7">
        <v>45916.71944444445</v>
      </c>
      <c r="G1622" s="8">
        <v>2.111</v>
      </c>
    </row>
    <row r="1623">
      <c r="A1623" s="9" t="str">
        <f t="shared" ref="A1623:A1627" si="1892">A1622</f>
        <v>PASOBT</v>
      </c>
      <c r="B1623" s="9" t="str">
        <f>IF(ISBLANK(A1622),"",LEFT(B1622,27)&amp;VALUE(RIGHT(B1622,1)+1))</f>
        <v>DKR250911PASOBT_20C_sample_2</v>
      </c>
      <c r="C1623" s="6" t="str">
        <f t="shared" ref="C1623:D1623" si="1891">C1622</f>
        <v>Passerina obtusifolia</v>
      </c>
      <c r="D1623" s="6" t="str">
        <f t="shared" si="1891"/>
        <v>20C</v>
      </c>
      <c r="E1623" s="10">
        <f>IF(ISBLANK(A1622),"",E1622+1)</f>
        <v>2</v>
      </c>
      <c r="F1623" s="11">
        <f t="shared" ref="F1623:F1627" si="1894">F1622</f>
        <v>45916.71944</v>
      </c>
      <c r="G1623" s="8">
        <v>2.787</v>
      </c>
    </row>
    <row r="1624">
      <c r="A1624" s="9" t="str">
        <f t="shared" si="1892"/>
        <v>PASOBT</v>
      </c>
      <c r="B1624" s="9" t="str">
        <f>IF(ISBLANK(A1622),"",LEFT(B1623,27)&amp;VALUE(RIGHT(B1623,1)+1))</f>
        <v>DKR250911PASOBT_20C_sample_3</v>
      </c>
      <c r="C1624" s="6" t="str">
        <f t="shared" ref="C1624:D1624" si="1893">C1623</f>
        <v>Passerina obtusifolia</v>
      </c>
      <c r="D1624" s="6" t="str">
        <f t="shared" si="1893"/>
        <v>20C</v>
      </c>
      <c r="E1624" s="10">
        <f>IF(ISBLANK(A1622),"",E1623+1)</f>
        <v>3</v>
      </c>
      <c r="F1624" s="11">
        <f t="shared" si="1894"/>
        <v>45916.71944</v>
      </c>
      <c r="G1624" s="8"/>
    </row>
    <row r="1625">
      <c r="A1625" s="9" t="str">
        <f t="shared" si="1892"/>
        <v>PASOBT</v>
      </c>
      <c r="B1625" s="9" t="str">
        <f>IF(ISBLANK(A1622),"",LEFT(B1624,27)&amp;VALUE(RIGHT(B1624,1)+1))</f>
        <v>DKR250911PASOBT_20C_sample_4</v>
      </c>
      <c r="C1625" s="6" t="str">
        <f t="shared" ref="C1625:D1625" si="1895">C1624</f>
        <v>Passerina obtusifolia</v>
      </c>
      <c r="D1625" s="6" t="str">
        <f t="shared" si="1895"/>
        <v>20C</v>
      </c>
      <c r="E1625" s="10">
        <f>IF(ISBLANK(A1622),"",E1624+1)</f>
        <v>4</v>
      </c>
      <c r="F1625" s="11">
        <f t="shared" si="1894"/>
        <v>45916.71944</v>
      </c>
      <c r="G1625" s="8"/>
    </row>
    <row r="1626">
      <c r="A1626" s="9" t="str">
        <f t="shared" si="1892"/>
        <v>PASOBT</v>
      </c>
      <c r="B1626" s="9" t="str">
        <f>IF(ISBLANK(A1622),"",LEFT(B1625,27)&amp;VALUE(RIGHT(B1625,1)+1))</f>
        <v>DKR250911PASOBT_20C_sample_5</v>
      </c>
      <c r="C1626" s="6" t="str">
        <f t="shared" ref="C1626:D1626" si="1896">C1625</f>
        <v>Passerina obtusifolia</v>
      </c>
      <c r="D1626" s="6" t="str">
        <f t="shared" si="1896"/>
        <v>20C</v>
      </c>
      <c r="E1626" s="10">
        <f>IF(ISBLANK(A1622),"",E1625+1)</f>
        <v>5</v>
      </c>
      <c r="F1626" s="11">
        <f t="shared" si="1894"/>
        <v>45916.71944</v>
      </c>
      <c r="G1626" s="8"/>
    </row>
    <row r="1627">
      <c r="A1627" s="12" t="str">
        <f t="shared" si="1892"/>
        <v>PASOBT</v>
      </c>
      <c r="B1627" s="12" t="str">
        <f>IF(ISBLANK(A1622),"",LEFT(B1626,27)&amp;VALUE(RIGHT(B1626,1)+1))</f>
        <v>DKR250911PASOBT_20C_sample_6</v>
      </c>
      <c r="C1627" s="13" t="str">
        <f t="shared" ref="C1627:D1627" si="1897">C1626</f>
        <v>Passerina obtusifolia</v>
      </c>
      <c r="D1627" s="13" t="str">
        <f t="shared" si="1897"/>
        <v>20C</v>
      </c>
      <c r="E1627" s="14">
        <f>IF(ISBLANK(A1622),"",E1626+1)</f>
        <v>6</v>
      </c>
      <c r="F1627" s="15">
        <f t="shared" si="1894"/>
        <v>45916.71944</v>
      </c>
      <c r="G1627" s="16"/>
    </row>
    <row r="1628">
      <c r="A1628" s="5" t="s">
        <v>9</v>
      </c>
      <c r="B1628" s="6" t="str">
        <f>IF(ISBLANK(A1628),"",VLOOKUP($A1628,'Data Feed (20C)'!$A$1:$G$14,2,FALSE))</f>
        <v>DKR250911PROLAU_20C_sample_1</v>
      </c>
      <c r="C1628" s="6" t="str">
        <f>IF(ISBLANK(A1628),"",VLOOKUP($A1628,'Data Feed (20C)'!$A$1:$G$14,3,FALSE))</f>
        <v>Protea laurifolia</v>
      </c>
      <c r="D1628" s="6" t="str">
        <f>IF(ISBLANK(A1628),"",VLOOKUP($A1628,'Data Feed (20C)'!$A$1:$G$14,4,FALSE))</f>
        <v>20C</v>
      </c>
      <c r="E1628" s="6">
        <f>IF(ISBLANK(A1628),"",VLOOKUP($A1628,'Data Feed (20C)'!$A$1:$G$14,7,FALSE))</f>
        <v>1</v>
      </c>
      <c r="F1628" s="7">
        <v>45916.720138888886</v>
      </c>
      <c r="G1628" s="8">
        <v>0.893</v>
      </c>
    </row>
    <row r="1629">
      <c r="A1629" s="9" t="str">
        <f t="shared" ref="A1629:A1633" si="1899">A1628</f>
        <v>PROLAU</v>
      </c>
      <c r="B1629" s="9" t="str">
        <f>IF(ISBLANK(A1628),"",LEFT(B1628,27)&amp;VALUE(RIGHT(B1628,1)+1))</f>
        <v>DKR250911PROLAU_20C_sample_2</v>
      </c>
      <c r="C1629" s="6" t="str">
        <f t="shared" ref="C1629:D1629" si="1898">C1628</f>
        <v>Protea laurifolia</v>
      </c>
      <c r="D1629" s="6" t="str">
        <f t="shared" si="1898"/>
        <v>20C</v>
      </c>
      <c r="E1629" s="10">
        <f>IF(ISBLANK(A1628),"",E1628+1)</f>
        <v>2</v>
      </c>
      <c r="F1629" s="11">
        <f t="shared" ref="F1629:F1633" si="1901">F1628</f>
        <v>45916.72014</v>
      </c>
      <c r="G1629" s="8"/>
    </row>
    <row r="1630">
      <c r="A1630" s="9" t="str">
        <f t="shared" si="1899"/>
        <v>PROLAU</v>
      </c>
      <c r="B1630" s="9" t="str">
        <f>IF(ISBLANK(A1628),"",LEFT(B1629,27)&amp;VALUE(RIGHT(B1629,1)+1))</f>
        <v>DKR250911PROLAU_20C_sample_3</v>
      </c>
      <c r="C1630" s="6" t="str">
        <f t="shared" ref="C1630:D1630" si="1900">C1629</f>
        <v>Protea laurifolia</v>
      </c>
      <c r="D1630" s="6" t="str">
        <f t="shared" si="1900"/>
        <v>20C</v>
      </c>
      <c r="E1630" s="10">
        <f>IF(ISBLANK(A1628),"",E1629+1)</f>
        <v>3</v>
      </c>
      <c r="F1630" s="11">
        <f t="shared" si="1901"/>
        <v>45916.72014</v>
      </c>
      <c r="G1630" s="8">
        <v>0.998</v>
      </c>
    </row>
    <row r="1631">
      <c r="A1631" s="9" t="str">
        <f t="shared" si="1899"/>
        <v>PROLAU</v>
      </c>
      <c r="B1631" s="9" t="str">
        <f>IF(ISBLANK(A1628),"",LEFT(B1630,27)&amp;VALUE(RIGHT(B1630,1)+1))</f>
        <v>DKR250911PROLAU_20C_sample_4</v>
      </c>
      <c r="C1631" s="6" t="str">
        <f t="shared" ref="C1631:D1631" si="1902">C1630</f>
        <v>Protea laurifolia</v>
      </c>
      <c r="D1631" s="6" t="str">
        <f t="shared" si="1902"/>
        <v>20C</v>
      </c>
      <c r="E1631" s="10">
        <f>IF(ISBLANK(A1628),"",E1630+1)</f>
        <v>4</v>
      </c>
      <c r="F1631" s="11">
        <f t="shared" si="1901"/>
        <v>45916.72014</v>
      </c>
      <c r="G1631" s="8">
        <v>0.489</v>
      </c>
    </row>
    <row r="1632">
      <c r="A1632" s="9" t="str">
        <f t="shared" si="1899"/>
        <v>PROLAU</v>
      </c>
      <c r="B1632" s="9" t="str">
        <f>IF(ISBLANK(A1628),"",LEFT(B1631,27)&amp;VALUE(RIGHT(B1631,1)+1))</f>
        <v>DKR250911PROLAU_20C_sample_5</v>
      </c>
      <c r="C1632" s="6" t="str">
        <f t="shared" ref="C1632:D1632" si="1903">C1631</f>
        <v>Protea laurifolia</v>
      </c>
      <c r="D1632" s="6" t="str">
        <f t="shared" si="1903"/>
        <v>20C</v>
      </c>
      <c r="E1632" s="10">
        <f>IF(ISBLANK(A1628),"",E1631+1)</f>
        <v>5</v>
      </c>
      <c r="F1632" s="11">
        <f t="shared" si="1901"/>
        <v>45916.72014</v>
      </c>
      <c r="G1632" s="8">
        <v>0.819</v>
      </c>
    </row>
    <row r="1633">
      <c r="A1633" s="12" t="str">
        <f t="shared" si="1899"/>
        <v>PROLAU</v>
      </c>
      <c r="B1633" s="12" t="str">
        <f>IF(ISBLANK(A1628),"",LEFT(B1632,27)&amp;VALUE(RIGHT(B1632,1)+1))</f>
        <v>DKR250911PROLAU_20C_sample_6</v>
      </c>
      <c r="C1633" s="13" t="str">
        <f t="shared" ref="C1633:D1633" si="1904">C1632</f>
        <v>Protea laurifolia</v>
      </c>
      <c r="D1633" s="13" t="str">
        <f t="shared" si="1904"/>
        <v>20C</v>
      </c>
      <c r="E1633" s="14">
        <f>IF(ISBLANK(A1628),"",E1632+1)</f>
        <v>6</v>
      </c>
      <c r="F1633" s="15">
        <f t="shared" si="1901"/>
        <v>45916.72014</v>
      </c>
      <c r="G1633" s="16">
        <v>0.739</v>
      </c>
    </row>
    <row r="1634">
      <c r="A1634" s="5" t="s">
        <v>8</v>
      </c>
      <c r="B1634" s="6" t="str">
        <f>IF(ISBLANK(A1634),"",VLOOKUP($A1634,'Data Feed (20C)'!$A$1:$G$14,2,FALSE))</f>
        <v>DKF250911PROLOR_20C_sample_1</v>
      </c>
      <c r="C1634" s="6" t="str">
        <f>IF(ISBLANK(A1634),"",VLOOKUP($A1634,'Data Feed (20C)'!$A$1:$G$14,3,FALSE))</f>
        <v>Protea lorifolia</v>
      </c>
      <c r="D1634" s="6" t="str">
        <f>IF(ISBLANK(A1634),"",VLOOKUP($A1634,'Data Feed (20C)'!$A$1:$G$14,4,FALSE))</f>
        <v>20C</v>
      </c>
      <c r="E1634" s="6">
        <f>IF(ISBLANK(A1634),"",VLOOKUP($A1634,'Data Feed (20C)'!$A$1:$G$14,7,FALSE))</f>
        <v>1</v>
      </c>
      <c r="F1634" s="7">
        <v>45916.72152777778</v>
      </c>
      <c r="G1634" s="8">
        <v>2.517</v>
      </c>
    </row>
    <row r="1635">
      <c r="A1635" s="9" t="str">
        <f t="shared" ref="A1635:A1639" si="1906">A1634</f>
        <v>PROLOR</v>
      </c>
      <c r="B1635" s="9" t="str">
        <f>IF(ISBLANK(A1634),"",LEFT(B1634,27)&amp;VALUE(RIGHT(B1634,1)+1))</f>
        <v>DKF250911PROLOR_20C_sample_2</v>
      </c>
      <c r="C1635" s="6" t="str">
        <f t="shared" ref="C1635:D1635" si="1905">C1634</f>
        <v>Protea lorifolia</v>
      </c>
      <c r="D1635" s="6" t="str">
        <f t="shared" si="1905"/>
        <v>20C</v>
      </c>
      <c r="E1635" s="10">
        <f>IF(ISBLANK(A1634),"",E1634+1)</f>
        <v>2</v>
      </c>
      <c r="F1635" s="11">
        <f t="shared" ref="F1635:F1639" si="1908">F1634</f>
        <v>45916.72153</v>
      </c>
      <c r="G1635" s="8">
        <v>1.844</v>
      </c>
    </row>
    <row r="1636">
      <c r="A1636" s="9" t="str">
        <f t="shared" si="1906"/>
        <v>PROLOR</v>
      </c>
      <c r="B1636" s="9" t="str">
        <f>IF(ISBLANK(A1634),"",LEFT(B1635,27)&amp;VALUE(RIGHT(B1635,1)+1))</f>
        <v>DKF250911PROLOR_20C_sample_3</v>
      </c>
      <c r="C1636" s="6" t="str">
        <f t="shared" ref="C1636:D1636" si="1907">C1635</f>
        <v>Protea lorifolia</v>
      </c>
      <c r="D1636" s="6" t="str">
        <f t="shared" si="1907"/>
        <v>20C</v>
      </c>
      <c r="E1636" s="10">
        <f>IF(ISBLANK(A1634),"",E1635+1)</f>
        <v>3</v>
      </c>
      <c r="F1636" s="11">
        <f t="shared" si="1908"/>
        <v>45916.72153</v>
      </c>
      <c r="G1636" s="8">
        <v>2.638</v>
      </c>
    </row>
    <row r="1637">
      <c r="A1637" s="9" t="str">
        <f t="shared" si="1906"/>
        <v>PROLOR</v>
      </c>
      <c r="B1637" s="9" t="str">
        <f>IF(ISBLANK(A1634),"",LEFT(B1636,27)&amp;VALUE(RIGHT(B1636,1)+1))</f>
        <v>DKF250911PROLOR_20C_sample_4</v>
      </c>
      <c r="C1637" s="6" t="str">
        <f t="shared" ref="C1637:D1637" si="1909">C1636</f>
        <v>Protea lorifolia</v>
      </c>
      <c r="D1637" s="6" t="str">
        <f t="shared" si="1909"/>
        <v>20C</v>
      </c>
      <c r="E1637" s="10">
        <f>IF(ISBLANK(A1634),"",E1636+1)</f>
        <v>4</v>
      </c>
      <c r="F1637" s="11">
        <f t="shared" si="1908"/>
        <v>45916.72153</v>
      </c>
      <c r="G1637" s="8">
        <v>2.568</v>
      </c>
    </row>
    <row r="1638">
      <c r="A1638" s="9" t="str">
        <f t="shared" si="1906"/>
        <v>PROLOR</v>
      </c>
      <c r="B1638" s="9" t="str">
        <f>IF(ISBLANK(A1634),"",LEFT(B1637,27)&amp;VALUE(RIGHT(B1637,1)+1))</f>
        <v>DKF250911PROLOR_20C_sample_5</v>
      </c>
      <c r="C1638" s="6" t="str">
        <f t="shared" ref="C1638:D1638" si="1910">C1637</f>
        <v>Protea lorifolia</v>
      </c>
      <c r="D1638" s="6" t="str">
        <f t="shared" si="1910"/>
        <v>20C</v>
      </c>
      <c r="E1638" s="10">
        <f>IF(ISBLANK(A1634),"",E1637+1)</f>
        <v>5</v>
      </c>
      <c r="F1638" s="11">
        <f t="shared" si="1908"/>
        <v>45916.72153</v>
      </c>
      <c r="G1638" s="8">
        <v>4.425</v>
      </c>
    </row>
    <row r="1639">
      <c r="A1639" s="12" t="str">
        <f t="shared" si="1906"/>
        <v>PROLOR</v>
      </c>
      <c r="B1639" s="12" t="str">
        <f>IF(ISBLANK(A1634),"",LEFT(B1638,27)&amp;VALUE(RIGHT(B1638,1)+1))</f>
        <v>DKF250911PROLOR_20C_sample_6</v>
      </c>
      <c r="C1639" s="13" t="str">
        <f t="shared" ref="C1639:D1639" si="1911">C1638</f>
        <v>Protea lorifolia</v>
      </c>
      <c r="D1639" s="13" t="str">
        <f t="shared" si="1911"/>
        <v>20C</v>
      </c>
      <c r="E1639" s="14">
        <f>IF(ISBLANK(A1634),"",E1638+1)</f>
        <v>6</v>
      </c>
      <c r="F1639" s="15">
        <f t="shared" si="1908"/>
        <v>45916.72153</v>
      </c>
      <c r="G1639" s="16">
        <v>4.148</v>
      </c>
    </row>
    <row r="1640">
      <c r="A1640" s="5" t="s">
        <v>13</v>
      </c>
      <c r="B1640" s="6" t="str">
        <f>IF(ISBLANK(A1640),"",VLOOKUP($A1640,'Data Feed (20C)'!$A$1:$G$14,2,FALSE))</f>
        <v>DKR250911RUSMUL_20C_sample_1</v>
      </c>
      <c r="C1640" s="6" t="str">
        <f>IF(ISBLANK(A1640),"",VLOOKUP($A1640,'Data Feed (20C)'!$A$1:$G$14,3,FALSE))</f>
        <v>Ruschia multiflora</v>
      </c>
      <c r="D1640" s="6" t="str">
        <f>IF(ISBLANK(A1640),"",VLOOKUP($A1640,'Data Feed (20C)'!$A$1:$G$14,4,FALSE))</f>
        <v>20C</v>
      </c>
      <c r="E1640" s="6">
        <f>IF(ISBLANK(A1640),"",VLOOKUP($A1640,'Data Feed (20C)'!$A$1:$G$14,7,FALSE))</f>
        <v>1</v>
      </c>
      <c r="F1640" s="7">
        <v>45916.722916666666</v>
      </c>
      <c r="G1640" s="8">
        <v>2.74</v>
      </c>
    </row>
    <row r="1641">
      <c r="A1641" s="9" t="str">
        <f t="shared" ref="A1641:A1645" si="1913">A1640</f>
        <v>RUSMUL</v>
      </c>
      <c r="B1641" s="9" t="str">
        <f>IF(ISBLANK(A1640),"",LEFT(B1640,27)&amp;VALUE(RIGHT(B1640,1)+1))</f>
        <v>DKR250911RUSMUL_20C_sample_2</v>
      </c>
      <c r="C1641" s="6" t="str">
        <f t="shared" ref="C1641:D1641" si="1912">C1640</f>
        <v>Ruschia multiflora</v>
      </c>
      <c r="D1641" s="6" t="str">
        <f t="shared" si="1912"/>
        <v>20C</v>
      </c>
      <c r="E1641" s="10">
        <f>IF(ISBLANK(A1640),"",E1640+1)</f>
        <v>2</v>
      </c>
      <c r="F1641" s="11">
        <f t="shared" ref="F1641:F1645" si="1915">F1640</f>
        <v>45916.72292</v>
      </c>
      <c r="G1641" s="8">
        <v>2.936</v>
      </c>
    </row>
    <row r="1642">
      <c r="A1642" s="9" t="str">
        <f t="shared" si="1913"/>
        <v>RUSMUL</v>
      </c>
      <c r="B1642" s="9" t="str">
        <f>IF(ISBLANK(A1640),"",LEFT(B1641,27)&amp;VALUE(RIGHT(B1641,1)+1))</f>
        <v>DKR250911RUSMUL_20C_sample_3</v>
      </c>
      <c r="C1642" s="6" t="str">
        <f t="shared" ref="C1642:D1642" si="1914">C1641</f>
        <v>Ruschia multiflora</v>
      </c>
      <c r="D1642" s="6" t="str">
        <f t="shared" si="1914"/>
        <v>20C</v>
      </c>
      <c r="E1642" s="10">
        <f>IF(ISBLANK(A1640),"",E1641+1)</f>
        <v>3</v>
      </c>
      <c r="F1642" s="11">
        <f t="shared" si="1915"/>
        <v>45916.72292</v>
      </c>
      <c r="G1642" s="8">
        <v>6.575</v>
      </c>
    </row>
    <row r="1643">
      <c r="A1643" s="9" t="str">
        <f t="shared" si="1913"/>
        <v>RUSMUL</v>
      </c>
      <c r="B1643" s="9" t="str">
        <f>IF(ISBLANK(A1640),"",LEFT(B1642,27)&amp;VALUE(RIGHT(B1642,1)+1))</f>
        <v>DKR250911RUSMUL_20C_sample_4</v>
      </c>
      <c r="C1643" s="6" t="str">
        <f t="shared" ref="C1643:D1643" si="1916">C1642</f>
        <v>Ruschia multiflora</v>
      </c>
      <c r="D1643" s="6" t="str">
        <f t="shared" si="1916"/>
        <v>20C</v>
      </c>
      <c r="E1643" s="10">
        <f>IF(ISBLANK(A1640),"",E1642+1)</f>
        <v>4</v>
      </c>
      <c r="F1643" s="11">
        <f t="shared" si="1915"/>
        <v>45916.72292</v>
      </c>
      <c r="G1643" s="8">
        <v>3.352</v>
      </c>
    </row>
    <row r="1644">
      <c r="A1644" s="9" t="str">
        <f t="shared" si="1913"/>
        <v>RUSMUL</v>
      </c>
      <c r="B1644" s="9" t="str">
        <f>IF(ISBLANK(A1640),"",LEFT(B1643,27)&amp;VALUE(RIGHT(B1643,1)+1))</f>
        <v>DKR250911RUSMUL_20C_sample_5</v>
      </c>
      <c r="C1644" s="6" t="str">
        <f t="shared" ref="C1644:D1644" si="1917">C1643</f>
        <v>Ruschia multiflora</v>
      </c>
      <c r="D1644" s="6" t="str">
        <f t="shared" si="1917"/>
        <v>20C</v>
      </c>
      <c r="E1644" s="10">
        <f>IF(ISBLANK(A1640),"",E1643+1)</f>
        <v>5</v>
      </c>
      <c r="F1644" s="11">
        <f t="shared" si="1915"/>
        <v>45916.72292</v>
      </c>
      <c r="G1644" s="8">
        <v>3.03</v>
      </c>
    </row>
    <row r="1645">
      <c r="A1645" s="12" t="str">
        <f t="shared" si="1913"/>
        <v>RUSMUL</v>
      </c>
      <c r="B1645" s="12" t="str">
        <f>IF(ISBLANK(A1640),"",LEFT(B1644,27)&amp;VALUE(RIGHT(B1644,1)+1))</f>
        <v>DKR250911RUSMUL_20C_sample_6</v>
      </c>
      <c r="C1645" s="13" t="str">
        <f t="shared" ref="C1645:D1645" si="1918">C1644</f>
        <v>Ruschia multiflora</v>
      </c>
      <c r="D1645" s="13" t="str">
        <f t="shared" si="1918"/>
        <v>20C</v>
      </c>
      <c r="E1645" s="14">
        <f>IF(ISBLANK(A1640),"",E1644+1)</f>
        <v>6</v>
      </c>
      <c r="F1645" s="15">
        <f t="shared" si="1915"/>
        <v>45916.72292</v>
      </c>
      <c r="G1645" s="16">
        <v>2.605</v>
      </c>
    </row>
    <row r="1646">
      <c r="A1646" s="5" t="s">
        <v>11</v>
      </c>
      <c r="B1646" s="6" t="str">
        <f>IF(ISBLANK(A1646),"",VLOOKUP($A1646,'Data Feed (20C)'!$A$1:$G$14,2,FALSE))</f>
        <v>DKF250911SELDOL_20C_sample_1</v>
      </c>
      <c r="C1646" s="6" t="str">
        <f>IF(ISBLANK(A1646),"",VLOOKUP($A1646,'Data Feed (20C)'!$A$1:$G$14,3,FALSE))</f>
        <v>Selago dolosa</v>
      </c>
      <c r="D1646" s="6" t="str">
        <f>IF(ISBLANK(A1646),"",VLOOKUP($A1646,'Data Feed (20C)'!$A$1:$G$14,4,FALSE))</f>
        <v>20C</v>
      </c>
      <c r="E1646" s="6">
        <f>IF(ISBLANK(A1646),"",VLOOKUP($A1646,'Data Feed (20C)'!$A$1:$G$14,7,FALSE))</f>
        <v>1</v>
      </c>
      <c r="F1646" s="7">
        <v>45916.72430555556</v>
      </c>
      <c r="G1646" s="8">
        <v>0.85</v>
      </c>
    </row>
    <row r="1647">
      <c r="A1647" s="9" t="str">
        <f t="shared" ref="A1647:A1651" si="1920">A1646</f>
        <v>SELDOL</v>
      </c>
      <c r="B1647" s="9" t="str">
        <f>IF(ISBLANK(A1646),"",LEFT(B1646,27)&amp;VALUE(RIGHT(B1646,1)+1))</f>
        <v>DKF250911SELDOL_20C_sample_2</v>
      </c>
      <c r="C1647" s="6" t="str">
        <f t="shared" ref="C1647:D1647" si="1919">C1646</f>
        <v>Selago dolosa</v>
      </c>
      <c r="D1647" s="6" t="str">
        <f t="shared" si="1919"/>
        <v>20C</v>
      </c>
      <c r="E1647" s="10">
        <f>IF(ISBLANK(A1646),"",E1646+1)</f>
        <v>2</v>
      </c>
      <c r="F1647" s="11">
        <f t="shared" ref="F1647:F1651" si="1922">F1646</f>
        <v>45916.72431</v>
      </c>
      <c r="G1647" s="8">
        <v>1.314</v>
      </c>
    </row>
    <row r="1648">
      <c r="A1648" s="9" t="str">
        <f t="shared" si="1920"/>
        <v>SELDOL</v>
      </c>
      <c r="B1648" s="9" t="str">
        <f>IF(ISBLANK(A1646),"",LEFT(B1647,27)&amp;VALUE(RIGHT(B1647,1)+1))</f>
        <v>DKF250911SELDOL_20C_sample_3</v>
      </c>
      <c r="C1648" s="6" t="str">
        <f t="shared" ref="C1648:D1648" si="1921">C1647</f>
        <v>Selago dolosa</v>
      </c>
      <c r="D1648" s="6" t="str">
        <f t="shared" si="1921"/>
        <v>20C</v>
      </c>
      <c r="E1648" s="10">
        <f>IF(ISBLANK(A1646),"",E1647+1)</f>
        <v>3</v>
      </c>
      <c r="F1648" s="11">
        <f t="shared" si="1922"/>
        <v>45916.72431</v>
      </c>
      <c r="G1648" s="8">
        <v>1.172</v>
      </c>
    </row>
    <row r="1649">
      <c r="A1649" s="9" t="str">
        <f t="shared" si="1920"/>
        <v>SELDOL</v>
      </c>
      <c r="B1649" s="9" t="str">
        <f>IF(ISBLANK(A1646),"",LEFT(B1648,27)&amp;VALUE(RIGHT(B1648,1)+1))</f>
        <v>DKF250911SELDOL_20C_sample_4</v>
      </c>
      <c r="C1649" s="6" t="str">
        <f t="shared" ref="C1649:D1649" si="1923">C1648</f>
        <v>Selago dolosa</v>
      </c>
      <c r="D1649" s="6" t="str">
        <f t="shared" si="1923"/>
        <v>20C</v>
      </c>
      <c r="E1649" s="10">
        <f>IF(ISBLANK(A1646),"",E1648+1)</f>
        <v>4</v>
      </c>
      <c r="F1649" s="11">
        <f t="shared" si="1922"/>
        <v>45916.72431</v>
      </c>
      <c r="G1649" s="8">
        <v>1.295</v>
      </c>
    </row>
    <row r="1650">
      <c r="A1650" s="9" t="str">
        <f t="shared" si="1920"/>
        <v>SELDOL</v>
      </c>
      <c r="B1650" s="9" t="str">
        <f>IF(ISBLANK(A1646),"",LEFT(B1649,27)&amp;VALUE(RIGHT(B1649,1)+1))</f>
        <v>DKF250911SELDOL_20C_sample_5</v>
      </c>
      <c r="C1650" s="6" t="str">
        <f t="shared" ref="C1650:D1650" si="1924">C1649</f>
        <v>Selago dolosa</v>
      </c>
      <c r="D1650" s="6" t="str">
        <f t="shared" si="1924"/>
        <v>20C</v>
      </c>
      <c r="E1650" s="10">
        <f>IF(ISBLANK(A1646),"",E1649+1)</f>
        <v>5</v>
      </c>
      <c r="F1650" s="11">
        <f t="shared" si="1922"/>
        <v>45916.72431</v>
      </c>
      <c r="G1650" s="8"/>
    </row>
    <row r="1651">
      <c r="A1651" s="12" t="str">
        <f t="shared" si="1920"/>
        <v>SELDOL</v>
      </c>
      <c r="B1651" s="12" t="str">
        <f>IF(ISBLANK(A1646),"",LEFT(B1650,27)&amp;VALUE(RIGHT(B1650,1)+1))</f>
        <v>DKF250911SELDOL_20C_sample_6</v>
      </c>
      <c r="C1651" s="13" t="str">
        <f t="shared" ref="C1651:D1651" si="1925">C1650</f>
        <v>Selago dolosa</v>
      </c>
      <c r="D1651" s="13" t="str">
        <f t="shared" si="1925"/>
        <v>20C</v>
      </c>
      <c r="E1651" s="14">
        <f>IF(ISBLANK(A1646),"",E1650+1)</f>
        <v>6</v>
      </c>
      <c r="F1651" s="15">
        <f t="shared" si="1922"/>
        <v>45916.72431</v>
      </c>
      <c r="G1651" s="16">
        <v>0.735</v>
      </c>
    </row>
    <row r="1652">
      <c r="A1652" s="5" t="s">
        <v>14</v>
      </c>
      <c r="B1652" s="6" t="str">
        <f>IF(ISBLANK(A1652),"",VLOOKUP($A1652,'Data Feed (20C)'!$A$1:$G$14,2,FALSE))</f>
        <v>DKF250911ASPSHA_20C_sample_1</v>
      </c>
      <c r="C1652" s="6" t="str">
        <f>IF(ISBLANK(A1652),"",VLOOKUP($A1652,'Data Feed (20C)'!$A$1:$G$14,3,FALSE))</f>
        <v>Aspalathus shawii</v>
      </c>
      <c r="D1652" s="6" t="str">
        <f>IF(ISBLANK(A1652),"",VLOOKUP($A1652,'Data Feed (20C)'!$A$1:$G$14,4,FALSE))</f>
        <v>20C</v>
      </c>
      <c r="E1652" s="6">
        <f>IF(ISBLANK(A1652),"",VLOOKUP($A1652,'Data Feed (20C)'!$A$1:$G$14,7,FALSE))</f>
        <v>1</v>
      </c>
      <c r="F1652" s="7">
        <v>45917.725694444445</v>
      </c>
      <c r="G1652" s="8">
        <v>10.2</v>
      </c>
    </row>
    <row r="1653">
      <c r="A1653" s="9" t="str">
        <f t="shared" ref="A1653:A1657" si="1927">A1652</f>
        <v>ASPSHA</v>
      </c>
      <c r="B1653" s="9" t="str">
        <f>IF(ISBLANK(A1652),"",LEFT(B1652,27)&amp;VALUE(RIGHT(B1652,1)+1))</f>
        <v>DKF250911ASPSHA_20C_sample_2</v>
      </c>
      <c r="C1653" s="6" t="str">
        <f t="shared" ref="C1653:D1653" si="1926">C1652</f>
        <v>Aspalathus shawii</v>
      </c>
      <c r="D1653" s="6" t="str">
        <f t="shared" si="1926"/>
        <v>20C</v>
      </c>
      <c r="E1653" s="10">
        <f>IF(ISBLANK(A1652),"",E1652+1)</f>
        <v>2</v>
      </c>
      <c r="F1653" s="11">
        <f t="shared" ref="F1653:F1657" si="1929">F1652</f>
        <v>45917.72569</v>
      </c>
      <c r="G1653" s="8">
        <v>6.425</v>
      </c>
    </row>
    <row r="1654">
      <c r="A1654" s="9" t="str">
        <f t="shared" si="1927"/>
        <v>ASPSHA</v>
      </c>
      <c r="B1654" s="9" t="str">
        <f>IF(ISBLANK(A1652),"",LEFT(B1653,27)&amp;VALUE(RIGHT(B1653,1)+1))</f>
        <v>DKF250911ASPSHA_20C_sample_3</v>
      </c>
      <c r="C1654" s="6" t="str">
        <f t="shared" ref="C1654:D1654" si="1928">C1653</f>
        <v>Aspalathus shawii</v>
      </c>
      <c r="D1654" s="6" t="str">
        <f t="shared" si="1928"/>
        <v>20C</v>
      </c>
      <c r="E1654" s="10">
        <f>IF(ISBLANK(A1652),"",E1653+1)</f>
        <v>3</v>
      </c>
      <c r="F1654" s="11">
        <f t="shared" si="1929"/>
        <v>45917.72569</v>
      </c>
      <c r="G1654" s="8">
        <v>3.621</v>
      </c>
    </row>
    <row r="1655">
      <c r="A1655" s="9" t="str">
        <f t="shared" si="1927"/>
        <v>ASPSHA</v>
      </c>
      <c r="B1655" s="9" t="str">
        <f>IF(ISBLANK(A1652),"",LEFT(B1654,27)&amp;VALUE(RIGHT(B1654,1)+1))</f>
        <v>DKF250911ASPSHA_20C_sample_4</v>
      </c>
      <c r="C1655" s="6" t="str">
        <f t="shared" ref="C1655:D1655" si="1930">C1654</f>
        <v>Aspalathus shawii</v>
      </c>
      <c r="D1655" s="6" t="str">
        <f t="shared" si="1930"/>
        <v>20C</v>
      </c>
      <c r="E1655" s="10">
        <f>IF(ISBLANK(A1652),"",E1654+1)</f>
        <v>4</v>
      </c>
      <c r="F1655" s="11">
        <f t="shared" si="1929"/>
        <v>45917.72569</v>
      </c>
      <c r="G1655" s="8">
        <v>9.217</v>
      </c>
    </row>
    <row r="1656">
      <c r="A1656" s="9" t="str">
        <f t="shared" si="1927"/>
        <v>ASPSHA</v>
      </c>
      <c r="B1656" s="9" t="str">
        <f>IF(ISBLANK(A1652),"",LEFT(B1655,27)&amp;VALUE(RIGHT(B1655,1)+1))</f>
        <v>DKF250911ASPSHA_20C_sample_5</v>
      </c>
      <c r="C1656" s="6" t="str">
        <f t="shared" ref="C1656:D1656" si="1931">C1655</f>
        <v>Aspalathus shawii</v>
      </c>
      <c r="D1656" s="6" t="str">
        <f t="shared" si="1931"/>
        <v>20C</v>
      </c>
      <c r="E1656" s="10">
        <f>IF(ISBLANK(A1652),"",E1655+1)</f>
        <v>5</v>
      </c>
      <c r="F1656" s="11">
        <f t="shared" si="1929"/>
        <v>45917.72569</v>
      </c>
      <c r="G1656" s="8">
        <v>2.68</v>
      </c>
    </row>
    <row r="1657">
      <c r="A1657" s="12" t="str">
        <f t="shared" si="1927"/>
        <v>ASPSHA</v>
      </c>
      <c r="B1657" s="12" t="str">
        <f>IF(ISBLANK(A1652),"",LEFT(B1656,27)&amp;VALUE(RIGHT(B1656,1)+1))</f>
        <v>DKF250911ASPSHA_20C_sample_6</v>
      </c>
      <c r="C1657" s="13" t="str">
        <f t="shared" ref="C1657:D1657" si="1932">C1656</f>
        <v>Aspalathus shawii</v>
      </c>
      <c r="D1657" s="13" t="str">
        <f t="shared" si="1932"/>
        <v>20C</v>
      </c>
      <c r="E1657" s="14">
        <f>IF(ISBLANK(A1652),"",E1656+1)</f>
        <v>6</v>
      </c>
      <c r="F1657" s="15">
        <f t="shared" si="1929"/>
        <v>45917.72569</v>
      </c>
      <c r="G1657" s="16"/>
    </row>
    <row r="1658">
      <c r="A1658" s="5" t="s">
        <v>15</v>
      </c>
      <c r="B1658" s="6" t="str">
        <f>IF(ISBLANK(A1658),"",VLOOKUP($A1658,'Data Feed (20C)'!$A$1:$G$14,2,FALSE))</f>
        <v>DKR250911ELYRHI_20C_sample_1</v>
      </c>
      <c r="C1658" s="6" t="str">
        <f>IF(ISBLANK(A1658),"",VLOOKUP($A1658,'Data Feed (20C)'!$A$1:$G$14,3,FALSE))</f>
        <v>Elytropappus rhinocerotis</v>
      </c>
      <c r="D1658" s="6" t="str">
        <f>IF(ISBLANK(A1658),"",VLOOKUP($A1658,'Data Feed (20C)'!$A$1:$G$14,4,FALSE))</f>
        <v>20C</v>
      </c>
      <c r="E1658" s="6">
        <f>IF(ISBLANK(A1658),"",VLOOKUP($A1658,'Data Feed (20C)'!$A$1:$G$14,7,FALSE))</f>
        <v>1</v>
      </c>
      <c r="F1658" s="7">
        <v>45917.72708333333</v>
      </c>
      <c r="G1658" s="8">
        <v>2.331</v>
      </c>
    </row>
    <row r="1659">
      <c r="A1659" s="9" t="str">
        <f t="shared" ref="A1659:A1663" si="1934">A1658</f>
        <v>ELYRHI</v>
      </c>
      <c r="B1659" s="9" t="str">
        <f>IF(ISBLANK(A1658),"",LEFT(B1658,27)&amp;VALUE(RIGHT(B1658,1)+1))</f>
        <v>DKR250911ELYRHI_20C_sample_2</v>
      </c>
      <c r="C1659" s="6" t="str">
        <f t="shared" ref="C1659:D1659" si="1933">C1658</f>
        <v>Elytropappus rhinocerotis</v>
      </c>
      <c r="D1659" s="6" t="str">
        <f t="shared" si="1933"/>
        <v>20C</v>
      </c>
      <c r="E1659" s="10">
        <f>IF(ISBLANK(A1658),"",E1658+1)</f>
        <v>2</v>
      </c>
      <c r="F1659" s="11">
        <f t="shared" ref="F1659:F1663" si="1936">F1658</f>
        <v>45917.72708</v>
      </c>
      <c r="G1659" s="8"/>
    </row>
    <row r="1660">
      <c r="A1660" s="9" t="str">
        <f t="shared" si="1934"/>
        <v>ELYRHI</v>
      </c>
      <c r="B1660" s="9" t="str">
        <f>IF(ISBLANK(A1658),"",LEFT(B1659,27)&amp;VALUE(RIGHT(B1659,1)+1))</f>
        <v>DKR250911ELYRHI_20C_sample_3</v>
      </c>
      <c r="C1660" s="6" t="str">
        <f t="shared" ref="C1660:D1660" si="1935">C1659</f>
        <v>Elytropappus rhinocerotis</v>
      </c>
      <c r="D1660" s="6" t="str">
        <f t="shared" si="1935"/>
        <v>20C</v>
      </c>
      <c r="E1660" s="10">
        <f>IF(ISBLANK(A1658),"",E1659+1)</f>
        <v>3</v>
      </c>
      <c r="F1660" s="11">
        <f t="shared" si="1936"/>
        <v>45917.72708</v>
      </c>
      <c r="G1660" s="8">
        <v>3.84</v>
      </c>
    </row>
    <row r="1661">
      <c r="A1661" s="9" t="str">
        <f t="shared" si="1934"/>
        <v>ELYRHI</v>
      </c>
      <c r="B1661" s="9" t="str">
        <f>IF(ISBLANK(A1658),"",LEFT(B1660,27)&amp;VALUE(RIGHT(B1660,1)+1))</f>
        <v>DKR250911ELYRHI_20C_sample_4</v>
      </c>
      <c r="C1661" s="6" t="str">
        <f t="shared" ref="C1661:D1661" si="1937">C1660</f>
        <v>Elytropappus rhinocerotis</v>
      </c>
      <c r="D1661" s="6" t="str">
        <f t="shared" si="1937"/>
        <v>20C</v>
      </c>
      <c r="E1661" s="10">
        <f>IF(ISBLANK(A1658),"",E1660+1)</f>
        <v>4</v>
      </c>
      <c r="F1661" s="11">
        <f t="shared" si="1936"/>
        <v>45917.72708</v>
      </c>
      <c r="G1661" s="8">
        <v>2.656</v>
      </c>
    </row>
    <row r="1662">
      <c r="A1662" s="9" t="str">
        <f t="shared" si="1934"/>
        <v>ELYRHI</v>
      </c>
      <c r="B1662" s="9" t="str">
        <f>IF(ISBLANK(A1658),"",LEFT(B1661,27)&amp;VALUE(RIGHT(B1661,1)+1))</f>
        <v>DKR250911ELYRHI_20C_sample_5</v>
      </c>
      <c r="C1662" s="6" t="str">
        <f t="shared" ref="C1662:D1662" si="1938">C1661</f>
        <v>Elytropappus rhinocerotis</v>
      </c>
      <c r="D1662" s="6" t="str">
        <f t="shared" si="1938"/>
        <v>20C</v>
      </c>
      <c r="E1662" s="10">
        <f>IF(ISBLANK(A1658),"",E1661+1)</f>
        <v>5</v>
      </c>
      <c r="F1662" s="11">
        <f t="shared" si="1936"/>
        <v>45917.72708</v>
      </c>
      <c r="G1662" s="8">
        <v>1.559</v>
      </c>
    </row>
    <row r="1663">
      <c r="A1663" s="12" t="str">
        <f t="shared" si="1934"/>
        <v>ELYRHI</v>
      </c>
      <c r="B1663" s="12" t="str">
        <f>IF(ISBLANK(A1658),"",LEFT(B1662,27)&amp;VALUE(RIGHT(B1662,1)+1))</f>
        <v>DKR250911ELYRHI_20C_sample_6</v>
      </c>
      <c r="C1663" s="13" t="str">
        <f t="shared" ref="C1663:D1663" si="1939">C1662</f>
        <v>Elytropappus rhinocerotis</v>
      </c>
      <c r="D1663" s="13" t="str">
        <f t="shared" si="1939"/>
        <v>20C</v>
      </c>
      <c r="E1663" s="14">
        <f>IF(ISBLANK(A1658),"",E1662+1)</f>
        <v>6</v>
      </c>
      <c r="F1663" s="15">
        <f t="shared" si="1936"/>
        <v>45917.72708</v>
      </c>
      <c r="G1663" s="16"/>
    </row>
    <row r="1664">
      <c r="A1664" s="5" t="s">
        <v>10</v>
      </c>
      <c r="B1664" s="6" t="str">
        <f>IF(ISBLANK(A1664),"",VLOOKUP($A1664,'Data Feed (20C)'!$A$1:$G$14,2,FALSE))</f>
        <v>DKF250911LOBDEC_20C_sample_1</v>
      </c>
      <c r="C1664" s="6" t="str">
        <f>IF(ISBLANK(A1664),"",VLOOKUP($A1664,'Data Feed (20C)'!$A$1:$G$14,3,FALSE))</f>
        <v>Lobostemon decorus</v>
      </c>
      <c r="D1664" s="6" t="str">
        <f>IF(ISBLANK(A1664),"",VLOOKUP($A1664,'Data Feed (20C)'!$A$1:$G$14,4,FALSE))</f>
        <v>20C</v>
      </c>
      <c r="E1664" s="6">
        <f>IF(ISBLANK(A1664),"",VLOOKUP($A1664,'Data Feed (20C)'!$A$1:$G$14,7,FALSE))</f>
        <v>1</v>
      </c>
      <c r="F1664" s="7">
        <v>45917.728472222225</v>
      </c>
      <c r="G1664" s="8"/>
    </row>
    <row r="1665">
      <c r="A1665" s="9" t="str">
        <f t="shared" ref="A1665:A1669" si="1941">A1664</f>
        <v>LOBDEC</v>
      </c>
      <c r="B1665" s="9" t="str">
        <f>IF(ISBLANK(A1664),"",LEFT(B1664,27)&amp;VALUE(RIGHT(B1664,1)+1))</f>
        <v>DKF250911LOBDEC_20C_sample_2</v>
      </c>
      <c r="C1665" s="6" t="str">
        <f t="shared" ref="C1665:D1665" si="1940">C1664</f>
        <v>Lobostemon decorus</v>
      </c>
      <c r="D1665" s="6" t="str">
        <f t="shared" si="1940"/>
        <v>20C</v>
      </c>
      <c r="E1665" s="10">
        <f>IF(ISBLANK(A1664),"",E1664+1)</f>
        <v>2</v>
      </c>
      <c r="F1665" s="11">
        <f t="shared" ref="F1665:F1669" si="1943">F1664</f>
        <v>45917.72847</v>
      </c>
      <c r="G1665" s="8"/>
    </row>
    <row r="1666">
      <c r="A1666" s="9" t="str">
        <f t="shared" si="1941"/>
        <v>LOBDEC</v>
      </c>
      <c r="B1666" s="9" t="str">
        <f>IF(ISBLANK(A1664),"",LEFT(B1665,27)&amp;VALUE(RIGHT(B1665,1)+1))</f>
        <v>DKF250911LOBDEC_20C_sample_3</v>
      </c>
      <c r="C1666" s="6" t="str">
        <f t="shared" ref="C1666:D1666" si="1942">C1665</f>
        <v>Lobostemon decorus</v>
      </c>
      <c r="D1666" s="6" t="str">
        <f t="shared" si="1942"/>
        <v>20C</v>
      </c>
      <c r="E1666" s="10">
        <f>IF(ISBLANK(A1664),"",E1665+1)</f>
        <v>3</v>
      </c>
      <c r="F1666" s="11">
        <f t="shared" si="1943"/>
        <v>45917.72847</v>
      </c>
      <c r="G1666" s="8">
        <v>4.547</v>
      </c>
    </row>
    <row r="1667">
      <c r="A1667" s="9" t="str">
        <f t="shared" si="1941"/>
        <v>LOBDEC</v>
      </c>
      <c r="B1667" s="9" t="str">
        <f>IF(ISBLANK(A1664),"",LEFT(B1666,27)&amp;VALUE(RIGHT(B1666,1)+1))</f>
        <v>DKF250911LOBDEC_20C_sample_4</v>
      </c>
      <c r="C1667" s="6" t="str">
        <f t="shared" ref="C1667:D1667" si="1944">C1666</f>
        <v>Lobostemon decorus</v>
      </c>
      <c r="D1667" s="6" t="str">
        <f t="shared" si="1944"/>
        <v>20C</v>
      </c>
      <c r="E1667" s="10">
        <f>IF(ISBLANK(A1664),"",E1666+1)</f>
        <v>4</v>
      </c>
      <c r="F1667" s="11">
        <f t="shared" si="1943"/>
        <v>45917.72847</v>
      </c>
      <c r="G1667" s="8">
        <v>3.186</v>
      </c>
    </row>
    <row r="1668">
      <c r="A1668" s="9" t="str">
        <f t="shared" si="1941"/>
        <v>LOBDEC</v>
      </c>
      <c r="B1668" s="9" t="str">
        <f>IF(ISBLANK(A1664),"",LEFT(B1667,27)&amp;VALUE(RIGHT(B1667,1)+1))</f>
        <v>DKF250911LOBDEC_20C_sample_5</v>
      </c>
      <c r="C1668" s="6" t="str">
        <f t="shared" ref="C1668:D1668" si="1945">C1667</f>
        <v>Lobostemon decorus</v>
      </c>
      <c r="D1668" s="6" t="str">
        <f t="shared" si="1945"/>
        <v>20C</v>
      </c>
      <c r="E1668" s="10">
        <f>IF(ISBLANK(A1664),"",E1667+1)</f>
        <v>5</v>
      </c>
      <c r="F1668" s="11">
        <f t="shared" si="1943"/>
        <v>45917.72847</v>
      </c>
      <c r="G1668" s="8">
        <v>1.795</v>
      </c>
    </row>
    <row r="1669">
      <c r="A1669" s="12" t="str">
        <f t="shared" si="1941"/>
        <v>LOBDEC</v>
      </c>
      <c r="B1669" s="12" t="str">
        <f>IF(ISBLANK(A1664),"",LEFT(B1668,27)&amp;VALUE(RIGHT(B1668,1)+1))</f>
        <v>DKF250911LOBDEC_20C_sample_6</v>
      </c>
      <c r="C1669" s="13" t="str">
        <f t="shared" ref="C1669:D1669" si="1946">C1668</f>
        <v>Lobostemon decorus</v>
      </c>
      <c r="D1669" s="13" t="str">
        <f t="shared" si="1946"/>
        <v>20C</v>
      </c>
      <c r="E1669" s="14">
        <f>IF(ISBLANK(A1664),"",E1668+1)</f>
        <v>6</v>
      </c>
      <c r="F1669" s="15">
        <f t="shared" si="1943"/>
        <v>45917.72847</v>
      </c>
      <c r="G1669" s="16"/>
    </row>
    <row r="1670">
      <c r="A1670" s="5" t="s">
        <v>16</v>
      </c>
      <c r="B1670" s="6" t="str">
        <f>IF(ISBLANK(A1670),"",VLOOKUP($A1670,'Data Feed (20C)'!$A$1:$G$14,2,FALSE))</f>
        <v>DKR250911MICPOL_20C_sample_1</v>
      </c>
      <c r="C1670" s="6" t="str">
        <f>IF(ISBLANK(A1670),"",VLOOKUP($A1670,'Data Feed (20C)'!$A$1:$G$14,3,FALSE))</f>
        <v>Microdon polygaloides</v>
      </c>
      <c r="D1670" s="6" t="str">
        <f>IF(ISBLANK(A1670),"",VLOOKUP($A1670,'Data Feed (20C)'!$A$1:$G$14,4,FALSE))</f>
        <v>20C</v>
      </c>
      <c r="E1670" s="6">
        <f>IF(ISBLANK(A1670),"",VLOOKUP($A1670,'Data Feed (20C)'!$A$1:$G$14,7,FALSE))</f>
        <v>1</v>
      </c>
      <c r="F1670" s="7">
        <v>45917.729166666664</v>
      </c>
      <c r="G1670" s="8">
        <v>0.822</v>
      </c>
    </row>
    <row r="1671">
      <c r="A1671" s="9" t="str">
        <f t="shared" ref="A1671:A1675" si="1948">A1670</f>
        <v>MICPOL</v>
      </c>
      <c r="B1671" s="9" t="str">
        <f>IF(ISBLANK(A1670),"",LEFT(B1670,27)&amp;VALUE(RIGHT(B1670,1)+1))</f>
        <v>DKR250911MICPOL_20C_sample_2</v>
      </c>
      <c r="C1671" s="6" t="str">
        <f t="shared" ref="C1671:D1671" si="1947">C1670</f>
        <v>Microdon polygaloides</v>
      </c>
      <c r="D1671" s="6" t="str">
        <f t="shared" si="1947"/>
        <v>20C</v>
      </c>
      <c r="E1671" s="10">
        <f>IF(ISBLANK(A1670),"",E1670+1)</f>
        <v>2</v>
      </c>
      <c r="F1671" s="11">
        <f t="shared" ref="F1671:F1675" si="1950">F1670</f>
        <v>45917.72917</v>
      </c>
      <c r="G1671" s="8"/>
    </row>
    <row r="1672">
      <c r="A1672" s="9" t="str">
        <f t="shared" si="1948"/>
        <v>MICPOL</v>
      </c>
      <c r="B1672" s="9" t="str">
        <f>IF(ISBLANK(A1670),"",LEFT(B1671,27)&amp;VALUE(RIGHT(B1671,1)+1))</f>
        <v>DKR250911MICPOL_20C_sample_3</v>
      </c>
      <c r="C1672" s="6" t="str">
        <f t="shared" ref="C1672:D1672" si="1949">C1671</f>
        <v>Microdon polygaloides</v>
      </c>
      <c r="D1672" s="6" t="str">
        <f t="shared" si="1949"/>
        <v>20C</v>
      </c>
      <c r="E1672" s="10">
        <f>IF(ISBLANK(A1670),"",E1671+1)</f>
        <v>3</v>
      </c>
      <c r="F1672" s="11">
        <f t="shared" si="1950"/>
        <v>45917.72917</v>
      </c>
      <c r="G1672" s="8"/>
    </row>
    <row r="1673">
      <c r="A1673" s="9" t="str">
        <f t="shared" si="1948"/>
        <v>MICPOL</v>
      </c>
      <c r="B1673" s="9" t="str">
        <f>IF(ISBLANK(A1670),"",LEFT(B1672,27)&amp;VALUE(RIGHT(B1672,1)+1))</f>
        <v>DKR250911MICPOL_20C_sample_4</v>
      </c>
      <c r="C1673" s="6" t="str">
        <f t="shared" ref="C1673:D1673" si="1951">C1672</f>
        <v>Microdon polygaloides</v>
      </c>
      <c r="D1673" s="6" t="str">
        <f t="shared" si="1951"/>
        <v>20C</v>
      </c>
      <c r="E1673" s="10">
        <f>IF(ISBLANK(A1670),"",E1672+1)</f>
        <v>4</v>
      </c>
      <c r="F1673" s="11">
        <f t="shared" si="1950"/>
        <v>45917.72917</v>
      </c>
      <c r="G1673" s="8"/>
    </row>
    <row r="1674">
      <c r="A1674" s="9" t="str">
        <f t="shared" si="1948"/>
        <v>MICPOL</v>
      </c>
      <c r="B1674" s="9" t="str">
        <f>IF(ISBLANK(A1670),"",LEFT(B1673,27)&amp;VALUE(RIGHT(B1673,1)+1))</f>
        <v>DKR250911MICPOL_20C_sample_5</v>
      </c>
      <c r="C1674" s="6" t="str">
        <f t="shared" ref="C1674:D1674" si="1952">C1673</f>
        <v>Microdon polygaloides</v>
      </c>
      <c r="D1674" s="6" t="str">
        <f t="shared" si="1952"/>
        <v>20C</v>
      </c>
      <c r="E1674" s="10">
        <f>IF(ISBLANK(A1670),"",E1673+1)</f>
        <v>5</v>
      </c>
      <c r="F1674" s="11">
        <f t="shared" si="1950"/>
        <v>45917.72917</v>
      </c>
      <c r="G1674" s="8"/>
    </row>
    <row r="1675">
      <c r="A1675" s="12" t="str">
        <f t="shared" si="1948"/>
        <v>MICPOL</v>
      </c>
      <c r="B1675" s="12" t="str">
        <f>IF(ISBLANK(A1670),"",LEFT(B1674,27)&amp;VALUE(RIGHT(B1674,1)+1))</f>
        <v>DKR250911MICPOL_20C_sample_6</v>
      </c>
      <c r="C1675" s="13" t="str">
        <f t="shared" ref="C1675:D1675" si="1953">C1674</f>
        <v>Microdon polygaloides</v>
      </c>
      <c r="D1675" s="13" t="str">
        <f t="shared" si="1953"/>
        <v>20C</v>
      </c>
      <c r="E1675" s="14">
        <f>IF(ISBLANK(A1670),"",E1674+1)</f>
        <v>6</v>
      </c>
      <c r="F1675" s="15">
        <f t="shared" si="1950"/>
        <v>45917.72917</v>
      </c>
      <c r="G1675" s="16"/>
    </row>
    <row r="1676">
      <c r="A1676" s="5" t="s">
        <v>7</v>
      </c>
      <c r="B1676" s="6" t="str">
        <f>IF(ISBLANK(A1676),"",VLOOKUP($A1676,'Data Feed (20C)'!$A$1:$G$14,2,FALSE))</f>
        <v>DKR250911PASOBT_20C_sample_1</v>
      </c>
      <c r="C1676" s="6" t="str">
        <f>IF(ISBLANK(A1676),"",VLOOKUP($A1676,'Data Feed (20C)'!$A$1:$G$14,3,FALSE))</f>
        <v>Passerina obtusifolia</v>
      </c>
      <c r="D1676" s="6" t="str">
        <f>IF(ISBLANK(A1676),"",VLOOKUP($A1676,'Data Feed (20C)'!$A$1:$G$14,4,FALSE))</f>
        <v>20C</v>
      </c>
      <c r="E1676" s="6">
        <f>IF(ISBLANK(A1676),"",VLOOKUP($A1676,'Data Feed (20C)'!$A$1:$G$14,7,FALSE))</f>
        <v>1</v>
      </c>
      <c r="F1676" s="7">
        <v>45917.72986111111</v>
      </c>
      <c r="G1676" s="8">
        <v>2.051</v>
      </c>
    </row>
    <row r="1677">
      <c r="A1677" s="9" t="str">
        <f t="shared" ref="A1677:A1681" si="1955">A1676</f>
        <v>PASOBT</v>
      </c>
      <c r="B1677" s="9" t="str">
        <f>IF(ISBLANK(A1676),"",LEFT(B1676,27)&amp;VALUE(RIGHT(B1676,1)+1))</f>
        <v>DKR250911PASOBT_20C_sample_2</v>
      </c>
      <c r="C1677" s="6" t="str">
        <f t="shared" ref="C1677:D1677" si="1954">C1676</f>
        <v>Passerina obtusifolia</v>
      </c>
      <c r="D1677" s="6" t="str">
        <f t="shared" si="1954"/>
        <v>20C</v>
      </c>
      <c r="E1677" s="10">
        <f>IF(ISBLANK(A1676),"",E1676+1)</f>
        <v>2</v>
      </c>
      <c r="F1677" s="11">
        <f t="shared" ref="F1677:F1681" si="1957">F1676</f>
        <v>45917.72986</v>
      </c>
      <c r="G1677" s="8">
        <v>2.747</v>
      </c>
    </row>
    <row r="1678">
      <c r="A1678" s="9" t="str">
        <f t="shared" si="1955"/>
        <v>PASOBT</v>
      </c>
      <c r="B1678" s="9" t="str">
        <f>IF(ISBLANK(A1676),"",LEFT(B1677,27)&amp;VALUE(RIGHT(B1677,1)+1))</f>
        <v>DKR250911PASOBT_20C_sample_3</v>
      </c>
      <c r="C1678" s="6" t="str">
        <f t="shared" ref="C1678:D1678" si="1956">C1677</f>
        <v>Passerina obtusifolia</v>
      </c>
      <c r="D1678" s="6" t="str">
        <f t="shared" si="1956"/>
        <v>20C</v>
      </c>
      <c r="E1678" s="10">
        <f>IF(ISBLANK(A1676),"",E1677+1)</f>
        <v>3</v>
      </c>
      <c r="F1678" s="11">
        <f t="shared" si="1957"/>
        <v>45917.72986</v>
      </c>
      <c r="G1678" s="8"/>
    </row>
    <row r="1679">
      <c r="A1679" s="9" t="str">
        <f t="shared" si="1955"/>
        <v>PASOBT</v>
      </c>
      <c r="B1679" s="9" t="str">
        <f>IF(ISBLANK(A1676),"",LEFT(B1678,27)&amp;VALUE(RIGHT(B1678,1)+1))</f>
        <v>DKR250911PASOBT_20C_sample_4</v>
      </c>
      <c r="C1679" s="6" t="str">
        <f t="shared" ref="C1679:D1679" si="1958">C1678</f>
        <v>Passerina obtusifolia</v>
      </c>
      <c r="D1679" s="6" t="str">
        <f t="shared" si="1958"/>
        <v>20C</v>
      </c>
      <c r="E1679" s="10">
        <f>IF(ISBLANK(A1676),"",E1678+1)</f>
        <v>4</v>
      </c>
      <c r="F1679" s="11">
        <f t="shared" si="1957"/>
        <v>45917.72986</v>
      </c>
      <c r="G1679" s="8"/>
    </row>
    <row r="1680">
      <c r="A1680" s="9" t="str">
        <f t="shared" si="1955"/>
        <v>PASOBT</v>
      </c>
      <c r="B1680" s="9" t="str">
        <f>IF(ISBLANK(A1676),"",LEFT(B1679,27)&amp;VALUE(RIGHT(B1679,1)+1))</f>
        <v>DKR250911PASOBT_20C_sample_5</v>
      </c>
      <c r="C1680" s="6" t="str">
        <f t="shared" ref="C1680:D1680" si="1959">C1679</f>
        <v>Passerina obtusifolia</v>
      </c>
      <c r="D1680" s="6" t="str">
        <f t="shared" si="1959"/>
        <v>20C</v>
      </c>
      <c r="E1680" s="10">
        <f>IF(ISBLANK(A1676),"",E1679+1)</f>
        <v>5</v>
      </c>
      <c r="F1680" s="11">
        <f t="shared" si="1957"/>
        <v>45917.72986</v>
      </c>
      <c r="G1680" s="8"/>
    </row>
    <row r="1681">
      <c r="A1681" s="12" t="str">
        <f t="shared" si="1955"/>
        <v>PASOBT</v>
      </c>
      <c r="B1681" s="12" t="str">
        <f>IF(ISBLANK(A1676),"",LEFT(B1680,27)&amp;VALUE(RIGHT(B1680,1)+1))</f>
        <v>DKR250911PASOBT_20C_sample_6</v>
      </c>
      <c r="C1681" s="13" t="str">
        <f t="shared" ref="C1681:D1681" si="1960">C1680</f>
        <v>Passerina obtusifolia</v>
      </c>
      <c r="D1681" s="13" t="str">
        <f t="shared" si="1960"/>
        <v>20C</v>
      </c>
      <c r="E1681" s="14">
        <f>IF(ISBLANK(A1676),"",E1680+1)</f>
        <v>6</v>
      </c>
      <c r="F1681" s="15">
        <f t="shared" si="1957"/>
        <v>45917.72986</v>
      </c>
      <c r="G1681" s="16"/>
    </row>
    <row r="1682">
      <c r="A1682" s="5" t="s">
        <v>9</v>
      </c>
      <c r="B1682" s="6" t="str">
        <f>IF(ISBLANK(A1682),"",VLOOKUP($A1682,'Data Feed (20C)'!$A$1:$G$14,2,FALSE))</f>
        <v>DKR250911PROLAU_20C_sample_1</v>
      </c>
      <c r="C1682" s="6" t="str">
        <f>IF(ISBLANK(A1682),"",VLOOKUP($A1682,'Data Feed (20C)'!$A$1:$G$14,3,FALSE))</f>
        <v>Protea laurifolia</v>
      </c>
      <c r="D1682" s="6" t="str">
        <f>IF(ISBLANK(A1682),"",VLOOKUP($A1682,'Data Feed (20C)'!$A$1:$G$14,4,FALSE))</f>
        <v>20C</v>
      </c>
      <c r="E1682" s="6">
        <f>IF(ISBLANK(A1682),"",VLOOKUP($A1682,'Data Feed (20C)'!$A$1:$G$14,7,FALSE))</f>
        <v>1</v>
      </c>
      <c r="F1682" s="7">
        <v>45917.73055555556</v>
      </c>
      <c r="G1682" s="8">
        <v>0.852</v>
      </c>
    </row>
    <row r="1683">
      <c r="A1683" s="9" t="str">
        <f t="shared" ref="A1683:A1687" si="1962">A1682</f>
        <v>PROLAU</v>
      </c>
      <c r="B1683" s="9" t="str">
        <f>IF(ISBLANK(A1682),"",LEFT(B1682,27)&amp;VALUE(RIGHT(B1682,1)+1))</f>
        <v>DKR250911PROLAU_20C_sample_2</v>
      </c>
      <c r="C1683" s="6" t="str">
        <f t="shared" ref="C1683:D1683" si="1961">C1682</f>
        <v>Protea laurifolia</v>
      </c>
      <c r="D1683" s="6" t="str">
        <f t="shared" si="1961"/>
        <v>20C</v>
      </c>
      <c r="E1683" s="10">
        <f>IF(ISBLANK(A1682),"",E1682+1)</f>
        <v>2</v>
      </c>
      <c r="F1683" s="11">
        <f t="shared" ref="F1683:F1687" si="1964">F1682</f>
        <v>45917.73056</v>
      </c>
      <c r="G1683" s="8"/>
    </row>
    <row r="1684">
      <c r="A1684" s="9" t="str">
        <f t="shared" si="1962"/>
        <v>PROLAU</v>
      </c>
      <c r="B1684" s="9" t="str">
        <f>IF(ISBLANK(A1682),"",LEFT(B1683,27)&amp;VALUE(RIGHT(B1683,1)+1))</f>
        <v>DKR250911PROLAU_20C_sample_3</v>
      </c>
      <c r="C1684" s="6" t="str">
        <f t="shared" ref="C1684:D1684" si="1963">C1683</f>
        <v>Protea laurifolia</v>
      </c>
      <c r="D1684" s="6" t="str">
        <f t="shared" si="1963"/>
        <v>20C</v>
      </c>
      <c r="E1684" s="10">
        <f>IF(ISBLANK(A1682),"",E1683+1)</f>
        <v>3</v>
      </c>
      <c r="F1684" s="11">
        <f t="shared" si="1964"/>
        <v>45917.73056</v>
      </c>
      <c r="G1684" s="8">
        <v>0.955</v>
      </c>
    </row>
    <row r="1685">
      <c r="A1685" s="9" t="str">
        <f t="shared" si="1962"/>
        <v>PROLAU</v>
      </c>
      <c r="B1685" s="9" t="str">
        <f>IF(ISBLANK(A1682),"",LEFT(B1684,27)&amp;VALUE(RIGHT(B1684,1)+1))</f>
        <v>DKR250911PROLAU_20C_sample_4</v>
      </c>
      <c r="C1685" s="6" t="str">
        <f t="shared" ref="C1685:D1685" si="1965">C1684</f>
        <v>Protea laurifolia</v>
      </c>
      <c r="D1685" s="6" t="str">
        <f t="shared" si="1965"/>
        <v>20C</v>
      </c>
      <c r="E1685" s="10">
        <f>IF(ISBLANK(A1682),"",E1684+1)</f>
        <v>4</v>
      </c>
      <c r="F1685" s="11">
        <f t="shared" si="1964"/>
        <v>45917.73056</v>
      </c>
      <c r="G1685" s="8">
        <v>0.466</v>
      </c>
    </row>
    <row r="1686">
      <c r="A1686" s="9" t="str">
        <f t="shared" si="1962"/>
        <v>PROLAU</v>
      </c>
      <c r="B1686" s="9" t="str">
        <f>IF(ISBLANK(A1682),"",LEFT(B1685,27)&amp;VALUE(RIGHT(B1685,1)+1))</f>
        <v>DKR250911PROLAU_20C_sample_5</v>
      </c>
      <c r="C1686" s="6" t="str">
        <f t="shared" ref="C1686:D1686" si="1966">C1685</f>
        <v>Protea laurifolia</v>
      </c>
      <c r="D1686" s="6" t="str">
        <f t="shared" si="1966"/>
        <v>20C</v>
      </c>
      <c r="E1686" s="10">
        <f>IF(ISBLANK(A1682),"",E1685+1)</f>
        <v>5</v>
      </c>
      <c r="F1686" s="11">
        <f t="shared" si="1964"/>
        <v>45917.73056</v>
      </c>
      <c r="G1686" s="8">
        <v>0.763</v>
      </c>
    </row>
    <row r="1687">
      <c r="A1687" s="12" t="str">
        <f t="shared" si="1962"/>
        <v>PROLAU</v>
      </c>
      <c r="B1687" s="12" t="str">
        <f>IF(ISBLANK(A1682),"",LEFT(B1686,27)&amp;VALUE(RIGHT(B1686,1)+1))</f>
        <v>DKR250911PROLAU_20C_sample_6</v>
      </c>
      <c r="C1687" s="13" t="str">
        <f t="shared" ref="C1687:D1687" si="1967">C1686</f>
        <v>Protea laurifolia</v>
      </c>
      <c r="D1687" s="13" t="str">
        <f t="shared" si="1967"/>
        <v>20C</v>
      </c>
      <c r="E1687" s="14">
        <f>IF(ISBLANK(A1682),"",E1686+1)</f>
        <v>6</v>
      </c>
      <c r="F1687" s="15">
        <f t="shared" si="1964"/>
        <v>45917.73056</v>
      </c>
      <c r="G1687" s="16">
        <v>0.649</v>
      </c>
    </row>
    <row r="1688">
      <c r="A1688" s="5" t="s">
        <v>8</v>
      </c>
      <c r="B1688" s="6" t="str">
        <f>IF(ISBLANK(A1688),"",VLOOKUP($A1688,'Data Feed (20C)'!$A$1:$G$14,2,FALSE))</f>
        <v>DKF250911PROLOR_20C_sample_1</v>
      </c>
      <c r="C1688" s="6" t="str">
        <f>IF(ISBLANK(A1688),"",VLOOKUP($A1688,'Data Feed (20C)'!$A$1:$G$14,3,FALSE))</f>
        <v>Protea lorifolia</v>
      </c>
      <c r="D1688" s="6" t="str">
        <f>IF(ISBLANK(A1688),"",VLOOKUP($A1688,'Data Feed (20C)'!$A$1:$G$14,4,FALSE))</f>
        <v>20C</v>
      </c>
      <c r="E1688" s="6">
        <f>IF(ISBLANK(A1688),"",VLOOKUP($A1688,'Data Feed (20C)'!$A$1:$G$14,7,FALSE))</f>
        <v>1</v>
      </c>
      <c r="F1688" s="7">
        <v>45917.73125</v>
      </c>
      <c r="G1688" s="8">
        <v>2.202</v>
      </c>
    </row>
    <row r="1689">
      <c r="A1689" s="9" t="str">
        <f t="shared" ref="A1689:A1693" si="1969">A1688</f>
        <v>PROLOR</v>
      </c>
      <c r="B1689" s="9" t="str">
        <f>IF(ISBLANK(A1688),"",LEFT(B1688,27)&amp;VALUE(RIGHT(B1688,1)+1))</f>
        <v>DKF250911PROLOR_20C_sample_2</v>
      </c>
      <c r="C1689" s="6" t="str">
        <f t="shared" ref="C1689:D1689" si="1968">C1688</f>
        <v>Protea lorifolia</v>
      </c>
      <c r="D1689" s="6" t="str">
        <f t="shared" si="1968"/>
        <v>20C</v>
      </c>
      <c r="E1689" s="10">
        <f>IF(ISBLANK(A1688),"",E1688+1)</f>
        <v>2</v>
      </c>
      <c r="F1689" s="11">
        <f t="shared" ref="F1689:F1693" si="1971">F1688</f>
        <v>45917.73125</v>
      </c>
      <c r="G1689" s="8">
        <v>1.823</v>
      </c>
    </row>
    <row r="1690">
      <c r="A1690" s="9" t="str">
        <f t="shared" si="1969"/>
        <v>PROLOR</v>
      </c>
      <c r="B1690" s="9" t="str">
        <f>IF(ISBLANK(A1688),"",LEFT(B1689,27)&amp;VALUE(RIGHT(B1689,1)+1))</f>
        <v>DKF250911PROLOR_20C_sample_3</v>
      </c>
      <c r="C1690" s="6" t="str">
        <f t="shared" ref="C1690:D1690" si="1970">C1689</f>
        <v>Protea lorifolia</v>
      </c>
      <c r="D1690" s="6" t="str">
        <f t="shared" si="1970"/>
        <v>20C</v>
      </c>
      <c r="E1690" s="10">
        <f>IF(ISBLANK(A1688),"",E1689+1)</f>
        <v>3</v>
      </c>
      <c r="F1690" s="11">
        <f t="shared" si="1971"/>
        <v>45917.73125</v>
      </c>
      <c r="G1690" s="8">
        <v>1.98</v>
      </c>
    </row>
    <row r="1691">
      <c r="A1691" s="9" t="str">
        <f t="shared" si="1969"/>
        <v>PROLOR</v>
      </c>
      <c r="B1691" s="9" t="str">
        <f>IF(ISBLANK(A1688),"",LEFT(B1690,27)&amp;VALUE(RIGHT(B1690,1)+1))</f>
        <v>DKF250911PROLOR_20C_sample_4</v>
      </c>
      <c r="C1691" s="6" t="str">
        <f t="shared" ref="C1691:D1691" si="1972">C1690</f>
        <v>Protea lorifolia</v>
      </c>
      <c r="D1691" s="6" t="str">
        <f t="shared" si="1972"/>
        <v>20C</v>
      </c>
      <c r="E1691" s="10">
        <f>IF(ISBLANK(A1688),"",E1690+1)</f>
        <v>4</v>
      </c>
      <c r="F1691" s="11">
        <f t="shared" si="1971"/>
        <v>45917.73125</v>
      </c>
      <c r="G1691" s="8">
        <v>2.419</v>
      </c>
    </row>
    <row r="1692">
      <c r="A1692" s="9" t="str">
        <f t="shared" si="1969"/>
        <v>PROLOR</v>
      </c>
      <c r="B1692" s="9" t="str">
        <f>IF(ISBLANK(A1688),"",LEFT(B1691,27)&amp;VALUE(RIGHT(B1691,1)+1))</f>
        <v>DKF250911PROLOR_20C_sample_5</v>
      </c>
      <c r="C1692" s="6" t="str">
        <f t="shared" ref="C1692:D1692" si="1973">C1691</f>
        <v>Protea lorifolia</v>
      </c>
      <c r="D1692" s="6" t="str">
        <f t="shared" si="1973"/>
        <v>20C</v>
      </c>
      <c r="E1692" s="10">
        <f>IF(ISBLANK(A1688),"",E1691+1)</f>
        <v>5</v>
      </c>
      <c r="F1692" s="11">
        <f t="shared" si="1971"/>
        <v>45917.73125</v>
      </c>
      <c r="G1692" s="8">
        <v>4.108</v>
      </c>
    </row>
    <row r="1693">
      <c r="A1693" s="12" t="str">
        <f t="shared" si="1969"/>
        <v>PROLOR</v>
      </c>
      <c r="B1693" s="12" t="str">
        <f>IF(ISBLANK(A1688),"",LEFT(B1692,27)&amp;VALUE(RIGHT(B1692,1)+1))</f>
        <v>DKF250911PROLOR_20C_sample_6</v>
      </c>
      <c r="C1693" s="13" t="str">
        <f t="shared" ref="C1693:D1693" si="1974">C1692</f>
        <v>Protea lorifolia</v>
      </c>
      <c r="D1693" s="13" t="str">
        <f t="shared" si="1974"/>
        <v>20C</v>
      </c>
      <c r="E1693" s="14">
        <f>IF(ISBLANK(A1688),"",E1692+1)</f>
        <v>6</v>
      </c>
      <c r="F1693" s="15">
        <f t="shared" si="1971"/>
        <v>45917.73125</v>
      </c>
      <c r="G1693" s="16">
        <v>4.023</v>
      </c>
    </row>
    <row r="1694">
      <c r="A1694" s="5" t="s">
        <v>13</v>
      </c>
      <c r="B1694" s="6" t="str">
        <f>IF(ISBLANK(A1694),"",VLOOKUP($A1694,'Data Feed (20C)'!$A$1:$G$14,2,FALSE))</f>
        <v>DKR250911RUSMUL_20C_sample_1</v>
      </c>
      <c r="C1694" s="6" t="str">
        <f>IF(ISBLANK(A1694),"",VLOOKUP($A1694,'Data Feed (20C)'!$A$1:$G$14,3,FALSE))</f>
        <v>Ruschia multiflora</v>
      </c>
      <c r="D1694" s="6" t="str">
        <f>IF(ISBLANK(A1694),"",VLOOKUP($A1694,'Data Feed (20C)'!$A$1:$G$14,4,FALSE))</f>
        <v>20C</v>
      </c>
      <c r="E1694" s="6">
        <f>IF(ISBLANK(A1694),"",VLOOKUP($A1694,'Data Feed (20C)'!$A$1:$G$14,7,FALSE))</f>
        <v>1</v>
      </c>
      <c r="F1694" s="7">
        <v>45917.73263888889</v>
      </c>
      <c r="G1694" s="8">
        <v>2.631</v>
      </c>
    </row>
    <row r="1695">
      <c r="A1695" s="9" t="str">
        <f t="shared" ref="A1695:A1699" si="1976">A1694</f>
        <v>RUSMUL</v>
      </c>
      <c r="B1695" s="9" t="str">
        <f>IF(ISBLANK(A1694),"",LEFT(B1694,27)&amp;VALUE(RIGHT(B1694,1)+1))</f>
        <v>DKR250911RUSMUL_20C_sample_2</v>
      </c>
      <c r="C1695" s="6" t="str">
        <f t="shared" ref="C1695:D1695" si="1975">C1694</f>
        <v>Ruschia multiflora</v>
      </c>
      <c r="D1695" s="6" t="str">
        <f t="shared" si="1975"/>
        <v>20C</v>
      </c>
      <c r="E1695" s="10">
        <f>IF(ISBLANK(A1694),"",E1694+1)</f>
        <v>2</v>
      </c>
      <c r="F1695" s="11">
        <f t="shared" ref="F1695:F1699" si="1978">F1694</f>
        <v>45917.73264</v>
      </c>
      <c r="G1695" s="8">
        <v>2.702</v>
      </c>
    </row>
    <row r="1696">
      <c r="A1696" s="9" t="str">
        <f t="shared" si="1976"/>
        <v>RUSMUL</v>
      </c>
      <c r="B1696" s="9" t="str">
        <f>IF(ISBLANK(A1694),"",LEFT(B1695,27)&amp;VALUE(RIGHT(B1695,1)+1))</f>
        <v>DKR250911RUSMUL_20C_sample_3</v>
      </c>
      <c r="C1696" s="6" t="str">
        <f t="shared" ref="C1696:D1696" si="1977">C1695</f>
        <v>Ruschia multiflora</v>
      </c>
      <c r="D1696" s="6" t="str">
        <f t="shared" si="1977"/>
        <v>20C</v>
      </c>
      <c r="E1696" s="10">
        <f>IF(ISBLANK(A1694),"",E1695+1)</f>
        <v>3</v>
      </c>
      <c r="F1696" s="11">
        <f t="shared" si="1978"/>
        <v>45917.73264</v>
      </c>
      <c r="G1696" s="8">
        <v>6.173</v>
      </c>
    </row>
    <row r="1697">
      <c r="A1697" s="9" t="str">
        <f t="shared" si="1976"/>
        <v>RUSMUL</v>
      </c>
      <c r="B1697" s="9" t="str">
        <f>IF(ISBLANK(A1694),"",LEFT(B1696,27)&amp;VALUE(RIGHT(B1696,1)+1))</f>
        <v>DKR250911RUSMUL_20C_sample_4</v>
      </c>
      <c r="C1697" s="6" t="str">
        <f t="shared" ref="C1697:D1697" si="1979">C1696</f>
        <v>Ruschia multiflora</v>
      </c>
      <c r="D1697" s="6" t="str">
        <f t="shared" si="1979"/>
        <v>20C</v>
      </c>
      <c r="E1697" s="10">
        <f>IF(ISBLANK(A1694),"",E1696+1)</f>
        <v>4</v>
      </c>
      <c r="F1697" s="11">
        <f t="shared" si="1978"/>
        <v>45917.73264</v>
      </c>
      <c r="G1697" s="8">
        <v>3.108</v>
      </c>
    </row>
    <row r="1698">
      <c r="A1698" s="9" t="str">
        <f t="shared" si="1976"/>
        <v>RUSMUL</v>
      </c>
      <c r="B1698" s="9" t="str">
        <f>IF(ISBLANK(A1694),"",LEFT(B1697,27)&amp;VALUE(RIGHT(B1697,1)+1))</f>
        <v>DKR250911RUSMUL_20C_sample_5</v>
      </c>
      <c r="C1698" s="6" t="str">
        <f t="shared" ref="C1698:D1698" si="1980">C1697</f>
        <v>Ruschia multiflora</v>
      </c>
      <c r="D1698" s="6" t="str">
        <f t="shared" si="1980"/>
        <v>20C</v>
      </c>
      <c r="E1698" s="10">
        <f>IF(ISBLANK(A1694),"",E1697+1)</f>
        <v>5</v>
      </c>
      <c r="F1698" s="11">
        <f t="shared" si="1978"/>
        <v>45917.73264</v>
      </c>
      <c r="G1698" s="8">
        <v>2.87</v>
      </c>
    </row>
    <row r="1699">
      <c r="A1699" s="12" t="str">
        <f t="shared" si="1976"/>
        <v>RUSMUL</v>
      </c>
      <c r="B1699" s="12" t="str">
        <f>IF(ISBLANK(A1694),"",LEFT(B1698,27)&amp;VALUE(RIGHT(B1698,1)+1))</f>
        <v>DKR250911RUSMUL_20C_sample_6</v>
      </c>
      <c r="C1699" s="13" t="str">
        <f t="shared" ref="C1699:D1699" si="1981">C1698</f>
        <v>Ruschia multiflora</v>
      </c>
      <c r="D1699" s="13" t="str">
        <f t="shared" si="1981"/>
        <v>20C</v>
      </c>
      <c r="E1699" s="14">
        <f>IF(ISBLANK(A1694),"",E1698+1)</f>
        <v>6</v>
      </c>
      <c r="F1699" s="15">
        <f t="shared" si="1978"/>
        <v>45917.73264</v>
      </c>
      <c r="G1699" s="16">
        <v>2.491</v>
      </c>
    </row>
    <row r="1700">
      <c r="A1700" s="5" t="s">
        <v>11</v>
      </c>
      <c r="B1700" s="6" t="str">
        <f>IF(ISBLANK(A1700),"",VLOOKUP($A1700,'Data Feed (20C)'!$A$1:$G$14,2,FALSE))</f>
        <v>DKF250911SELDOL_20C_sample_1</v>
      </c>
      <c r="C1700" s="6" t="str">
        <f>IF(ISBLANK(A1700),"",VLOOKUP($A1700,'Data Feed (20C)'!$A$1:$G$14,3,FALSE))</f>
        <v>Selago dolosa</v>
      </c>
      <c r="D1700" s="6" t="str">
        <f>IF(ISBLANK(A1700),"",VLOOKUP($A1700,'Data Feed (20C)'!$A$1:$G$14,4,FALSE))</f>
        <v>20C</v>
      </c>
      <c r="E1700" s="6">
        <f>IF(ISBLANK(A1700),"",VLOOKUP($A1700,'Data Feed (20C)'!$A$1:$G$14,7,FALSE))</f>
        <v>1</v>
      </c>
      <c r="F1700" s="7">
        <v>45917.73402777778</v>
      </c>
      <c r="G1700" s="8">
        <v>0.812</v>
      </c>
    </row>
    <row r="1701">
      <c r="A1701" s="9" t="str">
        <f t="shared" ref="A1701:A1705" si="1983">A1700</f>
        <v>SELDOL</v>
      </c>
      <c r="B1701" s="9" t="str">
        <f>IF(ISBLANK(A1700),"",LEFT(B1700,27)&amp;VALUE(RIGHT(B1700,1)+1))</f>
        <v>DKF250911SELDOL_20C_sample_2</v>
      </c>
      <c r="C1701" s="6" t="str">
        <f t="shared" ref="C1701:D1701" si="1982">C1700</f>
        <v>Selago dolosa</v>
      </c>
      <c r="D1701" s="6" t="str">
        <f t="shared" si="1982"/>
        <v>20C</v>
      </c>
      <c r="E1701" s="10">
        <f>IF(ISBLANK(A1700),"",E1700+1)</f>
        <v>2</v>
      </c>
      <c r="F1701" s="11">
        <f t="shared" ref="F1701:F1705" si="1985">F1700</f>
        <v>45917.73403</v>
      </c>
      <c r="G1701" s="8">
        <v>1.3</v>
      </c>
    </row>
    <row r="1702">
      <c r="A1702" s="9" t="str">
        <f t="shared" si="1983"/>
        <v>SELDOL</v>
      </c>
      <c r="B1702" s="9" t="str">
        <f>IF(ISBLANK(A1700),"",LEFT(B1701,27)&amp;VALUE(RIGHT(B1701,1)+1))</f>
        <v>DKF250911SELDOL_20C_sample_3</v>
      </c>
      <c r="C1702" s="6" t="str">
        <f t="shared" ref="C1702:D1702" si="1984">C1701</f>
        <v>Selago dolosa</v>
      </c>
      <c r="D1702" s="6" t="str">
        <f t="shared" si="1984"/>
        <v>20C</v>
      </c>
      <c r="E1702" s="10">
        <f>IF(ISBLANK(A1700),"",E1701+1)</f>
        <v>3</v>
      </c>
      <c r="F1702" s="11">
        <f t="shared" si="1985"/>
        <v>45917.73403</v>
      </c>
      <c r="G1702" s="8">
        <v>1.152</v>
      </c>
    </row>
    <row r="1703">
      <c r="A1703" s="9" t="str">
        <f t="shared" si="1983"/>
        <v>SELDOL</v>
      </c>
      <c r="B1703" s="9" t="str">
        <f>IF(ISBLANK(A1700),"",LEFT(B1702,27)&amp;VALUE(RIGHT(B1702,1)+1))</f>
        <v>DKF250911SELDOL_20C_sample_4</v>
      </c>
      <c r="C1703" s="6" t="str">
        <f t="shared" ref="C1703:D1703" si="1986">C1702</f>
        <v>Selago dolosa</v>
      </c>
      <c r="D1703" s="6" t="str">
        <f t="shared" si="1986"/>
        <v>20C</v>
      </c>
      <c r="E1703" s="10">
        <f>IF(ISBLANK(A1700),"",E1702+1)</f>
        <v>4</v>
      </c>
      <c r="F1703" s="11">
        <f t="shared" si="1985"/>
        <v>45917.73403</v>
      </c>
      <c r="G1703" s="8">
        <v>1.274</v>
      </c>
    </row>
    <row r="1704">
      <c r="A1704" s="9" t="str">
        <f t="shared" si="1983"/>
        <v>SELDOL</v>
      </c>
      <c r="B1704" s="9" t="str">
        <f>IF(ISBLANK(A1700),"",LEFT(B1703,27)&amp;VALUE(RIGHT(B1703,1)+1))</f>
        <v>DKF250911SELDOL_20C_sample_5</v>
      </c>
      <c r="C1704" s="6" t="str">
        <f t="shared" ref="C1704:D1704" si="1987">C1703</f>
        <v>Selago dolosa</v>
      </c>
      <c r="D1704" s="6" t="str">
        <f t="shared" si="1987"/>
        <v>20C</v>
      </c>
      <c r="E1704" s="10">
        <f>IF(ISBLANK(A1700),"",E1703+1)</f>
        <v>5</v>
      </c>
      <c r="F1704" s="11">
        <f t="shared" si="1985"/>
        <v>45917.73403</v>
      </c>
      <c r="G1704" s="8"/>
    </row>
    <row r="1705">
      <c r="A1705" s="12" t="str">
        <f t="shared" si="1983"/>
        <v>SELDOL</v>
      </c>
      <c r="B1705" s="12" t="str">
        <f>IF(ISBLANK(A1700),"",LEFT(B1704,27)&amp;VALUE(RIGHT(B1704,1)+1))</f>
        <v>DKF250911SELDOL_20C_sample_6</v>
      </c>
      <c r="C1705" s="13" t="str">
        <f t="shared" ref="C1705:D1705" si="1988">C1704</f>
        <v>Selago dolosa</v>
      </c>
      <c r="D1705" s="13" t="str">
        <f t="shared" si="1988"/>
        <v>20C</v>
      </c>
      <c r="E1705" s="14">
        <f>IF(ISBLANK(A1700),"",E1704+1)</f>
        <v>6</v>
      </c>
      <c r="F1705" s="15">
        <f t="shared" si="1985"/>
        <v>45917.73403</v>
      </c>
      <c r="G1705" s="16">
        <v>0.719</v>
      </c>
    </row>
    <row r="1706">
      <c r="A1706" s="5" t="s">
        <v>14</v>
      </c>
      <c r="B1706" s="6" t="str">
        <f>IF(ISBLANK(A1706),"",VLOOKUP($A1706,'Data Feed (20C)'!$A$1:$G$14,2,FALSE))</f>
        <v>DKF250911ASPSHA_20C_sample_1</v>
      </c>
      <c r="C1706" s="6" t="str">
        <f>IF(ISBLANK(A1706),"",VLOOKUP($A1706,'Data Feed (20C)'!$A$1:$G$14,3,FALSE))</f>
        <v>Aspalathus shawii</v>
      </c>
      <c r="D1706" s="6" t="str">
        <f>IF(ISBLANK(A1706),"",VLOOKUP($A1706,'Data Feed (20C)'!$A$1:$G$14,4,FALSE))</f>
        <v>20C</v>
      </c>
      <c r="E1706" s="6">
        <f>IF(ISBLANK(A1706),"",VLOOKUP($A1706,'Data Feed (20C)'!$A$1:$G$14,7,FALSE))</f>
        <v>1</v>
      </c>
      <c r="F1706" s="7">
        <v>45918.521527777775</v>
      </c>
      <c r="G1706" s="8">
        <v>10.16</v>
      </c>
    </row>
    <row r="1707">
      <c r="A1707" s="9" t="str">
        <f t="shared" ref="A1707:A1711" si="1990">A1706</f>
        <v>ASPSHA</v>
      </c>
      <c r="B1707" s="9" t="str">
        <f>IF(ISBLANK(A1706),"",LEFT(B1706,27)&amp;VALUE(RIGHT(B1706,1)+1))</f>
        <v>DKF250911ASPSHA_20C_sample_2</v>
      </c>
      <c r="C1707" s="6" t="str">
        <f t="shared" ref="C1707:D1707" si="1989">C1706</f>
        <v>Aspalathus shawii</v>
      </c>
      <c r="D1707" s="6" t="str">
        <f t="shared" si="1989"/>
        <v>20C</v>
      </c>
      <c r="E1707" s="10">
        <f>IF(ISBLANK(A1706),"",E1706+1)</f>
        <v>2</v>
      </c>
      <c r="F1707" s="11">
        <f t="shared" ref="F1707:F1711" si="1992">F1706</f>
        <v>45918.52153</v>
      </c>
      <c r="G1707" s="8">
        <v>6.401</v>
      </c>
    </row>
    <row r="1708">
      <c r="A1708" s="9" t="str">
        <f t="shared" si="1990"/>
        <v>ASPSHA</v>
      </c>
      <c r="B1708" s="9" t="str">
        <f>IF(ISBLANK(A1706),"",LEFT(B1707,27)&amp;VALUE(RIGHT(B1707,1)+1))</f>
        <v>DKF250911ASPSHA_20C_sample_3</v>
      </c>
      <c r="C1708" s="6" t="str">
        <f t="shared" ref="C1708:D1708" si="1991">C1707</f>
        <v>Aspalathus shawii</v>
      </c>
      <c r="D1708" s="6" t="str">
        <f t="shared" si="1991"/>
        <v>20C</v>
      </c>
      <c r="E1708" s="10">
        <f>IF(ISBLANK(A1706),"",E1707+1)</f>
        <v>3</v>
      </c>
      <c r="F1708" s="11">
        <f t="shared" si="1992"/>
        <v>45918.52153</v>
      </c>
      <c r="G1708" s="8">
        <v>3.6</v>
      </c>
    </row>
    <row r="1709">
      <c r="A1709" s="9" t="str">
        <f t="shared" si="1990"/>
        <v>ASPSHA</v>
      </c>
      <c r="B1709" s="9" t="str">
        <f>IF(ISBLANK(A1706),"",LEFT(B1708,27)&amp;VALUE(RIGHT(B1708,1)+1))</f>
        <v>DKF250911ASPSHA_20C_sample_4</v>
      </c>
      <c r="C1709" s="6" t="str">
        <f t="shared" ref="C1709:D1709" si="1993">C1708</f>
        <v>Aspalathus shawii</v>
      </c>
      <c r="D1709" s="6" t="str">
        <f t="shared" si="1993"/>
        <v>20C</v>
      </c>
      <c r="E1709" s="10">
        <f>IF(ISBLANK(A1706),"",E1708+1)</f>
        <v>4</v>
      </c>
      <c r="F1709" s="11">
        <f t="shared" si="1992"/>
        <v>45918.52153</v>
      </c>
      <c r="G1709" s="8">
        <v>9.177</v>
      </c>
    </row>
    <row r="1710">
      <c r="A1710" s="9" t="str">
        <f t="shared" si="1990"/>
        <v>ASPSHA</v>
      </c>
      <c r="B1710" s="9" t="str">
        <f>IF(ISBLANK(A1706),"",LEFT(B1709,27)&amp;VALUE(RIGHT(B1709,1)+1))</f>
        <v>DKF250911ASPSHA_20C_sample_5</v>
      </c>
      <c r="C1710" s="6" t="str">
        <f t="shared" ref="C1710:D1710" si="1994">C1709</f>
        <v>Aspalathus shawii</v>
      </c>
      <c r="D1710" s="6" t="str">
        <f t="shared" si="1994"/>
        <v>20C</v>
      </c>
      <c r="E1710" s="10">
        <f>IF(ISBLANK(A1706),"",E1709+1)</f>
        <v>5</v>
      </c>
      <c r="F1710" s="11">
        <f t="shared" si="1992"/>
        <v>45918.52153</v>
      </c>
      <c r="G1710" s="8">
        <v>2.674</v>
      </c>
    </row>
    <row r="1711">
      <c r="A1711" s="12" t="str">
        <f t="shared" si="1990"/>
        <v>ASPSHA</v>
      </c>
      <c r="B1711" s="12" t="str">
        <f>IF(ISBLANK(A1706),"",LEFT(B1710,27)&amp;VALUE(RIGHT(B1710,1)+1))</f>
        <v>DKF250911ASPSHA_20C_sample_6</v>
      </c>
      <c r="C1711" s="13" t="str">
        <f t="shared" ref="C1711:D1711" si="1995">C1710</f>
        <v>Aspalathus shawii</v>
      </c>
      <c r="D1711" s="13" t="str">
        <f t="shared" si="1995"/>
        <v>20C</v>
      </c>
      <c r="E1711" s="14">
        <f>IF(ISBLANK(A1706),"",E1710+1)</f>
        <v>6</v>
      </c>
      <c r="F1711" s="15">
        <f t="shared" si="1992"/>
        <v>45918.52153</v>
      </c>
      <c r="G1711" s="16"/>
    </row>
    <row r="1712">
      <c r="A1712" s="5" t="s">
        <v>15</v>
      </c>
      <c r="B1712" s="6" t="str">
        <f>IF(ISBLANK(A1712),"",VLOOKUP($A1712,'Data Feed (20C)'!$A$1:$G$14,2,FALSE))</f>
        <v>DKR250911ELYRHI_20C_sample_1</v>
      </c>
      <c r="C1712" s="6" t="str">
        <f>IF(ISBLANK(A1712),"",VLOOKUP($A1712,'Data Feed (20C)'!$A$1:$G$14,3,FALSE))</f>
        <v>Elytropappus rhinocerotis</v>
      </c>
      <c r="D1712" s="6" t="str">
        <f>IF(ISBLANK(A1712),"",VLOOKUP($A1712,'Data Feed (20C)'!$A$1:$G$14,4,FALSE))</f>
        <v>20C</v>
      </c>
      <c r="E1712" s="6">
        <f>IF(ISBLANK(A1712),"",VLOOKUP($A1712,'Data Feed (20C)'!$A$1:$G$14,7,FALSE))</f>
        <v>1</v>
      </c>
      <c r="F1712" s="7">
        <v>45918.52291666667</v>
      </c>
      <c r="G1712" s="8">
        <v>2.32</v>
      </c>
    </row>
    <row r="1713">
      <c r="A1713" s="9" t="str">
        <f t="shared" ref="A1713:A1717" si="1997">A1712</f>
        <v>ELYRHI</v>
      </c>
      <c r="B1713" s="9" t="str">
        <f>IF(ISBLANK(A1712),"",LEFT(B1712,27)&amp;VALUE(RIGHT(B1712,1)+1))</f>
        <v>DKR250911ELYRHI_20C_sample_2</v>
      </c>
      <c r="C1713" s="6" t="str">
        <f t="shared" ref="C1713:D1713" si="1996">C1712</f>
        <v>Elytropappus rhinocerotis</v>
      </c>
      <c r="D1713" s="6" t="str">
        <f t="shared" si="1996"/>
        <v>20C</v>
      </c>
      <c r="E1713" s="10">
        <f>IF(ISBLANK(A1712),"",E1712+1)</f>
        <v>2</v>
      </c>
      <c r="F1713" s="11">
        <f t="shared" ref="F1713:F1717" si="1999">F1712</f>
        <v>45918.52292</v>
      </c>
      <c r="G1713" s="8"/>
    </row>
    <row r="1714">
      <c r="A1714" s="9" t="str">
        <f t="shared" si="1997"/>
        <v>ELYRHI</v>
      </c>
      <c r="B1714" s="9" t="str">
        <f>IF(ISBLANK(A1712),"",LEFT(B1713,27)&amp;VALUE(RIGHT(B1713,1)+1))</f>
        <v>DKR250911ELYRHI_20C_sample_3</v>
      </c>
      <c r="C1714" s="6" t="str">
        <f t="shared" ref="C1714:D1714" si="1998">C1713</f>
        <v>Elytropappus rhinocerotis</v>
      </c>
      <c r="D1714" s="6" t="str">
        <f t="shared" si="1998"/>
        <v>20C</v>
      </c>
      <c r="E1714" s="10">
        <f>IF(ISBLANK(A1712),"",E1713+1)</f>
        <v>3</v>
      </c>
      <c r="F1714" s="11">
        <f t="shared" si="1999"/>
        <v>45918.52292</v>
      </c>
      <c r="G1714" s="8">
        <v>3.796</v>
      </c>
    </row>
    <row r="1715">
      <c r="A1715" s="9" t="str">
        <f t="shared" si="1997"/>
        <v>ELYRHI</v>
      </c>
      <c r="B1715" s="9" t="str">
        <f>IF(ISBLANK(A1712),"",LEFT(B1714,27)&amp;VALUE(RIGHT(B1714,1)+1))</f>
        <v>DKR250911ELYRHI_20C_sample_4</v>
      </c>
      <c r="C1715" s="6" t="str">
        <f t="shared" ref="C1715:D1715" si="2000">C1714</f>
        <v>Elytropappus rhinocerotis</v>
      </c>
      <c r="D1715" s="6" t="str">
        <f t="shared" si="2000"/>
        <v>20C</v>
      </c>
      <c r="E1715" s="10">
        <f>IF(ISBLANK(A1712),"",E1714+1)</f>
        <v>4</v>
      </c>
      <c r="F1715" s="11">
        <f t="shared" si="1999"/>
        <v>45918.52292</v>
      </c>
      <c r="G1715" s="8">
        <v>2.631</v>
      </c>
    </row>
    <row r="1716">
      <c r="A1716" s="9" t="str">
        <f t="shared" si="1997"/>
        <v>ELYRHI</v>
      </c>
      <c r="B1716" s="9" t="str">
        <f>IF(ISBLANK(A1712),"",LEFT(B1715,27)&amp;VALUE(RIGHT(B1715,1)+1))</f>
        <v>DKR250911ELYRHI_20C_sample_5</v>
      </c>
      <c r="C1716" s="6" t="str">
        <f t="shared" ref="C1716:D1716" si="2001">C1715</f>
        <v>Elytropappus rhinocerotis</v>
      </c>
      <c r="D1716" s="6" t="str">
        <f t="shared" si="2001"/>
        <v>20C</v>
      </c>
      <c r="E1716" s="10">
        <f>IF(ISBLANK(A1712),"",E1715+1)</f>
        <v>5</v>
      </c>
      <c r="F1716" s="11">
        <f t="shared" si="1999"/>
        <v>45918.52292</v>
      </c>
      <c r="G1716" s="8">
        <v>1.545</v>
      </c>
    </row>
    <row r="1717">
      <c r="A1717" s="12" t="str">
        <f t="shared" si="1997"/>
        <v>ELYRHI</v>
      </c>
      <c r="B1717" s="12" t="str">
        <f>IF(ISBLANK(A1712),"",LEFT(B1716,27)&amp;VALUE(RIGHT(B1716,1)+1))</f>
        <v>DKR250911ELYRHI_20C_sample_6</v>
      </c>
      <c r="C1717" s="13" t="str">
        <f t="shared" ref="C1717:D1717" si="2002">C1716</f>
        <v>Elytropappus rhinocerotis</v>
      </c>
      <c r="D1717" s="13" t="str">
        <f t="shared" si="2002"/>
        <v>20C</v>
      </c>
      <c r="E1717" s="14">
        <f>IF(ISBLANK(A1712),"",E1716+1)</f>
        <v>6</v>
      </c>
      <c r="F1717" s="15">
        <f t="shared" si="1999"/>
        <v>45918.52292</v>
      </c>
      <c r="G1717" s="16"/>
    </row>
    <row r="1718">
      <c r="A1718" s="5" t="s">
        <v>10</v>
      </c>
      <c r="B1718" s="6" t="str">
        <f>IF(ISBLANK(A1718),"",VLOOKUP($A1718,'Data Feed (20C)'!$A$1:$G$14,2,FALSE))</f>
        <v>DKF250911LOBDEC_20C_sample_1</v>
      </c>
      <c r="C1718" s="6" t="str">
        <f>IF(ISBLANK(A1718),"",VLOOKUP($A1718,'Data Feed (20C)'!$A$1:$G$14,3,FALSE))</f>
        <v>Lobostemon decorus</v>
      </c>
      <c r="D1718" s="6" t="str">
        <f>IF(ISBLANK(A1718),"",VLOOKUP($A1718,'Data Feed (20C)'!$A$1:$G$14,4,FALSE))</f>
        <v>20C</v>
      </c>
      <c r="E1718" s="6">
        <f>IF(ISBLANK(A1718),"",VLOOKUP($A1718,'Data Feed (20C)'!$A$1:$G$14,7,FALSE))</f>
        <v>1</v>
      </c>
      <c r="F1718" s="7">
        <v>45918.52361111111</v>
      </c>
      <c r="G1718" s="8"/>
    </row>
    <row r="1719">
      <c r="A1719" s="9" t="str">
        <f t="shared" ref="A1719:A1723" si="2004">A1718</f>
        <v>LOBDEC</v>
      </c>
      <c r="B1719" s="9" t="str">
        <f>IF(ISBLANK(A1718),"",LEFT(B1718,27)&amp;VALUE(RIGHT(B1718,1)+1))</f>
        <v>DKF250911LOBDEC_20C_sample_2</v>
      </c>
      <c r="C1719" s="6" t="str">
        <f t="shared" ref="C1719:D1719" si="2003">C1718</f>
        <v>Lobostemon decorus</v>
      </c>
      <c r="D1719" s="6" t="str">
        <f t="shared" si="2003"/>
        <v>20C</v>
      </c>
      <c r="E1719" s="10">
        <f>IF(ISBLANK(A1718),"",E1718+1)</f>
        <v>2</v>
      </c>
      <c r="F1719" s="11">
        <f t="shared" ref="F1719:F1723" si="2006">F1718</f>
        <v>45918.52361</v>
      </c>
      <c r="G1719" s="8"/>
    </row>
    <row r="1720">
      <c r="A1720" s="9" t="str">
        <f t="shared" si="2004"/>
        <v>LOBDEC</v>
      </c>
      <c r="B1720" s="9" t="str">
        <f>IF(ISBLANK(A1718),"",LEFT(B1719,27)&amp;VALUE(RIGHT(B1719,1)+1))</f>
        <v>DKF250911LOBDEC_20C_sample_3</v>
      </c>
      <c r="C1720" s="6" t="str">
        <f t="shared" ref="C1720:D1720" si="2005">C1719</f>
        <v>Lobostemon decorus</v>
      </c>
      <c r="D1720" s="6" t="str">
        <f t="shared" si="2005"/>
        <v>20C</v>
      </c>
      <c r="E1720" s="10">
        <f>IF(ISBLANK(A1718),"",E1719+1)</f>
        <v>3</v>
      </c>
      <c r="F1720" s="11">
        <f t="shared" si="2006"/>
        <v>45918.52361</v>
      </c>
      <c r="G1720" s="8">
        <v>4.498</v>
      </c>
    </row>
    <row r="1721">
      <c r="A1721" s="9" t="str">
        <f t="shared" si="2004"/>
        <v>LOBDEC</v>
      </c>
      <c r="B1721" s="9" t="str">
        <f>IF(ISBLANK(A1718),"",LEFT(B1720,27)&amp;VALUE(RIGHT(B1720,1)+1))</f>
        <v>DKF250911LOBDEC_20C_sample_4</v>
      </c>
      <c r="C1721" s="6" t="str">
        <f t="shared" ref="C1721:D1721" si="2007">C1720</f>
        <v>Lobostemon decorus</v>
      </c>
      <c r="D1721" s="6" t="str">
        <f t="shared" si="2007"/>
        <v>20C</v>
      </c>
      <c r="E1721" s="10">
        <f>IF(ISBLANK(A1718),"",E1720+1)</f>
        <v>4</v>
      </c>
      <c r="F1721" s="11">
        <f t="shared" si="2006"/>
        <v>45918.52361</v>
      </c>
      <c r="G1721" s="8">
        <v>3.168</v>
      </c>
    </row>
    <row r="1722">
      <c r="A1722" s="9" t="str">
        <f t="shared" si="2004"/>
        <v>LOBDEC</v>
      </c>
      <c r="B1722" s="9" t="str">
        <f>IF(ISBLANK(A1718),"",LEFT(B1721,27)&amp;VALUE(RIGHT(B1721,1)+1))</f>
        <v>DKF250911LOBDEC_20C_sample_5</v>
      </c>
      <c r="C1722" s="6" t="str">
        <f t="shared" ref="C1722:D1722" si="2008">C1721</f>
        <v>Lobostemon decorus</v>
      </c>
      <c r="D1722" s="6" t="str">
        <f t="shared" si="2008"/>
        <v>20C</v>
      </c>
      <c r="E1722" s="10">
        <f>IF(ISBLANK(A1718),"",E1721+1)</f>
        <v>5</v>
      </c>
      <c r="F1722" s="11">
        <f t="shared" si="2006"/>
        <v>45918.52361</v>
      </c>
      <c r="G1722" s="8">
        <v>1.762</v>
      </c>
    </row>
    <row r="1723">
      <c r="A1723" s="12" t="str">
        <f t="shared" si="2004"/>
        <v>LOBDEC</v>
      </c>
      <c r="B1723" s="12" t="str">
        <f>IF(ISBLANK(A1718),"",LEFT(B1722,27)&amp;VALUE(RIGHT(B1722,1)+1))</f>
        <v>DKF250911LOBDEC_20C_sample_6</v>
      </c>
      <c r="C1723" s="13" t="str">
        <f t="shared" ref="C1723:D1723" si="2009">C1722</f>
        <v>Lobostemon decorus</v>
      </c>
      <c r="D1723" s="13" t="str">
        <f t="shared" si="2009"/>
        <v>20C</v>
      </c>
      <c r="E1723" s="14">
        <f>IF(ISBLANK(A1718),"",E1722+1)</f>
        <v>6</v>
      </c>
      <c r="F1723" s="15">
        <f t="shared" si="2006"/>
        <v>45918.52361</v>
      </c>
      <c r="G1723" s="16"/>
    </row>
    <row r="1724">
      <c r="A1724" s="5" t="s">
        <v>16</v>
      </c>
      <c r="B1724" s="6" t="str">
        <f>IF(ISBLANK(A1724),"",VLOOKUP($A1724,'Data Feed (20C)'!$A$1:$G$14,2,FALSE))</f>
        <v>DKR250911MICPOL_20C_sample_1</v>
      </c>
      <c r="C1724" s="6" t="str">
        <f>IF(ISBLANK(A1724),"",VLOOKUP($A1724,'Data Feed (20C)'!$A$1:$G$14,3,FALSE))</f>
        <v>Microdon polygaloides</v>
      </c>
      <c r="D1724" s="6" t="str">
        <f>IF(ISBLANK(A1724),"",VLOOKUP($A1724,'Data Feed (20C)'!$A$1:$G$14,4,FALSE))</f>
        <v>20C</v>
      </c>
      <c r="E1724" s="6">
        <f>IF(ISBLANK(A1724),"",VLOOKUP($A1724,'Data Feed (20C)'!$A$1:$G$14,7,FALSE))</f>
        <v>1</v>
      </c>
      <c r="F1724" s="7">
        <v>45918.524305555555</v>
      </c>
      <c r="G1724" s="8">
        <v>0.814</v>
      </c>
    </row>
    <row r="1725">
      <c r="A1725" s="9" t="str">
        <f t="shared" ref="A1725:A1729" si="2011">A1724</f>
        <v>MICPOL</v>
      </c>
      <c r="B1725" s="9" t="str">
        <f>IF(ISBLANK(A1724),"",LEFT(B1724,27)&amp;VALUE(RIGHT(B1724,1)+1))</f>
        <v>DKR250911MICPOL_20C_sample_2</v>
      </c>
      <c r="C1725" s="6" t="str">
        <f t="shared" ref="C1725:D1725" si="2010">C1724</f>
        <v>Microdon polygaloides</v>
      </c>
      <c r="D1725" s="6" t="str">
        <f t="shared" si="2010"/>
        <v>20C</v>
      </c>
      <c r="E1725" s="10">
        <f>IF(ISBLANK(A1724),"",E1724+1)</f>
        <v>2</v>
      </c>
      <c r="F1725" s="11">
        <f t="shared" ref="F1725:F1729" si="2013">F1724</f>
        <v>45918.52431</v>
      </c>
      <c r="G1725" s="8"/>
    </row>
    <row r="1726">
      <c r="A1726" s="9" t="str">
        <f t="shared" si="2011"/>
        <v>MICPOL</v>
      </c>
      <c r="B1726" s="9" t="str">
        <f>IF(ISBLANK(A1724),"",LEFT(B1725,27)&amp;VALUE(RIGHT(B1725,1)+1))</f>
        <v>DKR250911MICPOL_20C_sample_3</v>
      </c>
      <c r="C1726" s="6" t="str">
        <f t="shared" ref="C1726:D1726" si="2012">C1725</f>
        <v>Microdon polygaloides</v>
      </c>
      <c r="D1726" s="6" t="str">
        <f t="shared" si="2012"/>
        <v>20C</v>
      </c>
      <c r="E1726" s="10">
        <f>IF(ISBLANK(A1724),"",E1725+1)</f>
        <v>3</v>
      </c>
      <c r="F1726" s="11">
        <f t="shared" si="2013"/>
        <v>45918.52431</v>
      </c>
      <c r="G1726" s="8"/>
    </row>
    <row r="1727">
      <c r="A1727" s="9" t="str">
        <f t="shared" si="2011"/>
        <v>MICPOL</v>
      </c>
      <c r="B1727" s="9" t="str">
        <f>IF(ISBLANK(A1724),"",LEFT(B1726,27)&amp;VALUE(RIGHT(B1726,1)+1))</f>
        <v>DKR250911MICPOL_20C_sample_4</v>
      </c>
      <c r="C1727" s="6" t="str">
        <f t="shared" ref="C1727:D1727" si="2014">C1726</f>
        <v>Microdon polygaloides</v>
      </c>
      <c r="D1727" s="6" t="str">
        <f t="shared" si="2014"/>
        <v>20C</v>
      </c>
      <c r="E1727" s="10">
        <f>IF(ISBLANK(A1724),"",E1726+1)</f>
        <v>4</v>
      </c>
      <c r="F1727" s="11">
        <f t="shared" si="2013"/>
        <v>45918.52431</v>
      </c>
      <c r="G1727" s="8"/>
    </row>
    <row r="1728">
      <c r="A1728" s="9" t="str">
        <f t="shared" si="2011"/>
        <v>MICPOL</v>
      </c>
      <c r="B1728" s="9" t="str">
        <f>IF(ISBLANK(A1724),"",LEFT(B1727,27)&amp;VALUE(RIGHT(B1727,1)+1))</f>
        <v>DKR250911MICPOL_20C_sample_5</v>
      </c>
      <c r="C1728" s="6" t="str">
        <f t="shared" ref="C1728:D1728" si="2015">C1727</f>
        <v>Microdon polygaloides</v>
      </c>
      <c r="D1728" s="6" t="str">
        <f t="shared" si="2015"/>
        <v>20C</v>
      </c>
      <c r="E1728" s="10">
        <f>IF(ISBLANK(A1724),"",E1727+1)</f>
        <v>5</v>
      </c>
      <c r="F1728" s="11">
        <f t="shared" si="2013"/>
        <v>45918.52431</v>
      </c>
      <c r="G1728" s="8"/>
    </row>
    <row r="1729">
      <c r="A1729" s="12" t="str">
        <f t="shared" si="2011"/>
        <v>MICPOL</v>
      </c>
      <c r="B1729" s="12" t="str">
        <f>IF(ISBLANK(A1724),"",LEFT(B1728,27)&amp;VALUE(RIGHT(B1728,1)+1))</f>
        <v>DKR250911MICPOL_20C_sample_6</v>
      </c>
      <c r="C1729" s="13" t="str">
        <f t="shared" ref="C1729:D1729" si="2016">C1728</f>
        <v>Microdon polygaloides</v>
      </c>
      <c r="D1729" s="13" t="str">
        <f t="shared" si="2016"/>
        <v>20C</v>
      </c>
      <c r="E1729" s="14">
        <f>IF(ISBLANK(A1724),"",E1728+1)</f>
        <v>6</v>
      </c>
      <c r="F1729" s="15">
        <f t="shared" si="2013"/>
        <v>45918.52431</v>
      </c>
      <c r="G1729" s="16"/>
    </row>
    <row r="1730">
      <c r="A1730" s="5" t="s">
        <v>7</v>
      </c>
      <c r="B1730" s="6" t="str">
        <f>IF(ISBLANK(A1730),"",VLOOKUP($A1730,'Data Feed (20C)'!$A$1:$G$14,2,FALSE))</f>
        <v>DKR250911PASOBT_20C_sample_1</v>
      </c>
      <c r="C1730" s="6" t="str">
        <f>IF(ISBLANK(A1730),"",VLOOKUP($A1730,'Data Feed (20C)'!$A$1:$G$14,3,FALSE))</f>
        <v>Passerina obtusifolia</v>
      </c>
      <c r="D1730" s="6" t="str">
        <f>IF(ISBLANK(A1730),"",VLOOKUP($A1730,'Data Feed (20C)'!$A$1:$G$14,4,FALSE))</f>
        <v>20C</v>
      </c>
      <c r="E1730" s="6">
        <f>IF(ISBLANK(A1730),"",VLOOKUP($A1730,'Data Feed (20C)'!$A$1:$G$14,7,FALSE))</f>
        <v>1</v>
      </c>
      <c r="F1730" s="7">
        <v>45918.524305555555</v>
      </c>
      <c r="G1730" s="8">
        <v>2.025</v>
      </c>
    </row>
    <row r="1731">
      <c r="A1731" s="9" t="str">
        <f t="shared" ref="A1731:A1735" si="2018">A1730</f>
        <v>PASOBT</v>
      </c>
      <c r="B1731" s="9" t="str">
        <f>IF(ISBLANK(A1730),"",LEFT(B1730,27)&amp;VALUE(RIGHT(B1730,1)+1))</f>
        <v>DKR250911PASOBT_20C_sample_2</v>
      </c>
      <c r="C1731" s="6" t="str">
        <f t="shared" ref="C1731:D1731" si="2017">C1730</f>
        <v>Passerina obtusifolia</v>
      </c>
      <c r="D1731" s="6" t="str">
        <f t="shared" si="2017"/>
        <v>20C</v>
      </c>
      <c r="E1731" s="10">
        <f>IF(ISBLANK(A1730),"",E1730+1)</f>
        <v>2</v>
      </c>
      <c r="F1731" s="11">
        <f t="shared" ref="F1731:F1735" si="2020">F1730</f>
        <v>45918.52431</v>
      </c>
      <c r="G1731" s="8">
        <v>2.727</v>
      </c>
    </row>
    <row r="1732">
      <c r="A1732" s="9" t="str">
        <f t="shared" si="2018"/>
        <v>PASOBT</v>
      </c>
      <c r="B1732" s="9" t="str">
        <f>IF(ISBLANK(A1730),"",LEFT(B1731,27)&amp;VALUE(RIGHT(B1731,1)+1))</f>
        <v>DKR250911PASOBT_20C_sample_3</v>
      </c>
      <c r="C1732" s="6" t="str">
        <f t="shared" ref="C1732:D1732" si="2019">C1731</f>
        <v>Passerina obtusifolia</v>
      </c>
      <c r="D1732" s="6" t="str">
        <f t="shared" si="2019"/>
        <v>20C</v>
      </c>
      <c r="E1732" s="10">
        <f>IF(ISBLANK(A1730),"",E1731+1)</f>
        <v>3</v>
      </c>
      <c r="F1732" s="11">
        <f t="shared" si="2020"/>
        <v>45918.52431</v>
      </c>
      <c r="G1732" s="8"/>
    </row>
    <row r="1733">
      <c r="A1733" s="9" t="str">
        <f t="shared" si="2018"/>
        <v>PASOBT</v>
      </c>
      <c r="B1733" s="9" t="str">
        <f>IF(ISBLANK(A1730),"",LEFT(B1732,27)&amp;VALUE(RIGHT(B1732,1)+1))</f>
        <v>DKR250911PASOBT_20C_sample_4</v>
      </c>
      <c r="C1733" s="6" t="str">
        <f t="shared" ref="C1733:D1733" si="2021">C1732</f>
        <v>Passerina obtusifolia</v>
      </c>
      <c r="D1733" s="6" t="str">
        <f t="shared" si="2021"/>
        <v>20C</v>
      </c>
      <c r="E1733" s="10">
        <f>IF(ISBLANK(A1730),"",E1732+1)</f>
        <v>4</v>
      </c>
      <c r="F1733" s="11">
        <f t="shared" si="2020"/>
        <v>45918.52431</v>
      </c>
      <c r="G1733" s="8"/>
    </row>
    <row r="1734">
      <c r="A1734" s="9" t="str">
        <f t="shared" si="2018"/>
        <v>PASOBT</v>
      </c>
      <c r="B1734" s="9" t="str">
        <f>IF(ISBLANK(A1730),"",LEFT(B1733,27)&amp;VALUE(RIGHT(B1733,1)+1))</f>
        <v>DKR250911PASOBT_20C_sample_5</v>
      </c>
      <c r="C1734" s="6" t="str">
        <f t="shared" ref="C1734:D1734" si="2022">C1733</f>
        <v>Passerina obtusifolia</v>
      </c>
      <c r="D1734" s="6" t="str">
        <f t="shared" si="2022"/>
        <v>20C</v>
      </c>
      <c r="E1734" s="10">
        <f>IF(ISBLANK(A1730),"",E1733+1)</f>
        <v>5</v>
      </c>
      <c r="F1734" s="11">
        <f t="shared" si="2020"/>
        <v>45918.52431</v>
      </c>
      <c r="G1734" s="8"/>
    </row>
    <row r="1735">
      <c r="A1735" s="12" t="str">
        <f t="shared" si="2018"/>
        <v>PASOBT</v>
      </c>
      <c r="B1735" s="12" t="str">
        <f>IF(ISBLANK(A1730),"",LEFT(B1734,27)&amp;VALUE(RIGHT(B1734,1)+1))</f>
        <v>DKR250911PASOBT_20C_sample_6</v>
      </c>
      <c r="C1735" s="13" t="str">
        <f t="shared" ref="C1735:D1735" si="2023">C1734</f>
        <v>Passerina obtusifolia</v>
      </c>
      <c r="D1735" s="13" t="str">
        <f t="shared" si="2023"/>
        <v>20C</v>
      </c>
      <c r="E1735" s="14">
        <f>IF(ISBLANK(A1730),"",E1734+1)</f>
        <v>6</v>
      </c>
      <c r="F1735" s="15">
        <f t="shared" si="2020"/>
        <v>45918.52431</v>
      </c>
      <c r="G1735" s="16"/>
    </row>
    <row r="1736">
      <c r="A1736" s="5" t="s">
        <v>9</v>
      </c>
      <c r="B1736" s="6" t="str">
        <f>IF(ISBLANK(A1736),"",VLOOKUP($A1736,'Data Feed (20C)'!$A$1:$G$14,2,FALSE))</f>
        <v>DKR250911PROLAU_20C_sample_1</v>
      </c>
      <c r="C1736" s="6" t="str">
        <f>IF(ISBLANK(A1736),"",VLOOKUP($A1736,'Data Feed (20C)'!$A$1:$G$14,3,FALSE))</f>
        <v>Protea laurifolia</v>
      </c>
      <c r="D1736" s="6" t="str">
        <f>IF(ISBLANK(A1736),"",VLOOKUP($A1736,'Data Feed (20C)'!$A$1:$G$14,4,FALSE))</f>
        <v>20C</v>
      </c>
      <c r="E1736" s="6">
        <f>IF(ISBLANK(A1736),"",VLOOKUP($A1736,'Data Feed (20C)'!$A$1:$G$14,7,FALSE))</f>
        <v>1</v>
      </c>
      <c r="F1736" s="7">
        <v>45918.525</v>
      </c>
      <c r="G1736" s="8">
        <v>0.825</v>
      </c>
    </row>
    <row r="1737">
      <c r="A1737" s="9" t="str">
        <f t="shared" ref="A1737:A1741" si="2025">A1736</f>
        <v>PROLAU</v>
      </c>
      <c r="B1737" s="9" t="str">
        <f>IF(ISBLANK(A1736),"",LEFT(B1736,27)&amp;VALUE(RIGHT(B1736,1)+1))</f>
        <v>DKR250911PROLAU_20C_sample_2</v>
      </c>
      <c r="C1737" s="6" t="str">
        <f t="shared" ref="C1737:D1737" si="2024">C1736</f>
        <v>Protea laurifolia</v>
      </c>
      <c r="D1737" s="6" t="str">
        <f t="shared" si="2024"/>
        <v>20C</v>
      </c>
      <c r="E1737" s="10">
        <f>IF(ISBLANK(A1736),"",E1736+1)</f>
        <v>2</v>
      </c>
      <c r="F1737" s="11">
        <f t="shared" ref="F1737:F1741" si="2027">F1736</f>
        <v>45918.525</v>
      </c>
      <c r="G1737" s="8"/>
    </row>
    <row r="1738">
      <c r="A1738" s="9" t="str">
        <f t="shared" si="2025"/>
        <v>PROLAU</v>
      </c>
      <c r="B1738" s="9" t="str">
        <f>IF(ISBLANK(A1736),"",LEFT(B1737,27)&amp;VALUE(RIGHT(B1737,1)+1))</f>
        <v>DKR250911PROLAU_20C_sample_3</v>
      </c>
      <c r="C1738" s="6" t="str">
        <f t="shared" ref="C1738:D1738" si="2026">C1737</f>
        <v>Protea laurifolia</v>
      </c>
      <c r="D1738" s="6" t="str">
        <f t="shared" si="2026"/>
        <v>20C</v>
      </c>
      <c r="E1738" s="10">
        <f>IF(ISBLANK(A1736),"",E1737+1)</f>
        <v>3</v>
      </c>
      <c r="F1738" s="11">
        <f t="shared" si="2027"/>
        <v>45918.525</v>
      </c>
      <c r="G1738" s="8">
        <v>0.925</v>
      </c>
    </row>
    <row r="1739">
      <c r="A1739" s="9" t="str">
        <f t="shared" si="2025"/>
        <v>PROLAU</v>
      </c>
      <c r="B1739" s="9" t="str">
        <f>IF(ISBLANK(A1736),"",LEFT(B1738,27)&amp;VALUE(RIGHT(B1738,1)+1))</f>
        <v>DKR250911PROLAU_20C_sample_4</v>
      </c>
      <c r="C1739" s="6" t="str">
        <f t="shared" ref="C1739:D1739" si="2028">C1738</f>
        <v>Protea laurifolia</v>
      </c>
      <c r="D1739" s="6" t="str">
        <f t="shared" si="2028"/>
        <v>20C</v>
      </c>
      <c r="E1739" s="10">
        <f>IF(ISBLANK(A1736),"",E1738+1)</f>
        <v>4</v>
      </c>
      <c r="F1739" s="11">
        <f t="shared" si="2027"/>
        <v>45918.525</v>
      </c>
      <c r="G1739" s="8">
        <v>0.455</v>
      </c>
    </row>
    <row r="1740">
      <c r="A1740" s="9" t="str">
        <f t="shared" si="2025"/>
        <v>PROLAU</v>
      </c>
      <c r="B1740" s="9" t="str">
        <f>IF(ISBLANK(A1736),"",LEFT(B1739,27)&amp;VALUE(RIGHT(B1739,1)+1))</f>
        <v>DKR250911PROLAU_20C_sample_5</v>
      </c>
      <c r="C1740" s="6" t="str">
        <f t="shared" ref="C1740:D1740" si="2029">C1739</f>
        <v>Protea laurifolia</v>
      </c>
      <c r="D1740" s="6" t="str">
        <f t="shared" si="2029"/>
        <v>20C</v>
      </c>
      <c r="E1740" s="10">
        <f>IF(ISBLANK(A1736),"",E1739+1)</f>
        <v>5</v>
      </c>
      <c r="F1740" s="11">
        <f t="shared" si="2027"/>
        <v>45918.525</v>
      </c>
      <c r="G1740" s="8">
        <v>0.708</v>
      </c>
    </row>
    <row r="1741">
      <c r="A1741" s="12" t="str">
        <f t="shared" si="2025"/>
        <v>PROLAU</v>
      </c>
      <c r="B1741" s="12" t="str">
        <f>IF(ISBLANK(A1736),"",LEFT(B1740,27)&amp;VALUE(RIGHT(B1740,1)+1))</f>
        <v>DKR250911PROLAU_20C_sample_6</v>
      </c>
      <c r="C1741" s="13" t="str">
        <f t="shared" ref="C1741:D1741" si="2030">C1740</f>
        <v>Protea laurifolia</v>
      </c>
      <c r="D1741" s="13" t="str">
        <f t="shared" si="2030"/>
        <v>20C</v>
      </c>
      <c r="E1741" s="14">
        <f>IF(ISBLANK(A1736),"",E1740+1)</f>
        <v>6</v>
      </c>
      <c r="F1741" s="15">
        <f t="shared" si="2027"/>
        <v>45918.525</v>
      </c>
      <c r="G1741" s="16">
        <v>0.525</v>
      </c>
    </row>
    <row r="1742">
      <c r="A1742" s="5" t="s">
        <v>8</v>
      </c>
      <c r="B1742" s="6" t="str">
        <f>IF(ISBLANK(A1742),"",VLOOKUP($A1742,'Data Feed (20C)'!$A$1:$G$14,2,FALSE))</f>
        <v>DKF250911PROLOR_20C_sample_1</v>
      </c>
      <c r="C1742" s="6" t="str">
        <f>IF(ISBLANK(A1742),"",VLOOKUP($A1742,'Data Feed (20C)'!$A$1:$G$14,3,FALSE))</f>
        <v>Protea lorifolia</v>
      </c>
      <c r="D1742" s="6" t="str">
        <f>IF(ISBLANK(A1742),"",VLOOKUP($A1742,'Data Feed (20C)'!$A$1:$G$14,4,FALSE))</f>
        <v>20C</v>
      </c>
      <c r="E1742" s="6">
        <f>IF(ISBLANK(A1742),"",VLOOKUP($A1742,'Data Feed (20C)'!$A$1:$G$14,7,FALSE))</f>
        <v>1</v>
      </c>
      <c r="F1742" s="7">
        <v>45918.52638888889</v>
      </c>
      <c r="G1742" s="8">
        <v>2.038</v>
      </c>
    </row>
    <row r="1743">
      <c r="A1743" s="9" t="str">
        <f t="shared" ref="A1743:A1747" si="2032">A1742</f>
        <v>PROLOR</v>
      </c>
      <c r="B1743" s="9" t="str">
        <f>IF(ISBLANK(A1742),"",LEFT(B1742,27)&amp;VALUE(RIGHT(B1742,1)+1))</f>
        <v>DKF250911PROLOR_20C_sample_2</v>
      </c>
      <c r="C1743" s="6" t="str">
        <f t="shared" ref="C1743:D1743" si="2031">C1742</f>
        <v>Protea lorifolia</v>
      </c>
      <c r="D1743" s="6" t="str">
        <f t="shared" si="2031"/>
        <v>20C</v>
      </c>
      <c r="E1743" s="10">
        <f>IF(ISBLANK(A1742),"",E1742+1)</f>
        <v>2</v>
      </c>
      <c r="F1743" s="11">
        <f t="shared" ref="F1743:F1747" si="2034">F1742</f>
        <v>45918.52639</v>
      </c>
      <c r="G1743" s="8">
        <v>1.818</v>
      </c>
    </row>
    <row r="1744">
      <c r="A1744" s="9" t="str">
        <f t="shared" si="2032"/>
        <v>PROLOR</v>
      </c>
      <c r="B1744" s="9" t="str">
        <f>IF(ISBLANK(A1742),"",LEFT(B1743,27)&amp;VALUE(RIGHT(B1743,1)+1))</f>
        <v>DKF250911PROLOR_20C_sample_3</v>
      </c>
      <c r="C1744" s="6" t="str">
        <f t="shared" ref="C1744:D1744" si="2033">C1743</f>
        <v>Protea lorifolia</v>
      </c>
      <c r="D1744" s="6" t="str">
        <f t="shared" si="2033"/>
        <v>20C</v>
      </c>
      <c r="E1744" s="10">
        <f>IF(ISBLANK(A1742),"",E1743+1)</f>
        <v>3</v>
      </c>
      <c r="F1744" s="11">
        <f t="shared" si="2034"/>
        <v>45918.52639</v>
      </c>
      <c r="G1744" s="8">
        <v>1.934</v>
      </c>
    </row>
    <row r="1745">
      <c r="A1745" s="9" t="str">
        <f t="shared" si="2032"/>
        <v>PROLOR</v>
      </c>
      <c r="B1745" s="9" t="str">
        <f>IF(ISBLANK(A1742),"",LEFT(B1744,27)&amp;VALUE(RIGHT(B1744,1)+1))</f>
        <v>DKF250911PROLOR_20C_sample_4</v>
      </c>
      <c r="C1745" s="6" t="str">
        <f t="shared" ref="C1745:D1745" si="2035">C1744</f>
        <v>Protea lorifolia</v>
      </c>
      <c r="D1745" s="6" t="str">
        <f t="shared" si="2035"/>
        <v>20C</v>
      </c>
      <c r="E1745" s="10">
        <f>IF(ISBLANK(A1742),"",E1744+1)</f>
        <v>4</v>
      </c>
      <c r="F1745" s="11">
        <f t="shared" si="2034"/>
        <v>45918.52639</v>
      </c>
      <c r="G1745" s="8">
        <v>1.637</v>
      </c>
    </row>
    <row r="1746">
      <c r="A1746" s="9" t="str">
        <f t="shared" si="2032"/>
        <v>PROLOR</v>
      </c>
      <c r="B1746" s="9" t="str">
        <f>IF(ISBLANK(A1742),"",LEFT(B1745,27)&amp;VALUE(RIGHT(B1745,1)+1))</f>
        <v>DKF250911PROLOR_20C_sample_5</v>
      </c>
      <c r="C1746" s="6" t="str">
        <f t="shared" ref="C1746:D1746" si="2036">C1745</f>
        <v>Protea lorifolia</v>
      </c>
      <c r="D1746" s="6" t="str">
        <f t="shared" si="2036"/>
        <v>20C</v>
      </c>
      <c r="E1746" s="10">
        <f>IF(ISBLANK(A1742),"",E1745+1)</f>
        <v>5</v>
      </c>
      <c r="F1746" s="11">
        <f t="shared" si="2034"/>
        <v>45918.52639</v>
      </c>
      <c r="G1746" s="8">
        <v>3.85</v>
      </c>
    </row>
    <row r="1747">
      <c r="A1747" s="12" t="str">
        <f t="shared" si="2032"/>
        <v>PROLOR</v>
      </c>
      <c r="B1747" s="12" t="str">
        <f>IF(ISBLANK(A1742),"",LEFT(B1746,27)&amp;VALUE(RIGHT(B1746,1)+1))</f>
        <v>DKF250911PROLOR_20C_sample_6</v>
      </c>
      <c r="C1747" s="13" t="str">
        <f t="shared" ref="C1747:D1747" si="2037">C1746</f>
        <v>Protea lorifolia</v>
      </c>
      <c r="D1747" s="13" t="str">
        <f t="shared" si="2037"/>
        <v>20C</v>
      </c>
      <c r="E1747" s="14">
        <f>IF(ISBLANK(A1742),"",E1746+1)</f>
        <v>6</v>
      </c>
      <c r="F1747" s="15">
        <f t="shared" si="2034"/>
        <v>45918.52639</v>
      </c>
      <c r="G1747" s="16">
        <v>3.92</v>
      </c>
    </row>
    <row r="1748">
      <c r="A1748" s="5" t="s">
        <v>13</v>
      </c>
      <c r="B1748" s="6" t="str">
        <f>IF(ISBLANK(A1748),"",VLOOKUP($A1748,'Data Feed (20C)'!$A$1:$G$14,2,FALSE))</f>
        <v>DKR250911RUSMUL_20C_sample_1</v>
      </c>
      <c r="C1748" s="6" t="str">
        <f>IF(ISBLANK(A1748),"",VLOOKUP($A1748,'Data Feed (20C)'!$A$1:$G$14,3,FALSE))</f>
        <v>Ruschia multiflora</v>
      </c>
      <c r="D1748" s="6" t="str">
        <f>IF(ISBLANK(A1748),"",VLOOKUP($A1748,'Data Feed (20C)'!$A$1:$G$14,4,FALSE))</f>
        <v>20C</v>
      </c>
      <c r="E1748" s="6">
        <f>IF(ISBLANK(A1748),"",VLOOKUP($A1748,'Data Feed (20C)'!$A$1:$G$14,7,FALSE))</f>
        <v>1</v>
      </c>
      <c r="F1748" s="7">
        <v>45918.52777777778</v>
      </c>
      <c r="G1748" s="8">
        <v>2.541</v>
      </c>
    </row>
    <row r="1749">
      <c r="A1749" s="9" t="str">
        <f t="shared" ref="A1749:A1753" si="2039">A1748</f>
        <v>RUSMUL</v>
      </c>
      <c r="B1749" s="9" t="str">
        <f>IF(ISBLANK(A1748),"",LEFT(B1748,27)&amp;VALUE(RIGHT(B1748,1)+1))</f>
        <v>DKR250911RUSMUL_20C_sample_2</v>
      </c>
      <c r="C1749" s="6" t="str">
        <f t="shared" ref="C1749:D1749" si="2038">C1748</f>
        <v>Ruschia multiflora</v>
      </c>
      <c r="D1749" s="6" t="str">
        <f t="shared" si="2038"/>
        <v>20C</v>
      </c>
      <c r="E1749" s="10">
        <f>IF(ISBLANK(A1748),"",E1748+1)</f>
        <v>2</v>
      </c>
      <c r="F1749" s="11">
        <f t="shared" ref="F1749:F1753" si="2041">F1748</f>
        <v>45918.52778</v>
      </c>
      <c r="G1749" s="8">
        <v>2.567</v>
      </c>
    </row>
    <row r="1750">
      <c r="A1750" s="9" t="str">
        <f t="shared" si="2039"/>
        <v>RUSMUL</v>
      </c>
      <c r="B1750" s="9" t="str">
        <f>IF(ISBLANK(A1748),"",LEFT(B1749,27)&amp;VALUE(RIGHT(B1749,1)+1))</f>
        <v>DKR250911RUSMUL_20C_sample_3</v>
      </c>
      <c r="C1750" s="6" t="str">
        <f t="shared" ref="C1750:D1750" si="2040">C1749</f>
        <v>Ruschia multiflora</v>
      </c>
      <c r="D1750" s="6" t="str">
        <f t="shared" si="2040"/>
        <v>20C</v>
      </c>
      <c r="E1750" s="10">
        <f>IF(ISBLANK(A1748),"",E1749+1)</f>
        <v>3</v>
      </c>
      <c r="F1750" s="11">
        <f t="shared" si="2041"/>
        <v>45918.52778</v>
      </c>
      <c r="G1750" s="8">
        <v>5.877</v>
      </c>
    </row>
    <row r="1751">
      <c r="A1751" s="9" t="str">
        <f t="shared" si="2039"/>
        <v>RUSMUL</v>
      </c>
      <c r="B1751" s="9" t="str">
        <f>IF(ISBLANK(A1748),"",LEFT(B1750,27)&amp;VALUE(RIGHT(B1750,1)+1))</f>
        <v>DKR250911RUSMUL_20C_sample_4</v>
      </c>
      <c r="C1751" s="6" t="str">
        <f t="shared" ref="C1751:D1751" si="2042">C1750</f>
        <v>Ruschia multiflora</v>
      </c>
      <c r="D1751" s="6" t="str">
        <f t="shared" si="2042"/>
        <v>20C</v>
      </c>
      <c r="E1751" s="10">
        <f>IF(ISBLANK(A1748),"",E1750+1)</f>
        <v>4</v>
      </c>
      <c r="F1751" s="11">
        <f t="shared" si="2041"/>
        <v>45918.52778</v>
      </c>
      <c r="G1751" s="8">
        <v>2.931</v>
      </c>
    </row>
    <row r="1752">
      <c r="A1752" s="9" t="str">
        <f t="shared" si="2039"/>
        <v>RUSMUL</v>
      </c>
      <c r="B1752" s="9" t="str">
        <f>IF(ISBLANK(A1748),"",LEFT(B1751,27)&amp;VALUE(RIGHT(B1751,1)+1))</f>
        <v>DKR250911RUSMUL_20C_sample_5</v>
      </c>
      <c r="C1752" s="6" t="str">
        <f t="shared" ref="C1752:D1752" si="2043">C1751</f>
        <v>Ruschia multiflora</v>
      </c>
      <c r="D1752" s="6" t="str">
        <f t="shared" si="2043"/>
        <v>20C</v>
      </c>
      <c r="E1752" s="10">
        <f>IF(ISBLANK(A1748),"",E1751+1)</f>
        <v>5</v>
      </c>
      <c r="F1752" s="11">
        <f t="shared" si="2041"/>
        <v>45918.52778</v>
      </c>
      <c r="G1752" s="8">
        <v>2.752</v>
      </c>
    </row>
    <row r="1753">
      <c r="A1753" s="12" t="str">
        <f t="shared" si="2039"/>
        <v>RUSMUL</v>
      </c>
      <c r="B1753" s="12" t="str">
        <f>IF(ISBLANK(A1748),"",LEFT(B1752,27)&amp;VALUE(RIGHT(B1752,1)+1))</f>
        <v>DKR250911RUSMUL_20C_sample_6</v>
      </c>
      <c r="C1753" s="13" t="str">
        <f t="shared" ref="C1753:D1753" si="2044">C1752</f>
        <v>Ruschia multiflora</v>
      </c>
      <c r="D1753" s="13" t="str">
        <f t="shared" si="2044"/>
        <v>20C</v>
      </c>
      <c r="E1753" s="14">
        <f>IF(ISBLANK(A1748),"",E1752+1)</f>
        <v>6</v>
      </c>
      <c r="F1753" s="15">
        <f t="shared" si="2041"/>
        <v>45918.52778</v>
      </c>
      <c r="G1753" s="16">
        <v>2.404</v>
      </c>
    </row>
    <row r="1754">
      <c r="A1754" s="5" t="s">
        <v>11</v>
      </c>
      <c r="B1754" s="6" t="str">
        <f>IF(ISBLANK(A1754),"",VLOOKUP($A1754,'Data Feed (20C)'!$A$1:$G$14,2,FALSE))</f>
        <v>DKF250911SELDOL_20C_sample_1</v>
      </c>
      <c r="C1754" s="6" t="str">
        <f>IF(ISBLANK(A1754),"",VLOOKUP($A1754,'Data Feed (20C)'!$A$1:$G$14,3,FALSE))</f>
        <v>Selago dolosa</v>
      </c>
      <c r="D1754" s="6" t="str">
        <f>IF(ISBLANK(A1754),"",VLOOKUP($A1754,'Data Feed (20C)'!$A$1:$G$14,4,FALSE))</f>
        <v>20C</v>
      </c>
      <c r="E1754" s="6">
        <f>IF(ISBLANK(A1754),"",VLOOKUP($A1754,'Data Feed (20C)'!$A$1:$G$14,7,FALSE))</f>
        <v>1</v>
      </c>
      <c r="F1754" s="7">
        <v>45918.52916666667</v>
      </c>
      <c r="G1754" s="8">
        <v>0.806</v>
      </c>
    </row>
    <row r="1755">
      <c r="A1755" s="9" t="str">
        <f t="shared" ref="A1755:A1759" si="2046">A1754</f>
        <v>SELDOL</v>
      </c>
      <c r="B1755" s="9" t="str">
        <f>IF(ISBLANK(A1754),"",LEFT(B1754,27)&amp;VALUE(RIGHT(B1754,1)+1))</f>
        <v>DKF250911SELDOL_20C_sample_2</v>
      </c>
      <c r="C1755" s="6" t="str">
        <f t="shared" ref="C1755:D1755" si="2045">C1754</f>
        <v>Selago dolosa</v>
      </c>
      <c r="D1755" s="6" t="str">
        <f t="shared" si="2045"/>
        <v>20C</v>
      </c>
      <c r="E1755" s="10">
        <f>IF(ISBLANK(A1754),"",E1754+1)</f>
        <v>2</v>
      </c>
      <c r="F1755" s="11">
        <f t="shared" ref="F1755:F1759" si="2048">F1754</f>
        <v>45918.52917</v>
      </c>
      <c r="G1755" s="8">
        <v>1.291</v>
      </c>
    </row>
    <row r="1756">
      <c r="A1756" s="9" t="str">
        <f t="shared" si="2046"/>
        <v>SELDOL</v>
      </c>
      <c r="B1756" s="9" t="str">
        <f>IF(ISBLANK(A1754),"",LEFT(B1755,27)&amp;VALUE(RIGHT(B1755,1)+1))</f>
        <v>DKF250911SELDOL_20C_sample_3</v>
      </c>
      <c r="C1756" s="6" t="str">
        <f t="shared" ref="C1756:D1756" si="2047">C1755</f>
        <v>Selago dolosa</v>
      </c>
      <c r="D1756" s="6" t="str">
        <f t="shared" si="2047"/>
        <v>20C</v>
      </c>
      <c r="E1756" s="10">
        <f>IF(ISBLANK(A1754),"",E1755+1)</f>
        <v>3</v>
      </c>
      <c r="F1756" s="11">
        <f t="shared" si="2048"/>
        <v>45918.52917</v>
      </c>
      <c r="G1756" s="8">
        <v>1.141</v>
      </c>
    </row>
    <row r="1757">
      <c r="A1757" s="9" t="str">
        <f t="shared" si="2046"/>
        <v>SELDOL</v>
      </c>
      <c r="B1757" s="9" t="str">
        <f>IF(ISBLANK(A1754),"",LEFT(B1756,27)&amp;VALUE(RIGHT(B1756,1)+1))</f>
        <v>DKF250911SELDOL_20C_sample_4</v>
      </c>
      <c r="C1757" s="6" t="str">
        <f t="shared" ref="C1757:D1757" si="2049">C1756</f>
        <v>Selago dolosa</v>
      </c>
      <c r="D1757" s="6" t="str">
        <f t="shared" si="2049"/>
        <v>20C</v>
      </c>
      <c r="E1757" s="10">
        <f>IF(ISBLANK(A1754),"",E1756+1)</f>
        <v>4</v>
      </c>
      <c r="F1757" s="11">
        <f t="shared" si="2048"/>
        <v>45918.52917</v>
      </c>
      <c r="G1757" s="8">
        <v>1.266</v>
      </c>
    </row>
    <row r="1758">
      <c r="A1758" s="9" t="str">
        <f t="shared" si="2046"/>
        <v>SELDOL</v>
      </c>
      <c r="B1758" s="9" t="str">
        <f>IF(ISBLANK(A1754),"",LEFT(B1757,27)&amp;VALUE(RIGHT(B1757,1)+1))</f>
        <v>DKF250911SELDOL_20C_sample_5</v>
      </c>
      <c r="C1758" s="6" t="str">
        <f t="shared" ref="C1758:D1758" si="2050">C1757</f>
        <v>Selago dolosa</v>
      </c>
      <c r="D1758" s="6" t="str">
        <f t="shared" si="2050"/>
        <v>20C</v>
      </c>
      <c r="E1758" s="10">
        <f>IF(ISBLANK(A1754),"",E1757+1)</f>
        <v>5</v>
      </c>
      <c r="F1758" s="11">
        <f t="shared" si="2048"/>
        <v>45918.52917</v>
      </c>
      <c r="G1758" s="8"/>
    </row>
    <row r="1759">
      <c r="A1759" s="12" t="str">
        <f t="shared" si="2046"/>
        <v>SELDOL</v>
      </c>
      <c r="B1759" s="12" t="str">
        <f>IF(ISBLANK(A1754),"",LEFT(B1758,27)&amp;VALUE(RIGHT(B1758,1)+1))</f>
        <v>DKF250911SELDOL_20C_sample_6</v>
      </c>
      <c r="C1759" s="13" t="str">
        <f t="shared" ref="C1759:D1759" si="2051">C1758</f>
        <v>Selago dolosa</v>
      </c>
      <c r="D1759" s="13" t="str">
        <f t="shared" si="2051"/>
        <v>20C</v>
      </c>
      <c r="E1759" s="14">
        <f>IF(ISBLANK(A1754),"",E1758+1)</f>
        <v>6</v>
      </c>
      <c r="F1759" s="15">
        <f t="shared" si="2048"/>
        <v>45918.52917</v>
      </c>
      <c r="G1759" s="16">
        <v>0.698</v>
      </c>
    </row>
    <row r="1760">
      <c r="A1760" s="5" t="s">
        <v>15</v>
      </c>
      <c r="B1760" s="6" t="str">
        <f>IF(ISBLANK(A1760),"",VLOOKUP($A1760,'Data Feed (20C)'!$A$1:$G$14,2,FALSE))</f>
        <v>DKR250911ELYRHI_20C_sample_1</v>
      </c>
      <c r="C1760" s="6" t="str">
        <f>IF(ISBLANK(A1760),"",VLOOKUP($A1760,'Data Feed (20C)'!$A$1:$G$14,3,FALSE))</f>
        <v>Elytropappus rhinocerotis</v>
      </c>
      <c r="D1760" s="6" t="str">
        <f>IF(ISBLANK(A1760),"",VLOOKUP($A1760,'Data Feed (20C)'!$A$1:$G$14,4,FALSE))</f>
        <v>20C</v>
      </c>
      <c r="E1760" s="6">
        <f>IF(ISBLANK(A1760),"",VLOOKUP($A1760,'Data Feed (20C)'!$A$1:$G$14,7,FALSE))</f>
        <v>1</v>
      </c>
      <c r="F1760" s="7">
        <v>45919.50555555556</v>
      </c>
      <c r="G1760" s="8">
        <v>2.311</v>
      </c>
    </row>
    <row r="1761">
      <c r="A1761" s="9" t="str">
        <f t="shared" ref="A1761:A1765" si="2053">A1760</f>
        <v>ELYRHI</v>
      </c>
      <c r="B1761" s="9" t="str">
        <f>IF(ISBLANK(A1760),"",LEFT(B1760,27)&amp;VALUE(RIGHT(B1760,1)+1))</f>
        <v>DKR250911ELYRHI_20C_sample_2</v>
      </c>
      <c r="C1761" s="6" t="str">
        <f t="shared" ref="C1761:D1761" si="2052">C1760</f>
        <v>Elytropappus rhinocerotis</v>
      </c>
      <c r="D1761" s="6" t="str">
        <f t="shared" si="2052"/>
        <v>20C</v>
      </c>
      <c r="E1761" s="10">
        <f>IF(ISBLANK(A1760),"",E1760+1)</f>
        <v>2</v>
      </c>
      <c r="F1761" s="11">
        <f t="shared" ref="F1761:F1765" si="2055">F1760</f>
        <v>45919.50556</v>
      </c>
      <c r="G1761" s="8"/>
    </row>
    <row r="1762">
      <c r="A1762" s="9" t="str">
        <f t="shared" si="2053"/>
        <v>ELYRHI</v>
      </c>
      <c r="B1762" s="9" t="str">
        <f>IF(ISBLANK(A1760),"",LEFT(B1761,27)&amp;VALUE(RIGHT(B1761,1)+1))</f>
        <v>DKR250911ELYRHI_20C_sample_3</v>
      </c>
      <c r="C1762" s="6" t="str">
        <f t="shared" ref="C1762:D1762" si="2054">C1761</f>
        <v>Elytropappus rhinocerotis</v>
      </c>
      <c r="D1762" s="6" t="str">
        <f t="shared" si="2054"/>
        <v>20C</v>
      </c>
      <c r="E1762" s="10">
        <f>IF(ISBLANK(A1760),"",E1761+1)</f>
        <v>3</v>
      </c>
      <c r="F1762" s="11">
        <f t="shared" si="2055"/>
        <v>45919.50556</v>
      </c>
      <c r="G1762" s="8"/>
    </row>
    <row r="1763">
      <c r="A1763" s="9" t="str">
        <f t="shared" si="2053"/>
        <v>ELYRHI</v>
      </c>
      <c r="B1763" s="9" t="str">
        <f>IF(ISBLANK(A1760),"",LEFT(B1762,27)&amp;VALUE(RIGHT(B1762,1)+1))</f>
        <v>DKR250911ELYRHI_20C_sample_4</v>
      </c>
      <c r="C1763" s="6" t="str">
        <f t="shared" ref="C1763:D1763" si="2056">C1762</f>
        <v>Elytropappus rhinocerotis</v>
      </c>
      <c r="D1763" s="6" t="str">
        <f t="shared" si="2056"/>
        <v>20C</v>
      </c>
      <c r="E1763" s="10">
        <f>IF(ISBLANK(A1760),"",E1762+1)</f>
        <v>4</v>
      </c>
      <c r="F1763" s="11">
        <f t="shared" si="2055"/>
        <v>45919.50556</v>
      </c>
      <c r="G1763" s="8"/>
    </row>
    <row r="1764">
      <c r="A1764" s="9" t="str">
        <f t="shared" si="2053"/>
        <v>ELYRHI</v>
      </c>
      <c r="B1764" s="9" t="str">
        <f>IF(ISBLANK(A1760),"",LEFT(B1763,27)&amp;VALUE(RIGHT(B1763,1)+1))</f>
        <v>DKR250911ELYRHI_20C_sample_5</v>
      </c>
      <c r="C1764" s="6" t="str">
        <f t="shared" ref="C1764:D1764" si="2057">C1763</f>
        <v>Elytropappus rhinocerotis</v>
      </c>
      <c r="D1764" s="6" t="str">
        <f t="shared" si="2057"/>
        <v>20C</v>
      </c>
      <c r="E1764" s="10">
        <f>IF(ISBLANK(A1760),"",E1763+1)</f>
        <v>5</v>
      </c>
      <c r="F1764" s="11">
        <f t="shared" si="2055"/>
        <v>45919.50556</v>
      </c>
      <c r="G1764" s="8"/>
    </row>
    <row r="1765">
      <c r="A1765" s="12" t="str">
        <f t="shared" si="2053"/>
        <v>ELYRHI</v>
      </c>
      <c r="B1765" s="12" t="str">
        <f>IF(ISBLANK(A1760),"",LEFT(B1764,27)&amp;VALUE(RIGHT(B1764,1)+1))</f>
        <v>DKR250911ELYRHI_20C_sample_6</v>
      </c>
      <c r="C1765" s="13" t="str">
        <f t="shared" ref="C1765:D1765" si="2058">C1764</f>
        <v>Elytropappus rhinocerotis</v>
      </c>
      <c r="D1765" s="13" t="str">
        <f t="shared" si="2058"/>
        <v>20C</v>
      </c>
      <c r="E1765" s="14">
        <f>IF(ISBLANK(A1760),"",E1764+1)</f>
        <v>6</v>
      </c>
      <c r="F1765" s="15">
        <f t="shared" si="2055"/>
        <v>45919.50556</v>
      </c>
      <c r="G1765" s="16"/>
    </row>
    <row r="1766">
      <c r="A1766" s="5" t="s">
        <v>7</v>
      </c>
      <c r="B1766" s="6" t="str">
        <f>IF(ISBLANK(A1766),"",VLOOKUP($A1766,'Data Feed (20C)'!$A$1:$G$14,2,FALSE))</f>
        <v>DKR250911PASOBT_20C_sample_1</v>
      </c>
      <c r="C1766" s="6" t="str">
        <f>IF(ISBLANK(A1766),"",VLOOKUP($A1766,'Data Feed (20C)'!$A$1:$G$14,3,FALSE))</f>
        <v>Passerina obtusifolia</v>
      </c>
      <c r="D1766" s="6" t="str">
        <f>IF(ISBLANK(A1766),"",VLOOKUP($A1766,'Data Feed (20C)'!$A$1:$G$14,4,FALSE))</f>
        <v>20C</v>
      </c>
      <c r="E1766" s="6">
        <f>IF(ISBLANK(A1766),"",VLOOKUP($A1766,'Data Feed (20C)'!$A$1:$G$14,7,FALSE))</f>
        <v>1</v>
      </c>
      <c r="F1766" s="7">
        <v>45919.50555555556</v>
      </c>
      <c r="G1766" s="8">
        <v>2.013</v>
      </c>
    </row>
    <row r="1767">
      <c r="A1767" s="9" t="str">
        <f t="shared" ref="A1767:A1771" si="2060">A1766</f>
        <v>PASOBT</v>
      </c>
      <c r="B1767" s="9" t="str">
        <f>IF(ISBLANK(A1766),"",LEFT(B1766,27)&amp;VALUE(RIGHT(B1766,1)+1))</f>
        <v>DKR250911PASOBT_20C_sample_2</v>
      </c>
      <c r="C1767" s="6" t="str">
        <f t="shared" ref="C1767:D1767" si="2059">C1766</f>
        <v>Passerina obtusifolia</v>
      </c>
      <c r="D1767" s="6" t="str">
        <f t="shared" si="2059"/>
        <v>20C</v>
      </c>
      <c r="E1767" s="10">
        <f>IF(ISBLANK(A1766),"",E1766+1)</f>
        <v>2</v>
      </c>
      <c r="F1767" s="11">
        <f t="shared" ref="F1767:F1771" si="2062">F1766</f>
        <v>45919.50556</v>
      </c>
      <c r="G1767" s="8"/>
    </row>
    <row r="1768">
      <c r="A1768" s="9" t="str">
        <f t="shared" si="2060"/>
        <v>PASOBT</v>
      </c>
      <c r="B1768" s="9" t="str">
        <f>IF(ISBLANK(A1766),"",LEFT(B1767,27)&amp;VALUE(RIGHT(B1767,1)+1))</f>
        <v>DKR250911PASOBT_20C_sample_3</v>
      </c>
      <c r="C1768" s="6" t="str">
        <f t="shared" ref="C1768:D1768" si="2061">C1767</f>
        <v>Passerina obtusifolia</v>
      </c>
      <c r="D1768" s="6" t="str">
        <f t="shared" si="2061"/>
        <v>20C</v>
      </c>
      <c r="E1768" s="10">
        <f>IF(ISBLANK(A1766),"",E1767+1)</f>
        <v>3</v>
      </c>
      <c r="F1768" s="11">
        <f t="shared" si="2062"/>
        <v>45919.50556</v>
      </c>
      <c r="G1768" s="8"/>
    </row>
    <row r="1769">
      <c r="A1769" s="9" t="str">
        <f t="shared" si="2060"/>
        <v>PASOBT</v>
      </c>
      <c r="B1769" s="9" t="str">
        <f>IF(ISBLANK(A1766),"",LEFT(B1768,27)&amp;VALUE(RIGHT(B1768,1)+1))</f>
        <v>DKR250911PASOBT_20C_sample_4</v>
      </c>
      <c r="C1769" s="6" t="str">
        <f t="shared" ref="C1769:D1769" si="2063">C1768</f>
        <v>Passerina obtusifolia</v>
      </c>
      <c r="D1769" s="6" t="str">
        <f t="shared" si="2063"/>
        <v>20C</v>
      </c>
      <c r="E1769" s="10">
        <f>IF(ISBLANK(A1766),"",E1768+1)</f>
        <v>4</v>
      </c>
      <c r="F1769" s="11">
        <f t="shared" si="2062"/>
        <v>45919.50556</v>
      </c>
      <c r="G1769" s="8"/>
    </row>
    <row r="1770">
      <c r="A1770" s="9" t="str">
        <f t="shared" si="2060"/>
        <v>PASOBT</v>
      </c>
      <c r="B1770" s="9" t="str">
        <f>IF(ISBLANK(A1766),"",LEFT(B1769,27)&amp;VALUE(RIGHT(B1769,1)+1))</f>
        <v>DKR250911PASOBT_20C_sample_5</v>
      </c>
      <c r="C1770" s="6" t="str">
        <f t="shared" ref="C1770:D1770" si="2064">C1769</f>
        <v>Passerina obtusifolia</v>
      </c>
      <c r="D1770" s="6" t="str">
        <f t="shared" si="2064"/>
        <v>20C</v>
      </c>
      <c r="E1770" s="10">
        <f>IF(ISBLANK(A1766),"",E1769+1)</f>
        <v>5</v>
      </c>
      <c r="F1770" s="11">
        <f t="shared" si="2062"/>
        <v>45919.50556</v>
      </c>
      <c r="G1770" s="8"/>
    </row>
    <row r="1771">
      <c r="A1771" s="12" t="str">
        <f t="shared" si="2060"/>
        <v>PASOBT</v>
      </c>
      <c r="B1771" s="12" t="str">
        <f>IF(ISBLANK(A1766),"",LEFT(B1770,27)&amp;VALUE(RIGHT(B1770,1)+1))</f>
        <v>DKR250911PASOBT_20C_sample_6</v>
      </c>
      <c r="C1771" s="13" t="str">
        <f t="shared" ref="C1771:D1771" si="2065">C1770</f>
        <v>Passerina obtusifolia</v>
      </c>
      <c r="D1771" s="13" t="str">
        <f t="shared" si="2065"/>
        <v>20C</v>
      </c>
      <c r="E1771" s="14">
        <f>IF(ISBLANK(A1766),"",E1770+1)</f>
        <v>6</v>
      </c>
      <c r="F1771" s="15">
        <f t="shared" si="2062"/>
        <v>45919.50556</v>
      </c>
      <c r="G1771" s="16"/>
    </row>
    <row r="1772">
      <c r="A1772" s="5" t="s">
        <v>16</v>
      </c>
      <c r="B1772" s="6" t="str">
        <f>IF(ISBLANK(A1772),"",VLOOKUP($A1772,'Data Feed (20C)'!$A$1:$G$14,2,FALSE))</f>
        <v>DKR250911MICPOL_20C_sample_1</v>
      </c>
      <c r="C1772" s="6" t="str">
        <f>IF(ISBLANK(A1772),"",VLOOKUP($A1772,'Data Feed (20C)'!$A$1:$G$14,3,FALSE))</f>
        <v>Microdon polygaloides</v>
      </c>
      <c r="D1772" s="6" t="str">
        <f>IF(ISBLANK(A1772),"",VLOOKUP($A1772,'Data Feed (20C)'!$A$1:$G$14,4,FALSE))</f>
        <v>20C</v>
      </c>
      <c r="E1772" s="6">
        <f>IF(ISBLANK(A1772),"",VLOOKUP($A1772,'Data Feed (20C)'!$A$1:$G$14,7,FALSE))</f>
        <v>1</v>
      </c>
      <c r="F1772" s="7">
        <v>45919.50625</v>
      </c>
      <c r="G1772" s="8">
        <v>0.807</v>
      </c>
    </row>
    <row r="1773">
      <c r="A1773" s="9" t="str">
        <f t="shared" ref="A1773:A1777" si="2067">A1772</f>
        <v>MICPOL</v>
      </c>
      <c r="B1773" s="9" t="str">
        <f>IF(ISBLANK(A1772),"",LEFT(B1772,27)&amp;VALUE(RIGHT(B1772,1)+1))</f>
        <v>DKR250911MICPOL_20C_sample_2</v>
      </c>
      <c r="C1773" s="6" t="str">
        <f t="shared" ref="C1773:D1773" si="2066">C1772</f>
        <v>Microdon polygaloides</v>
      </c>
      <c r="D1773" s="6" t="str">
        <f t="shared" si="2066"/>
        <v>20C</v>
      </c>
      <c r="E1773" s="10">
        <f>IF(ISBLANK(A1772),"",E1772+1)</f>
        <v>2</v>
      </c>
      <c r="F1773" s="11">
        <f t="shared" ref="F1773:F1777" si="2069">F1772</f>
        <v>45919.50625</v>
      </c>
      <c r="G1773" s="8"/>
    </row>
    <row r="1774">
      <c r="A1774" s="9" t="str">
        <f t="shared" si="2067"/>
        <v>MICPOL</v>
      </c>
      <c r="B1774" s="9" t="str">
        <f>IF(ISBLANK(A1772),"",LEFT(B1773,27)&amp;VALUE(RIGHT(B1773,1)+1))</f>
        <v>DKR250911MICPOL_20C_sample_3</v>
      </c>
      <c r="C1774" s="6" t="str">
        <f t="shared" ref="C1774:D1774" si="2068">C1773</f>
        <v>Microdon polygaloides</v>
      </c>
      <c r="D1774" s="6" t="str">
        <f t="shared" si="2068"/>
        <v>20C</v>
      </c>
      <c r="E1774" s="10">
        <f>IF(ISBLANK(A1772),"",E1773+1)</f>
        <v>3</v>
      </c>
      <c r="F1774" s="11">
        <f t="shared" si="2069"/>
        <v>45919.50625</v>
      </c>
      <c r="G1774" s="8"/>
    </row>
    <row r="1775">
      <c r="A1775" s="9" t="str">
        <f t="shared" si="2067"/>
        <v>MICPOL</v>
      </c>
      <c r="B1775" s="9" t="str">
        <f>IF(ISBLANK(A1772),"",LEFT(B1774,27)&amp;VALUE(RIGHT(B1774,1)+1))</f>
        <v>DKR250911MICPOL_20C_sample_4</v>
      </c>
      <c r="C1775" s="6" t="str">
        <f t="shared" ref="C1775:D1775" si="2070">C1774</f>
        <v>Microdon polygaloides</v>
      </c>
      <c r="D1775" s="6" t="str">
        <f t="shared" si="2070"/>
        <v>20C</v>
      </c>
      <c r="E1775" s="10">
        <f>IF(ISBLANK(A1772),"",E1774+1)</f>
        <v>4</v>
      </c>
      <c r="F1775" s="11">
        <f t="shared" si="2069"/>
        <v>45919.50625</v>
      </c>
      <c r="G1775" s="8"/>
    </row>
    <row r="1776">
      <c r="A1776" s="9" t="str">
        <f t="shared" si="2067"/>
        <v>MICPOL</v>
      </c>
      <c r="B1776" s="9" t="str">
        <f>IF(ISBLANK(A1772),"",LEFT(B1775,27)&amp;VALUE(RIGHT(B1775,1)+1))</f>
        <v>DKR250911MICPOL_20C_sample_5</v>
      </c>
      <c r="C1776" s="6" t="str">
        <f t="shared" ref="C1776:D1776" si="2071">C1775</f>
        <v>Microdon polygaloides</v>
      </c>
      <c r="D1776" s="6" t="str">
        <f t="shared" si="2071"/>
        <v>20C</v>
      </c>
      <c r="E1776" s="10">
        <f>IF(ISBLANK(A1772),"",E1775+1)</f>
        <v>5</v>
      </c>
      <c r="F1776" s="11">
        <f t="shared" si="2069"/>
        <v>45919.50625</v>
      </c>
      <c r="G1776" s="8"/>
    </row>
    <row r="1777">
      <c r="A1777" s="12" t="str">
        <f t="shared" si="2067"/>
        <v>MICPOL</v>
      </c>
      <c r="B1777" s="12" t="str">
        <f>IF(ISBLANK(A1772),"",LEFT(B1776,27)&amp;VALUE(RIGHT(B1776,1)+1))</f>
        <v>DKR250911MICPOL_20C_sample_6</v>
      </c>
      <c r="C1777" s="13" t="str">
        <f t="shared" ref="C1777:D1777" si="2072">C1776</f>
        <v>Microdon polygaloides</v>
      </c>
      <c r="D1777" s="13" t="str">
        <f t="shared" si="2072"/>
        <v>20C</v>
      </c>
      <c r="E1777" s="14">
        <f>IF(ISBLANK(A1772),"",E1776+1)</f>
        <v>6</v>
      </c>
      <c r="F1777" s="15">
        <f t="shared" si="2069"/>
        <v>45919.50625</v>
      </c>
      <c r="G1777" s="16"/>
    </row>
    <row r="1778">
      <c r="A1778" s="5" t="s">
        <v>9</v>
      </c>
      <c r="B1778" s="6" t="str">
        <f>IF(ISBLANK(A1778),"",VLOOKUP($A1778,'Data Feed (20C)'!$A$1:$G$14,2,FALSE))</f>
        <v>DKR250911PROLAU_20C_sample_1</v>
      </c>
      <c r="C1778" s="6" t="str">
        <f>IF(ISBLANK(A1778),"",VLOOKUP($A1778,'Data Feed (20C)'!$A$1:$G$14,3,FALSE))</f>
        <v>Protea laurifolia</v>
      </c>
      <c r="D1778" s="6" t="str">
        <f>IF(ISBLANK(A1778),"",VLOOKUP($A1778,'Data Feed (20C)'!$A$1:$G$14,4,FALSE))</f>
        <v>20C</v>
      </c>
      <c r="E1778" s="6">
        <f>IF(ISBLANK(A1778),"",VLOOKUP($A1778,'Data Feed (20C)'!$A$1:$G$14,7,FALSE))</f>
        <v>1</v>
      </c>
      <c r="F1778" s="7">
        <v>45919.50625</v>
      </c>
      <c r="G1778" s="8">
        <v>0.785</v>
      </c>
    </row>
    <row r="1779">
      <c r="A1779" s="9" t="str">
        <f t="shared" ref="A1779:A1783" si="2074">A1778</f>
        <v>PROLAU</v>
      </c>
      <c r="B1779" s="9" t="str">
        <f>IF(ISBLANK(A1778),"",LEFT(B1778,27)&amp;VALUE(RIGHT(B1778,1)+1))</f>
        <v>DKR250911PROLAU_20C_sample_2</v>
      </c>
      <c r="C1779" s="6" t="str">
        <f t="shared" ref="C1779:D1779" si="2073">C1778</f>
        <v>Protea laurifolia</v>
      </c>
      <c r="D1779" s="6" t="str">
        <f t="shared" si="2073"/>
        <v>20C</v>
      </c>
      <c r="E1779" s="10">
        <f>IF(ISBLANK(A1778),"",E1778+1)</f>
        <v>2</v>
      </c>
      <c r="F1779" s="11">
        <f t="shared" ref="F1779:F1783" si="2076">F1778</f>
        <v>45919.50625</v>
      </c>
      <c r="G1779" s="8"/>
    </row>
    <row r="1780">
      <c r="A1780" s="9" t="str">
        <f t="shared" si="2074"/>
        <v>PROLAU</v>
      </c>
      <c r="B1780" s="9" t="str">
        <f>IF(ISBLANK(A1778),"",LEFT(B1779,27)&amp;VALUE(RIGHT(B1779,1)+1))</f>
        <v>DKR250911PROLAU_20C_sample_3</v>
      </c>
      <c r="C1780" s="6" t="str">
        <f t="shared" ref="C1780:D1780" si="2075">C1779</f>
        <v>Protea laurifolia</v>
      </c>
      <c r="D1780" s="6" t="str">
        <f t="shared" si="2075"/>
        <v>20C</v>
      </c>
      <c r="E1780" s="10">
        <f>IF(ISBLANK(A1778),"",E1779+1)</f>
        <v>3</v>
      </c>
      <c r="F1780" s="11">
        <f t="shared" si="2076"/>
        <v>45919.50625</v>
      </c>
      <c r="G1780" s="8">
        <v>0.884</v>
      </c>
    </row>
    <row r="1781">
      <c r="A1781" s="9" t="str">
        <f t="shared" si="2074"/>
        <v>PROLAU</v>
      </c>
      <c r="B1781" s="9" t="str">
        <f>IF(ISBLANK(A1778),"",LEFT(B1780,27)&amp;VALUE(RIGHT(B1780,1)+1))</f>
        <v>DKR250911PROLAU_20C_sample_4</v>
      </c>
      <c r="C1781" s="6" t="str">
        <f t="shared" ref="C1781:D1781" si="2077">C1780</f>
        <v>Protea laurifolia</v>
      </c>
      <c r="D1781" s="6" t="str">
        <f t="shared" si="2077"/>
        <v>20C</v>
      </c>
      <c r="E1781" s="10">
        <f>IF(ISBLANK(A1778),"",E1780+1)</f>
        <v>4</v>
      </c>
      <c r="F1781" s="11">
        <f t="shared" si="2076"/>
        <v>45919.50625</v>
      </c>
      <c r="G1781" s="8">
        <v>0.438</v>
      </c>
    </row>
    <row r="1782">
      <c r="A1782" s="9" t="str">
        <f t="shared" si="2074"/>
        <v>PROLAU</v>
      </c>
      <c r="B1782" s="9" t="str">
        <f>IF(ISBLANK(A1778),"",LEFT(B1781,27)&amp;VALUE(RIGHT(B1781,1)+1))</f>
        <v>DKR250911PROLAU_20C_sample_5</v>
      </c>
      <c r="C1782" s="6" t="str">
        <f t="shared" ref="C1782:D1782" si="2078">C1781</f>
        <v>Protea laurifolia</v>
      </c>
      <c r="D1782" s="6" t="str">
        <f t="shared" si="2078"/>
        <v>20C</v>
      </c>
      <c r="E1782" s="10">
        <f>IF(ISBLANK(A1778),"",E1781+1)</f>
        <v>5</v>
      </c>
      <c r="F1782" s="11">
        <f t="shared" si="2076"/>
        <v>45919.50625</v>
      </c>
      <c r="G1782" s="8">
        <v>0.63</v>
      </c>
    </row>
    <row r="1783">
      <c r="A1783" s="12" t="str">
        <f t="shared" si="2074"/>
        <v>PROLAU</v>
      </c>
      <c r="B1783" s="12" t="str">
        <f>IF(ISBLANK(A1778),"",LEFT(B1782,27)&amp;VALUE(RIGHT(B1782,1)+1))</f>
        <v>DKR250911PROLAU_20C_sample_6</v>
      </c>
      <c r="C1783" s="13" t="str">
        <f t="shared" ref="C1783:D1783" si="2079">C1782</f>
        <v>Protea laurifolia</v>
      </c>
      <c r="D1783" s="13" t="str">
        <f t="shared" si="2079"/>
        <v>20C</v>
      </c>
      <c r="E1783" s="14">
        <f>IF(ISBLANK(A1778),"",E1782+1)</f>
        <v>6</v>
      </c>
      <c r="F1783" s="15">
        <f t="shared" si="2076"/>
        <v>45919.50625</v>
      </c>
      <c r="G1783" s="16">
        <v>0.503</v>
      </c>
    </row>
    <row r="1784">
      <c r="A1784" s="5" t="s">
        <v>8</v>
      </c>
      <c r="B1784" s="6" t="str">
        <f>IF(ISBLANK(A1784),"",VLOOKUP($A1784,'Data Feed (20C)'!$A$1:$G$14,2,FALSE))</f>
        <v>DKF250911PROLOR_20C_sample_1</v>
      </c>
      <c r="C1784" s="6" t="str">
        <f>IF(ISBLANK(A1784),"",VLOOKUP($A1784,'Data Feed (20C)'!$A$1:$G$14,3,FALSE))</f>
        <v>Protea lorifolia</v>
      </c>
      <c r="D1784" s="6" t="str">
        <f>IF(ISBLANK(A1784),"",VLOOKUP($A1784,'Data Feed (20C)'!$A$1:$G$14,4,FALSE))</f>
        <v>20C</v>
      </c>
      <c r="E1784" s="6">
        <f>IF(ISBLANK(A1784),"",VLOOKUP($A1784,'Data Feed (20C)'!$A$1:$G$14,7,FALSE))</f>
        <v>1</v>
      </c>
      <c r="F1784" s="7">
        <v>45919.50763888889</v>
      </c>
      <c r="G1784" s="8">
        <v>1.825</v>
      </c>
    </row>
    <row r="1785">
      <c r="A1785" s="9" t="str">
        <f t="shared" ref="A1785:A1789" si="2081">A1784</f>
        <v>PROLOR</v>
      </c>
      <c r="B1785" s="9" t="str">
        <f>IF(ISBLANK(A1784),"",LEFT(B1784,27)&amp;VALUE(RIGHT(B1784,1)+1))</f>
        <v>DKF250911PROLOR_20C_sample_2</v>
      </c>
      <c r="C1785" s="6" t="str">
        <f t="shared" ref="C1785:D1785" si="2080">C1784</f>
        <v>Protea lorifolia</v>
      </c>
      <c r="D1785" s="6" t="str">
        <f t="shared" si="2080"/>
        <v>20C</v>
      </c>
      <c r="E1785" s="10">
        <f>IF(ISBLANK(A1784),"",E1784+1)</f>
        <v>2</v>
      </c>
      <c r="F1785" s="11">
        <f t="shared" ref="F1785:F1789" si="2083">F1784</f>
        <v>45919.50764</v>
      </c>
      <c r="G1785" s="8"/>
    </row>
    <row r="1786">
      <c r="A1786" s="9" t="str">
        <f t="shared" si="2081"/>
        <v>PROLOR</v>
      </c>
      <c r="B1786" s="9" t="str">
        <f>IF(ISBLANK(A1784),"",LEFT(B1785,27)&amp;VALUE(RIGHT(B1785,1)+1))</f>
        <v>DKF250911PROLOR_20C_sample_3</v>
      </c>
      <c r="C1786" s="6" t="str">
        <f t="shared" ref="C1786:D1786" si="2082">C1785</f>
        <v>Protea lorifolia</v>
      </c>
      <c r="D1786" s="6" t="str">
        <f t="shared" si="2082"/>
        <v>20C</v>
      </c>
      <c r="E1786" s="10">
        <f>IF(ISBLANK(A1784),"",E1785+1)</f>
        <v>3</v>
      </c>
      <c r="F1786" s="11">
        <f t="shared" si="2083"/>
        <v>45919.50764</v>
      </c>
      <c r="G1786" s="8">
        <v>1.9</v>
      </c>
    </row>
    <row r="1787">
      <c r="A1787" s="9" t="str">
        <f t="shared" si="2081"/>
        <v>PROLOR</v>
      </c>
      <c r="B1787" s="9" t="str">
        <f>IF(ISBLANK(A1784),"",LEFT(B1786,27)&amp;VALUE(RIGHT(B1786,1)+1))</f>
        <v>DKF250911PROLOR_20C_sample_4</v>
      </c>
      <c r="C1787" s="6" t="str">
        <f t="shared" ref="C1787:D1787" si="2084">C1786</f>
        <v>Protea lorifolia</v>
      </c>
      <c r="D1787" s="6" t="str">
        <f t="shared" si="2084"/>
        <v>20C</v>
      </c>
      <c r="E1787" s="10">
        <f>IF(ISBLANK(A1784),"",E1786+1)</f>
        <v>4</v>
      </c>
      <c r="F1787" s="11">
        <f t="shared" si="2083"/>
        <v>45919.50764</v>
      </c>
      <c r="G1787" s="8">
        <v>1.579</v>
      </c>
    </row>
    <row r="1788">
      <c r="A1788" s="9" t="str">
        <f t="shared" si="2081"/>
        <v>PROLOR</v>
      </c>
      <c r="B1788" s="9" t="str">
        <f>IF(ISBLANK(A1784),"",LEFT(B1787,27)&amp;VALUE(RIGHT(B1787,1)+1))</f>
        <v>DKF250911PROLOR_20C_sample_5</v>
      </c>
      <c r="C1788" s="6" t="str">
        <f t="shared" ref="C1788:D1788" si="2085">C1787</f>
        <v>Protea lorifolia</v>
      </c>
      <c r="D1788" s="6" t="str">
        <f t="shared" si="2085"/>
        <v>20C</v>
      </c>
      <c r="E1788" s="10">
        <f>IF(ISBLANK(A1784),"",E1787+1)</f>
        <v>5</v>
      </c>
      <c r="F1788" s="11">
        <f t="shared" si="2083"/>
        <v>45919.50764</v>
      </c>
      <c r="G1788" s="8">
        <v>3.285</v>
      </c>
    </row>
    <row r="1789">
      <c r="A1789" s="12" t="str">
        <f t="shared" si="2081"/>
        <v>PROLOR</v>
      </c>
      <c r="B1789" s="12" t="str">
        <f>IF(ISBLANK(A1784),"",LEFT(B1788,27)&amp;VALUE(RIGHT(B1788,1)+1))</f>
        <v>DKF250911PROLOR_20C_sample_6</v>
      </c>
      <c r="C1789" s="13" t="str">
        <f t="shared" ref="C1789:D1789" si="2086">C1788</f>
        <v>Protea lorifolia</v>
      </c>
      <c r="D1789" s="13" t="str">
        <f t="shared" si="2086"/>
        <v>20C</v>
      </c>
      <c r="E1789" s="14">
        <f>IF(ISBLANK(A1784),"",E1788+1)</f>
        <v>6</v>
      </c>
      <c r="F1789" s="15">
        <f t="shared" si="2083"/>
        <v>45919.50764</v>
      </c>
      <c r="G1789" s="16">
        <v>3.802</v>
      </c>
    </row>
    <row r="1790">
      <c r="A1790" s="5" t="s">
        <v>11</v>
      </c>
      <c r="B1790" s="6" t="str">
        <f>IF(ISBLANK(A1790),"",VLOOKUP($A1790,'Data Feed (20C)'!$A$1:$G$14,2,FALSE))</f>
        <v>DKF250911SELDOL_20C_sample_1</v>
      </c>
      <c r="C1790" s="6" t="str">
        <f>IF(ISBLANK(A1790),"",VLOOKUP($A1790,'Data Feed (20C)'!$A$1:$G$14,3,FALSE))</f>
        <v>Selago dolosa</v>
      </c>
      <c r="D1790" s="6" t="str">
        <f>IF(ISBLANK(A1790),"",VLOOKUP($A1790,'Data Feed (20C)'!$A$1:$G$14,4,FALSE))</f>
        <v>20C</v>
      </c>
      <c r="E1790" s="6">
        <f>IF(ISBLANK(A1790),"",VLOOKUP($A1790,'Data Feed (20C)'!$A$1:$G$14,7,FALSE))</f>
        <v>1</v>
      </c>
      <c r="F1790" s="7">
        <v>45919.50902777778</v>
      </c>
      <c r="G1790" s="8"/>
    </row>
    <row r="1791">
      <c r="A1791" s="9" t="str">
        <f t="shared" ref="A1791:A1795" si="2088">A1790</f>
        <v>SELDOL</v>
      </c>
      <c r="B1791" s="9" t="str">
        <f>IF(ISBLANK(A1790),"",LEFT(B1790,27)&amp;VALUE(RIGHT(B1790,1)+1))</f>
        <v>DKF250911SELDOL_20C_sample_2</v>
      </c>
      <c r="C1791" s="6" t="str">
        <f t="shared" ref="C1791:D1791" si="2087">C1790</f>
        <v>Selago dolosa</v>
      </c>
      <c r="D1791" s="6" t="str">
        <f t="shared" si="2087"/>
        <v>20C</v>
      </c>
      <c r="E1791" s="10">
        <f>IF(ISBLANK(A1790),"",E1790+1)</f>
        <v>2</v>
      </c>
      <c r="F1791" s="11">
        <f t="shared" ref="F1791:F1795" si="2090">F1790</f>
        <v>45919.50903</v>
      </c>
      <c r="G1791" s="8">
        <v>1.28</v>
      </c>
    </row>
    <row r="1792">
      <c r="A1792" s="9" t="str">
        <f t="shared" si="2088"/>
        <v>SELDOL</v>
      </c>
      <c r="B1792" s="9" t="str">
        <f>IF(ISBLANK(A1790),"",LEFT(B1791,27)&amp;VALUE(RIGHT(B1791,1)+1))</f>
        <v>DKF250911SELDOL_20C_sample_3</v>
      </c>
      <c r="C1792" s="6" t="str">
        <f t="shared" ref="C1792:D1792" si="2089">C1791</f>
        <v>Selago dolosa</v>
      </c>
      <c r="D1792" s="6" t="str">
        <f t="shared" si="2089"/>
        <v>20C</v>
      </c>
      <c r="E1792" s="10">
        <f>IF(ISBLANK(A1790),"",E1791+1)</f>
        <v>3</v>
      </c>
      <c r="F1792" s="11">
        <f t="shared" si="2090"/>
        <v>45919.50903</v>
      </c>
      <c r="G1792" s="8">
        <v>1.133</v>
      </c>
    </row>
    <row r="1793">
      <c r="A1793" s="9" t="str">
        <f t="shared" si="2088"/>
        <v>SELDOL</v>
      </c>
      <c r="B1793" s="9" t="str">
        <f>IF(ISBLANK(A1790),"",LEFT(B1792,27)&amp;VALUE(RIGHT(B1792,1)+1))</f>
        <v>DKF250911SELDOL_20C_sample_4</v>
      </c>
      <c r="C1793" s="6" t="str">
        <f t="shared" ref="C1793:D1793" si="2091">C1792</f>
        <v>Selago dolosa</v>
      </c>
      <c r="D1793" s="6" t="str">
        <f t="shared" si="2091"/>
        <v>20C</v>
      </c>
      <c r="E1793" s="10">
        <f>IF(ISBLANK(A1790),"",E1792+1)</f>
        <v>4</v>
      </c>
      <c r="F1793" s="11">
        <f t="shared" si="2090"/>
        <v>45919.50903</v>
      </c>
      <c r="G1793" s="8">
        <v>1.258</v>
      </c>
    </row>
    <row r="1794">
      <c r="A1794" s="9" t="str">
        <f t="shared" si="2088"/>
        <v>SELDOL</v>
      </c>
      <c r="B1794" s="9" t="str">
        <f>IF(ISBLANK(A1790),"",LEFT(B1793,27)&amp;VALUE(RIGHT(B1793,1)+1))</f>
        <v>DKF250911SELDOL_20C_sample_5</v>
      </c>
      <c r="C1794" s="6" t="str">
        <f t="shared" ref="C1794:D1794" si="2092">C1793</f>
        <v>Selago dolosa</v>
      </c>
      <c r="D1794" s="6" t="str">
        <f t="shared" si="2092"/>
        <v>20C</v>
      </c>
      <c r="E1794" s="10">
        <f>IF(ISBLANK(A1790),"",E1793+1)</f>
        <v>5</v>
      </c>
      <c r="F1794" s="11">
        <f t="shared" si="2090"/>
        <v>45919.50903</v>
      </c>
      <c r="G1794" s="8"/>
    </row>
    <row r="1795">
      <c r="A1795" s="12" t="str">
        <f t="shared" si="2088"/>
        <v>SELDOL</v>
      </c>
      <c r="B1795" s="12" t="str">
        <f>IF(ISBLANK(A1790),"",LEFT(B1794,27)&amp;VALUE(RIGHT(B1794,1)+1))</f>
        <v>DKF250911SELDOL_20C_sample_6</v>
      </c>
      <c r="C1795" s="13" t="str">
        <f t="shared" ref="C1795:D1795" si="2093">C1794</f>
        <v>Selago dolosa</v>
      </c>
      <c r="D1795" s="13" t="str">
        <f t="shared" si="2093"/>
        <v>20C</v>
      </c>
      <c r="E1795" s="14">
        <f>IF(ISBLANK(A1790),"",E1794+1)</f>
        <v>6</v>
      </c>
      <c r="F1795" s="15">
        <f t="shared" si="2090"/>
        <v>45919.50903</v>
      </c>
      <c r="G1795" s="16">
        <v>0.696</v>
      </c>
    </row>
    <row r="1796">
      <c r="A1796" s="5" t="s">
        <v>13</v>
      </c>
      <c r="B1796" s="6" t="str">
        <f>IF(ISBLANK(A1796),"",VLOOKUP($A1796,'Data Feed (20C)'!$A$1:$G$14,2,FALSE))</f>
        <v>DKR250911RUSMUL_20C_sample_1</v>
      </c>
      <c r="C1796" s="6" t="str">
        <f>IF(ISBLANK(A1796),"",VLOOKUP($A1796,'Data Feed (20C)'!$A$1:$G$14,3,FALSE))</f>
        <v>Ruschia multiflora</v>
      </c>
      <c r="D1796" s="6" t="str">
        <f>IF(ISBLANK(A1796),"",VLOOKUP($A1796,'Data Feed (20C)'!$A$1:$G$14,4,FALSE))</f>
        <v>20C</v>
      </c>
      <c r="E1796" s="6">
        <f>IF(ISBLANK(A1796),"",VLOOKUP($A1796,'Data Feed (20C)'!$A$1:$G$14,7,FALSE))</f>
        <v>1</v>
      </c>
      <c r="F1796" s="7">
        <v>45919.510416666664</v>
      </c>
      <c r="G1796" s="8">
        <v>2.421</v>
      </c>
    </row>
    <row r="1797">
      <c r="A1797" s="9" t="str">
        <f t="shared" ref="A1797:A1801" si="2095">A1796</f>
        <v>RUSMUL</v>
      </c>
      <c r="B1797" s="9" t="str">
        <f>IF(ISBLANK(A1796),"",LEFT(B1796,27)&amp;VALUE(RIGHT(B1796,1)+1))</f>
        <v>DKR250911RUSMUL_20C_sample_2</v>
      </c>
      <c r="C1797" s="6" t="str">
        <f t="shared" ref="C1797:D1797" si="2094">C1796</f>
        <v>Ruschia multiflora</v>
      </c>
      <c r="D1797" s="6" t="str">
        <f t="shared" si="2094"/>
        <v>20C</v>
      </c>
      <c r="E1797" s="10">
        <f>IF(ISBLANK(A1796),"",E1796+1)</f>
        <v>2</v>
      </c>
      <c r="F1797" s="11">
        <f t="shared" ref="F1797:F1801" si="2097">F1796</f>
        <v>45919.51042</v>
      </c>
      <c r="G1797" s="8">
        <v>2.424</v>
      </c>
    </row>
    <row r="1798">
      <c r="A1798" s="9" t="str">
        <f t="shared" si="2095"/>
        <v>RUSMUL</v>
      </c>
      <c r="B1798" s="9" t="str">
        <f>IF(ISBLANK(A1796),"",LEFT(B1797,27)&amp;VALUE(RIGHT(B1797,1)+1))</f>
        <v>DKR250911RUSMUL_20C_sample_3</v>
      </c>
      <c r="C1798" s="6" t="str">
        <f t="shared" ref="C1798:D1798" si="2096">C1797</f>
        <v>Ruschia multiflora</v>
      </c>
      <c r="D1798" s="6" t="str">
        <f t="shared" si="2096"/>
        <v>20C</v>
      </c>
      <c r="E1798" s="10">
        <f>IF(ISBLANK(A1796),"",E1797+1)</f>
        <v>3</v>
      </c>
      <c r="F1798" s="11">
        <f t="shared" si="2097"/>
        <v>45919.51042</v>
      </c>
      <c r="G1798" s="8">
        <v>5.577</v>
      </c>
    </row>
    <row r="1799">
      <c r="A1799" s="9" t="str">
        <f t="shared" si="2095"/>
        <v>RUSMUL</v>
      </c>
      <c r="B1799" s="9" t="str">
        <f>IF(ISBLANK(A1796),"",LEFT(B1798,27)&amp;VALUE(RIGHT(B1798,1)+1))</f>
        <v>DKR250911RUSMUL_20C_sample_4</v>
      </c>
      <c r="C1799" s="6" t="str">
        <f t="shared" ref="C1799:D1799" si="2098">C1798</f>
        <v>Ruschia multiflora</v>
      </c>
      <c r="D1799" s="6" t="str">
        <f t="shared" si="2098"/>
        <v>20C</v>
      </c>
      <c r="E1799" s="10">
        <f>IF(ISBLANK(A1796),"",E1798+1)</f>
        <v>4</v>
      </c>
      <c r="F1799" s="11">
        <f t="shared" si="2097"/>
        <v>45919.51042</v>
      </c>
      <c r="G1799" s="8">
        <v>2.763</v>
      </c>
    </row>
    <row r="1800">
      <c r="A1800" s="9" t="str">
        <f t="shared" si="2095"/>
        <v>RUSMUL</v>
      </c>
      <c r="B1800" s="9" t="str">
        <f>IF(ISBLANK(A1796),"",LEFT(B1799,27)&amp;VALUE(RIGHT(B1799,1)+1))</f>
        <v>DKR250911RUSMUL_20C_sample_5</v>
      </c>
      <c r="C1800" s="6" t="str">
        <f t="shared" ref="C1800:D1800" si="2099">C1799</f>
        <v>Ruschia multiflora</v>
      </c>
      <c r="D1800" s="6" t="str">
        <f t="shared" si="2099"/>
        <v>20C</v>
      </c>
      <c r="E1800" s="10">
        <f>IF(ISBLANK(A1796),"",E1799+1)</f>
        <v>5</v>
      </c>
      <c r="F1800" s="11">
        <f t="shared" si="2097"/>
        <v>45919.51042</v>
      </c>
      <c r="G1800" s="8">
        <v>2.601</v>
      </c>
    </row>
    <row r="1801">
      <c r="A1801" s="12" t="str">
        <f t="shared" si="2095"/>
        <v>RUSMUL</v>
      </c>
      <c r="B1801" s="12" t="str">
        <f>IF(ISBLANK(A1796),"",LEFT(B1800,27)&amp;VALUE(RIGHT(B1800,1)+1))</f>
        <v>DKR250911RUSMUL_20C_sample_6</v>
      </c>
      <c r="C1801" s="13" t="str">
        <f t="shared" ref="C1801:D1801" si="2100">C1800</f>
        <v>Ruschia multiflora</v>
      </c>
      <c r="D1801" s="13" t="str">
        <f t="shared" si="2100"/>
        <v>20C</v>
      </c>
      <c r="E1801" s="14">
        <f>IF(ISBLANK(A1796),"",E1800+1)</f>
        <v>6</v>
      </c>
      <c r="F1801" s="15">
        <f t="shared" si="2097"/>
        <v>45919.51042</v>
      </c>
      <c r="G1801" s="16">
        <v>2.298</v>
      </c>
    </row>
    <row r="1802">
      <c r="A1802" s="5" t="s">
        <v>9</v>
      </c>
      <c r="B1802" s="6" t="str">
        <f>IF(ISBLANK(A1802),"",VLOOKUP($A1802,'Data Feed (20C)'!$A$1:$G$14,2,FALSE))</f>
        <v>DKR250911PROLAU_20C_sample_1</v>
      </c>
      <c r="C1802" s="6" t="str">
        <f>IF(ISBLANK(A1802),"",VLOOKUP($A1802,'Data Feed (20C)'!$A$1:$G$14,3,FALSE))</f>
        <v>Protea laurifolia</v>
      </c>
      <c r="D1802" s="6" t="str">
        <f>IF(ISBLANK(A1802),"",VLOOKUP($A1802,'Data Feed (20C)'!$A$1:$G$14,4,FALSE))</f>
        <v>20C</v>
      </c>
      <c r="E1802" s="6">
        <f>IF(ISBLANK(A1802),"",VLOOKUP($A1802,'Data Feed (20C)'!$A$1:$G$14,7,FALSE))</f>
        <v>1</v>
      </c>
      <c r="F1802" s="7">
        <v>45922.63055555556</v>
      </c>
      <c r="G1802" s="8">
        <v>0.616</v>
      </c>
    </row>
    <row r="1803">
      <c r="A1803" s="9" t="str">
        <f t="shared" ref="A1803:A1807" si="2102">A1802</f>
        <v>PROLAU</v>
      </c>
      <c r="B1803" s="9" t="str">
        <f>IF(ISBLANK(A1802),"",LEFT(B1802,27)&amp;VALUE(RIGHT(B1802,1)+1))</f>
        <v>DKR250911PROLAU_20C_sample_2</v>
      </c>
      <c r="C1803" s="6" t="str">
        <f t="shared" ref="C1803:D1803" si="2101">C1802</f>
        <v>Protea laurifolia</v>
      </c>
      <c r="D1803" s="6" t="str">
        <f t="shared" si="2101"/>
        <v>20C</v>
      </c>
      <c r="E1803" s="10">
        <f>IF(ISBLANK(A1802),"",E1802+1)</f>
        <v>2</v>
      </c>
      <c r="F1803" s="11">
        <f t="shared" ref="F1803:F1807" si="2104">F1802</f>
        <v>45922.63056</v>
      </c>
      <c r="G1803" s="8"/>
    </row>
    <row r="1804">
      <c r="A1804" s="9" t="str">
        <f t="shared" si="2102"/>
        <v>PROLAU</v>
      </c>
      <c r="B1804" s="9" t="str">
        <f>IF(ISBLANK(A1802),"",LEFT(B1803,27)&amp;VALUE(RIGHT(B1803,1)+1))</f>
        <v>DKR250911PROLAU_20C_sample_3</v>
      </c>
      <c r="C1804" s="6" t="str">
        <f t="shared" ref="C1804:D1804" si="2103">C1803</f>
        <v>Protea laurifolia</v>
      </c>
      <c r="D1804" s="6" t="str">
        <f t="shared" si="2103"/>
        <v>20C</v>
      </c>
      <c r="E1804" s="10">
        <f>IF(ISBLANK(A1802),"",E1803+1)</f>
        <v>3</v>
      </c>
      <c r="F1804" s="11">
        <f t="shared" si="2104"/>
        <v>45922.63056</v>
      </c>
      <c r="G1804" s="8">
        <v>0.778</v>
      </c>
    </row>
    <row r="1805">
      <c r="A1805" s="9" t="str">
        <f t="shared" si="2102"/>
        <v>PROLAU</v>
      </c>
      <c r="B1805" s="9" t="str">
        <f>IF(ISBLANK(A1802),"",LEFT(B1804,27)&amp;VALUE(RIGHT(B1804,1)+1))</f>
        <v>DKR250911PROLAU_20C_sample_4</v>
      </c>
      <c r="C1805" s="6" t="str">
        <f t="shared" ref="C1805:D1805" si="2105">C1804</f>
        <v>Protea laurifolia</v>
      </c>
      <c r="D1805" s="6" t="str">
        <f t="shared" si="2105"/>
        <v>20C</v>
      </c>
      <c r="E1805" s="10">
        <f>IF(ISBLANK(A1802),"",E1804+1)</f>
        <v>4</v>
      </c>
      <c r="F1805" s="11">
        <f t="shared" si="2104"/>
        <v>45922.63056</v>
      </c>
      <c r="G1805" s="8">
        <v>0.387</v>
      </c>
    </row>
    <row r="1806">
      <c r="A1806" s="9" t="str">
        <f t="shared" si="2102"/>
        <v>PROLAU</v>
      </c>
      <c r="B1806" s="9" t="str">
        <f>IF(ISBLANK(A1802),"",LEFT(B1805,27)&amp;VALUE(RIGHT(B1805,1)+1))</f>
        <v>DKR250911PROLAU_20C_sample_5</v>
      </c>
      <c r="C1806" s="6" t="str">
        <f t="shared" ref="C1806:D1806" si="2106">C1805</f>
        <v>Protea laurifolia</v>
      </c>
      <c r="D1806" s="6" t="str">
        <f t="shared" si="2106"/>
        <v>20C</v>
      </c>
      <c r="E1806" s="10">
        <f>IF(ISBLANK(A1802),"",E1805+1)</f>
        <v>5</v>
      </c>
      <c r="F1806" s="11">
        <f t="shared" si="2104"/>
        <v>45922.63056</v>
      </c>
      <c r="G1806" s="8">
        <v>0.531</v>
      </c>
    </row>
    <row r="1807">
      <c r="A1807" s="12" t="str">
        <f t="shared" si="2102"/>
        <v>PROLAU</v>
      </c>
      <c r="B1807" s="12" t="str">
        <f>IF(ISBLANK(A1802),"",LEFT(B1806,27)&amp;VALUE(RIGHT(B1806,1)+1))</f>
        <v>DKR250911PROLAU_20C_sample_6</v>
      </c>
      <c r="C1807" s="13" t="str">
        <f t="shared" ref="C1807:D1807" si="2107">C1806</f>
        <v>Protea laurifolia</v>
      </c>
      <c r="D1807" s="13" t="str">
        <f t="shared" si="2107"/>
        <v>20C</v>
      </c>
      <c r="E1807" s="14">
        <f>IF(ISBLANK(A1802),"",E1806+1)</f>
        <v>6</v>
      </c>
      <c r="F1807" s="15">
        <f t="shared" si="2104"/>
        <v>45922.63056</v>
      </c>
      <c r="G1807" s="16">
        <v>0.502</v>
      </c>
    </row>
    <row r="1808">
      <c r="A1808" s="5" t="s">
        <v>8</v>
      </c>
      <c r="B1808" s="6" t="str">
        <f>IF(ISBLANK(A1808),"",VLOOKUP($A1808,'Data Feed (20C)'!$A$1:$G$14,2,FALSE))</f>
        <v>DKF250911PROLOR_20C_sample_1</v>
      </c>
      <c r="C1808" s="6" t="str">
        <f>IF(ISBLANK(A1808),"",VLOOKUP($A1808,'Data Feed (20C)'!$A$1:$G$14,3,FALSE))</f>
        <v>Protea lorifolia</v>
      </c>
      <c r="D1808" s="6" t="str">
        <f>IF(ISBLANK(A1808),"",VLOOKUP($A1808,'Data Feed (20C)'!$A$1:$G$14,4,FALSE))</f>
        <v>20C</v>
      </c>
      <c r="E1808" s="6">
        <f>IF(ISBLANK(A1808),"",VLOOKUP($A1808,'Data Feed (20C)'!$A$1:$G$14,7,FALSE))</f>
        <v>1</v>
      </c>
      <c r="F1808" s="7">
        <v>45922.631944444445</v>
      </c>
      <c r="G1808" s="8">
        <v>1.712</v>
      </c>
    </row>
    <row r="1809">
      <c r="A1809" s="9" t="str">
        <f t="shared" ref="A1809:A1813" si="2109">A1808</f>
        <v>PROLOR</v>
      </c>
      <c r="B1809" s="9" t="str">
        <f>IF(ISBLANK(A1808),"",LEFT(B1808,27)&amp;VALUE(RIGHT(B1808,1)+1))</f>
        <v>DKF250911PROLOR_20C_sample_2</v>
      </c>
      <c r="C1809" s="6" t="str">
        <f t="shared" ref="C1809:D1809" si="2108">C1808</f>
        <v>Protea lorifolia</v>
      </c>
      <c r="D1809" s="6" t="str">
        <f t="shared" si="2108"/>
        <v>20C</v>
      </c>
      <c r="E1809" s="10">
        <f>IF(ISBLANK(A1808),"",E1808+1)</f>
        <v>2</v>
      </c>
      <c r="F1809" s="11">
        <f t="shared" ref="F1809:F1813" si="2111">F1808</f>
        <v>45922.63194</v>
      </c>
      <c r="G1809" s="8"/>
    </row>
    <row r="1810">
      <c r="A1810" s="9" t="str">
        <f t="shared" si="2109"/>
        <v>PROLOR</v>
      </c>
      <c r="B1810" s="9" t="str">
        <f>IF(ISBLANK(A1808),"",LEFT(B1809,27)&amp;VALUE(RIGHT(B1809,1)+1))</f>
        <v>DKF250911PROLOR_20C_sample_3</v>
      </c>
      <c r="C1810" s="6" t="str">
        <f t="shared" ref="C1810:D1810" si="2110">C1809</f>
        <v>Protea lorifolia</v>
      </c>
      <c r="D1810" s="6" t="str">
        <f t="shared" si="2110"/>
        <v>20C</v>
      </c>
      <c r="E1810" s="10">
        <f>IF(ISBLANK(A1808),"",E1809+1)</f>
        <v>3</v>
      </c>
      <c r="F1810" s="11">
        <f t="shared" si="2111"/>
        <v>45922.63194</v>
      </c>
      <c r="G1810" s="8"/>
    </row>
    <row r="1811">
      <c r="A1811" s="9" t="str">
        <f t="shared" si="2109"/>
        <v>PROLOR</v>
      </c>
      <c r="B1811" s="9" t="str">
        <f>IF(ISBLANK(A1808),"",LEFT(B1810,27)&amp;VALUE(RIGHT(B1810,1)+1))</f>
        <v>DKF250911PROLOR_20C_sample_4</v>
      </c>
      <c r="C1811" s="6" t="str">
        <f t="shared" ref="C1811:D1811" si="2112">C1810</f>
        <v>Protea lorifolia</v>
      </c>
      <c r="D1811" s="6" t="str">
        <f t="shared" si="2112"/>
        <v>20C</v>
      </c>
      <c r="E1811" s="10">
        <f>IF(ISBLANK(A1808),"",E1810+1)</f>
        <v>4</v>
      </c>
      <c r="F1811" s="11">
        <f t="shared" si="2111"/>
        <v>45922.63194</v>
      </c>
      <c r="G1811" s="8">
        <v>1.59</v>
      </c>
    </row>
    <row r="1812">
      <c r="A1812" s="9" t="str">
        <f t="shared" si="2109"/>
        <v>PROLOR</v>
      </c>
      <c r="B1812" s="9" t="str">
        <f>IF(ISBLANK(A1808),"",LEFT(B1811,27)&amp;VALUE(RIGHT(B1811,1)+1))</f>
        <v>DKF250911PROLOR_20C_sample_5</v>
      </c>
      <c r="C1812" s="6" t="str">
        <f t="shared" ref="C1812:D1812" si="2113">C1811</f>
        <v>Protea lorifolia</v>
      </c>
      <c r="D1812" s="6" t="str">
        <f t="shared" si="2113"/>
        <v>20C</v>
      </c>
      <c r="E1812" s="10">
        <f>IF(ISBLANK(A1808),"",E1811+1)</f>
        <v>5</v>
      </c>
      <c r="F1812" s="11">
        <f t="shared" si="2111"/>
        <v>45922.63194</v>
      </c>
      <c r="G1812" s="8">
        <v>2.822</v>
      </c>
    </row>
    <row r="1813">
      <c r="A1813" s="12" t="str">
        <f t="shared" si="2109"/>
        <v>PROLOR</v>
      </c>
      <c r="B1813" s="12" t="str">
        <f>IF(ISBLANK(A1808),"",LEFT(B1812,27)&amp;VALUE(RIGHT(B1812,1)+1))</f>
        <v>DKF250911PROLOR_20C_sample_6</v>
      </c>
      <c r="C1813" s="13" t="str">
        <f t="shared" ref="C1813:D1813" si="2114">C1812</f>
        <v>Protea lorifolia</v>
      </c>
      <c r="D1813" s="13" t="str">
        <f t="shared" si="2114"/>
        <v>20C</v>
      </c>
      <c r="E1813" s="14">
        <f>IF(ISBLANK(A1808),"",E1812+1)</f>
        <v>6</v>
      </c>
      <c r="F1813" s="15">
        <f t="shared" si="2111"/>
        <v>45922.63194</v>
      </c>
      <c r="G1813" s="16">
        <v>3.449</v>
      </c>
    </row>
    <row r="1814">
      <c r="A1814" s="5" t="s">
        <v>13</v>
      </c>
      <c r="B1814" s="6" t="str">
        <f>IF(ISBLANK(A1814),"",VLOOKUP($A1814,'Data Feed (20C)'!$A$1:$G$14,2,FALSE))</f>
        <v>DKR250911RUSMUL_20C_sample_1</v>
      </c>
      <c r="C1814" s="6" t="str">
        <f>IF(ISBLANK(A1814),"",VLOOKUP($A1814,'Data Feed (20C)'!$A$1:$G$14,3,FALSE))</f>
        <v>Ruschia multiflora</v>
      </c>
      <c r="D1814" s="6" t="str">
        <f>IF(ISBLANK(A1814),"",VLOOKUP($A1814,'Data Feed (20C)'!$A$1:$G$14,4,FALSE))</f>
        <v>20C</v>
      </c>
      <c r="E1814" s="6">
        <f>IF(ISBLANK(A1814),"",VLOOKUP($A1814,'Data Feed (20C)'!$A$1:$G$14,7,FALSE))</f>
        <v>1</v>
      </c>
      <c r="F1814" s="7">
        <v>45922.63263888889</v>
      </c>
      <c r="G1814" s="8">
        <v>2.23</v>
      </c>
    </row>
    <row r="1815">
      <c r="A1815" s="9" t="str">
        <f t="shared" ref="A1815:A1819" si="2116">A1814</f>
        <v>RUSMUL</v>
      </c>
      <c r="B1815" s="9" t="str">
        <f>IF(ISBLANK(A1814),"",LEFT(B1814,27)&amp;VALUE(RIGHT(B1814,1)+1))</f>
        <v>DKR250911RUSMUL_20C_sample_2</v>
      </c>
      <c r="C1815" s="6" t="str">
        <f t="shared" ref="C1815:D1815" si="2115">C1814</f>
        <v>Ruschia multiflora</v>
      </c>
      <c r="D1815" s="6" t="str">
        <f t="shared" si="2115"/>
        <v>20C</v>
      </c>
      <c r="E1815" s="10">
        <f>IF(ISBLANK(A1814),"",E1814+1)</f>
        <v>2</v>
      </c>
      <c r="F1815" s="11">
        <f t="shared" ref="F1815:F1819" si="2118">F1814</f>
        <v>45922.63264</v>
      </c>
      <c r="G1815" s="8">
        <v>2.178</v>
      </c>
    </row>
    <row r="1816">
      <c r="A1816" s="9" t="str">
        <f t="shared" si="2116"/>
        <v>RUSMUL</v>
      </c>
      <c r="B1816" s="9" t="str">
        <f>IF(ISBLANK(A1814),"",LEFT(B1815,27)&amp;VALUE(RIGHT(B1815,1)+1))</f>
        <v>DKR250911RUSMUL_20C_sample_3</v>
      </c>
      <c r="C1816" s="6" t="str">
        <f t="shared" ref="C1816:D1816" si="2117">C1815</f>
        <v>Ruschia multiflora</v>
      </c>
      <c r="D1816" s="6" t="str">
        <f t="shared" si="2117"/>
        <v>20C</v>
      </c>
      <c r="E1816" s="10">
        <f>IF(ISBLANK(A1814),"",E1815+1)</f>
        <v>3</v>
      </c>
      <c r="F1816" s="11">
        <f t="shared" si="2118"/>
        <v>45922.63264</v>
      </c>
      <c r="G1816" s="8">
        <v>4.978</v>
      </c>
    </row>
    <row r="1817">
      <c r="A1817" s="9" t="str">
        <f t="shared" si="2116"/>
        <v>RUSMUL</v>
      </c>
      <c r="B1817" s="9" t="str">
        <f>IF(ISBLANK(A1814),"",LEFT(B1816,27)&amp;VALUE(RIGHT(B1816,1)+1))</f>
        <v>DKR250911RUSMUL_20C_sample_4</v>
      </c>
      <c r="C1817" s="6" t="str">
        <f t="shared" ref="C1817:D1817" si="2119">C1816</f>
        <v>Ruschia multiflora</v>
      </c>
      <c r="D1817" s="6" t="str">
        <f t="shared" si="2119"/>
        <v>20C</v>
      </c>
      <c r="E1817" s="10">
        <f>IF(ISBLANK(A1814),"",E1816+1)</f>
        <v>4</v>
      </c>
      <c r="F1817" s="11">
        <f t="shared" si="2118"/>
        <v>45922.63264</v>
      </c>
      <c r="G1817" s="8">
        <v>2.456</v>
      </c>
    </row>
    <row r="1818">
      <c r="A1818" s="9" t="str">
        <f t="shared" si="2116"/>
        <v>RUSMUL</v>
      </c>
      <c r="B1818" s="9" t="str">
        <f>IF(ISBLANK(A1814),"",LEFT(B1817,27)&amp;VALUE(RIGHT(B1817,1)+1))</f>
        <v>DKR250911RUSMUL_20C_sample_5</v>
      </c>
      <c r="C1818" s="6" t="str">
        <f t="shared" ref="C1818:D1818" si="2120">C1817</f>
        <v>Ruschia multiflora</v>
      </c>
      <c r="D1818" s="6" t="str">
        <f t="shared" si="2120"/>
        <v>20C</v>
      </c>
      <c r="E1818" s="10">
        <f>IF(ISBLANK(A1814),"",E1817+1)</f>
        <v>5</v>
      </c>
      <c r="F1818" s="11">
        <f t="shared" si="2118"/>
        <v>45922.63264</v>
      </c>
      <c r="G1818" s="8">
        <v>2.327</v>
      </c>
    </row>
    <row r="1819">
      <c r="A1819" s="12" t="str">
        <f t="shared" si="2116"/>
        <v>RUSMUL</v>
      </c>
      <c r="B1819" s="12" t="str">
        <f>IF(ISBLANK(A1814),"",LEFT(B1818,27)&amp;VALUE(RIGHT(B1818,1)+1))</f>
        <v>DKR250911RUSMUL_20C_sample_6</v>
      </c>
      <c r="C1819" s="13" t="str">
        <f t="shared" ref="C1819:D1819" si="2121">C1818</f>
        <v>Ruschia multiflora</v>
      </c>
      <c r="D1819" s="13" t="str">
        <f t="shared" si="2121"/>
        <v>20C</v>
      </c>
      <c r="E1819" s="14">
        <f>IF(ISBLANK(A1814),"",E1818+1)</f>
        <v>6</v>
      </c>
      <c r="F1819" s="15">
        <f t="shared" si="2118"/>
        <v>45922.63264</v>
      </c>
      <c r="G1819" s="16">
        <v>2.146</v>
      </c>
    </row>
    <row r="1820">
      <c r="A1820" s="5" t="s">
        <v>9</v>
      </c>
      <c r="B1820" s="6" t="str">
        <f>IF(ISBLANK(A1820),"",VLOOKUP($A1820,'Data Feed (20C)'!$A$1:$G$14,2,FALSE))</f>
        <v>DKR250911PROLAU_20C_sample_1</v>
      </c>
      <c r="C1820" s="6" t="str">
        <f>IF(ISBLANK(A1820),"",VLOOKUP($A1820,'Data Feed (20C)'!$A$1:$G$14,3,FALSE))</f>
        <v>Protea laurifolia</v>
      </c>
      <c r="D1820" s="6" t="str">
        <f>IF(ISBLANK(A1820),"",VLOOKUP($A1820,'Data Feed (20C)'!$A$1:$G$14,4,FALSE))</f>
        <v>20C</v>
      </c>
      <c r="E1820" s="6">
        <f>IF(ISBLANK(A1820),"",VLOOKUP($A1820,'Data Feed (20C)'!$A$1:$G$14,7,FALSE))</f>
        <v>1</v>
      </c>
      <c r="F1820" s="7">
        <v>45925.55902777778</v>
      </c>
      <c r="G1820" s="8">
        <v>0.532</v>
      </c>
    </row>
    <row r="1821">
      <c r="A1821" s="9" t="str">
        <f t="shared" ref="A1821:A1825" si="2123">A1820</f>
        <v>PROLAU</v>
      </c>
      <c r="B1821" s="9" t="str">
        <f>IF(ISBLANK(A1820),"",LEFT(B1820,27)&amp;VALUE(RIGHT(B1820,1)+1))</f>
        <v>DKR250911PROLAU_20C_sample_2</v>
      </c>
      <c r="C1821" s="6" t="str">
        <f t="shared" ref="C1821:D1821" si="2122">C1820</f>
        <v>Protea laurifolia</v>
      </c>
      <c r="D1821" s="6" t="str">
        <f t="shared" si="2122"/>
        <v>20C</v>
      </c>
      <c r="E1821" s="10">
        <f>IF(ISBLANK(A1820),"",E1820+1)</f>
        <v>2</v>
      </c>
      <c r="F1821" s="11">
        <f t="shared" ref="F1821:F1825" si="2125">F1820</f>
        <v>45925.55903</v>
      </c>
      <c r="G1821" s="8"/>
    </row>
    <row r="1822">
      <c r="A1822" s="9" t="str">
        <f t="shared" si="2123"/>
        <v>PROLAU</v>
      </c>
      <c r="B1822" s="9" t="str">
        <f>IF(ISBLANK(A1820),"",LEFT(B1821,27)&amp;VALUE(RIGHT(B1821,1)+1))</f>
        <v>DKR250911PROLAU_20C_sample_3</v>
      </c>
      <c r="C1822" s="6" t="str">
        <f t="shared" ref="C1822:D1822" si="2124">C1821</f>
        <v>Protea laurifolia</v>
      </c>
      <c r="D1822" s="6" t="str">
        <f t="shared" si="2124"/>
        <v>20C</v>
      </c>
      <c r="E1822" s="10">
        <f>IF(ISBLANK(A1820),"",E1821+1)</f>
        <v>3</v>
      </c>
      <c r="F1822" s="11">
        <f t="shared" si="2125"/>
        <v>45925.55903</v>
      </c>
      <c r="G1822" s="8">
        <v>0.655</v>
      </c>
    </row>
    <row r="1823">
      <c r="A1823" s="9" t="str">
        <f t="shared" si="2123"/>
        <v>PROLAU</v>
      </c>
      <c r="B1823" s="9" t="str">
        <f>IF(ISBLANK(A1820),"",LEFT(B1822,27)&amp;VALUE(RIGHT(B1822,1)+1))</f>
        <v>DKR250911PROLAU_20C_sample_4</v>
      </c>
      <c r="C1823" s="6" t="str">
        <f t="shared" ref="C1823:D1823" si="2126">C1822</f>
        <v>Protea laurifolia</v>
      </c>
      <c r="D1823" s="6" t="str">
        <f t="shared" si="2126"/>
        <v>20C</v>
      </c>
      <c r="E1823" s="10">
        <f>IF(ISBLANK(A1820),"",E1822+1)</f>
        <v>4</v>
      </c>
      <c r="F1823" s="11">
        <f t="shared" si="2125"/>
        <v>45925.55903</v>
      </c>
      <c r="G1823" s="8">
        <v>0.342</v>
      </c>
    </row>
    <row r="1824">
      <c r="A1824" s="9" t="str">
        <f t="shared" si="2123"/>
        <v>PROLAU</v>
      </c>
      <c r="B1824" s="9" t="str">
        <f>IF(ISBLANK(A1820),"",LEFT(B1823,27)&amp;VALUE(RIGHT(B1823,1)+1))</f>
        <v>DKR250911PROLAU_20C_sample_5</v>
      </c>
      <c r="C1824" s="6" t="str">
        <f t="shared" ref="C1824:D1824" si="2127">C1823</f>
        <v>Protea laurifolia</v>
      </c>
      <c r="D1824" s="6" t="str">
        <f t="shared" si="2127"/>
        <v>20C</v>
      </c>
      <c r="E1824" s="10">
        <f>IF(ISBLANK(A1820),"",E1823+1)</f>
        <v>5</v>
      </c>
      <c r="F1824" s="11">
        <f t="shared" si="2125"/>
        <v>45925.55903</v>
      </c>
      <c r="G1824" s="8">
        <v>0.527</v>
      </c>
    </row>
    <row r="1825">
      <c r="A1825" s="12" t="str">
        <f t="shared" si="2123"/>
        <v>PROLAU</v>
      </c>
      <c r="B1825" s="12" t="str">
        <f>IF(ISBLANK(A1820),"",LEFT(B1824,27)&amp;VALUE(RIGHT(B1824,1)+1))</f>
        <v>DKR250911PROLAU_20C_sample_6</v>
      </c>
      <c r="C1825" s="13" t="str">
        <f t="shared" ref="C1825:D1825" si="2128">C1824</f>
        <v>Protea laurifolia</v>
      </c>
      <c r="D1825" s="13" t="str">
        <f t="shared" si="2128"/>
        <v>20C</v>
      </c>
      <c r="E1825" s="14">
        <f>IF(ISBLANK(A1820),"",E1824+1)</f>
        <v>6</v>
      </c>
      <c r="F1825" s="15">
        <f t="shared" si="2125"/>
        <v>45925.55903</v>
      </c>
      <c r="G1825" s="16"/>
    </row>
    <row r="1826">
      <c r="A1826" s="5" t="s">
        <v>8</v>
      </c>
      <c r="B1826" s="6" t="str">
        <f>IF(ISBLANK(A1826),"",VLOOKUP($A1826,'Data Feed (20C)'!$A$1:$G$14,2,FALSE))</f>
        <v>DKF250911PROLOR_20C_sample_1</v>
      </c>
      <c r="C1826" s="6" t="str">
        <f>IF(ISBLANK(A1826),"",VLOOKUP($A1826,'Data Feed (20C)'!$A$1:$G$14,3,FALSE))</f>
        <v>Protea lorifolia</v>
      </c>
      <c r="D1826" s="6" t="str">
        <f>IF(ISBLANK(A1826),"",VLOOKUP($A1826,'Data Feed (20C)'!$A$1:$G$14,4,FALSE))</f>
        <v>20C</v>
      </c>
      <c r="E1826" s="6">
        <f>IF(ISBLANK(A1826),"",VLOOKUP($A1826,'Data Feed (20C)'!$A$1:$G$14,7,FALSE))</f>
        <v>1</v>
      </c>
      <c r="F1826" s="7">
        <v>45925.55972222222</v>
      </c>
      <c r="G1826" s="8"/>
    </row>
    <row r="1827">
      <c r="A1827" s="9" t="str">
        <f t="shared" ref="A1827:A1831" si="2130">A1826</f>
        <v>PROLOR</v>
      </c>
      <c r="B1827" s="9" t="str">
        <f>IF(ISBLANK(A1826),"",LEFT(B1826,27)&amp;VALUE(RIGHT(B1826,1)+1))</f>
        <v>DKF250911PROLOR_20C_sample_2</v>
      </c>
      <c r="C1827" s="6" t="str">
        <f t="shared" ref="C1827:D1827" si="2129">C1826</f>
        <v>Protea lorifolia</v>
      </c>
      <c r="D1827" s="6" t="str">
        <f t="shared" si="2129"/>
        <v>20C</v>
      </c>
      <c r="E1827" s="10">
        <f>IF(ISBLANK(A1826),"",E1826+1)</f>
        <v>2</v>
      </c>
      <c r="F1827" s="11">
        <f t="shared" ref="F1827:F1831" si="2132">F1826</f>
        <v>45925.55972</v>
      </c>
      <c r="G1827" s="8"/>
    </row>
    <row r="1828">
      <c r="A1828" s="9" t="str">
        <f t="shared" si="2130"/>
        <v>PROLOR</v>
      </c>
      <c r="B1828" s="9" t="str">
        <f>IF(ISBLANK(A1826),"",LEFT(B1827,27)&amp;VALUE(RIGHT(B1827,1)+1))</f>
        <v>DKF250911PROLOR_20C_sample_3</v>
      </c>
      <c r="C1828" s="6" t="str">
        <f t="shared" ref="C1828:D1828" si="2131">C1827</f>
        <v>Protea lorifolia</v>
      </c>
      <c r="D1828" s="6" t="str">
        <f t="shared" si="2131"/>
        <v>20C</v>
      </c>
      <c r="E1828" s="10">
        <f>IF(ISBLANK(A1826),"",E1827+1)</f>
        <v>3</v>
      </c>
      <c r="F1828" s="11">
        <f t="shared" si="2132"/>
        <v>45925.55972</v>
      </c>
      <c r="G1828" s="8"/>
    </row>
    <row r="1829">
      <c r="A1829" s="9" t="str">
        <f t="shared" si="2130"/>
        <v>PROLOR</v>
      </c>
      <c r="B1829" s="9" t="str">
        <f>IF(ISBLANK(A1826),"",LEFT(B1828,27)&amp;VALUE(RIGHT(B1828,1)+1))</f>
        <v>DKF250911PROLOR_20C_sample_4</v>
      </c>
      <c r="C1829" s="6" t="str">
        <f t="shared" ref="C1829:D1829" si="2133">C1828</f>
        <v>Protea lorifolia</v>
      </c>
      <c r="D1829" s="6" t="str">
        <f t="shared" si="2133"/>
        <v>20C</v>
      </c>
      <c r="E1829" s="10">
        <f>IF(ISBLANK(A1826),"",E1828+1)</f>
        <v>4</v>
      </c>
      <c r="F1829" s="11">
        <f t="shared" si="2132"/>
        <v>45925.55972</v>
      </c>
      <c r="G1829" s="8"/>
    </row>
    <row r="1830">
      <c r="A1830" s="9" t="str">
        <f t="shared" si="2130"/>
        <v>PROLOR</v>
      </c>
      <c r="B1830" s="9" t="str">
        <f>IF(ISBLANK(A1826),"",LEFT(B1829,27)&amp;VALUE(RIGHT(B1829,1)+1))</f>
        <v>DKF250911PROLOR_20C_sample_5</v>
      </c>
      <c r="C1830" s="6" t="str">
        <f t="shared" ref="C1830:D1830" si="2134">C1829</f>
        <v>Protea lorifolia</v>
      </c>
      <c r="D1830" s="6" t="str">
        <f t="shared" si="2134"/>
        <v>20C</v>
      </c>
      <c r="E1830" s="10">
        <f>IF(ISBLANK(A1826),"",E1829+1)</f>
        <v>5</v>
      </c>
      <c r="F1830" s="11">
        <f t="shared" si="2132"/>
        <v>45925.55972</v>
      </c>
      <c r="G1830" s="8">
        <v>2.762</v>
      </c>
    </row>
    <row r="1831">
      <c r="A1831" s="12" t="str">
        <f t="shared" si="2130"/>
        <v>PROLOR</v>
      </c>
      <c r="B1831" s="12" t="str">
        <f>IF(ISBLANK(A1826),"",LEFT(B1830,27)&amp;VALUE(RIGHT(B1830,1)+1))</f>
        <v>DKF250911PROLOR_20C_sample_6</v>
      </c>
      <c r="C1831" s="13" t="str">
        <f t="shared" ref="C1831:D1831" si="2135">C1830</f>
        <v>Protea lorifolia</v>
      </c>
      <c r="D1831" s="13" t="str">
        <f t="shared" si="2135"/>
        <v>20C</v>
      </c>
      <c r="E1831" s="14">
        <f>IF(ISBLANK(A1826),"",E1830+1)</f>
        <v>6</v>
      </c>
      <c r="F1831" s="15">
        <f t="shared" si="2132"/>
        <v>45925.55972</v>
      </c>
      <c r="G1831" s="16">
        <v>3.138</v>
      </c>
    </row>
    <row r="1832">
      <c r="A1832" s="5" t="s">
        <v>13</v>
      </c>
      <c r="B1832" s="6" t="str">
        <f>IF(ISBLANK(A1832),"",VLOOKUP($A1832,'Data Feed (20C)'!$A$1:$G$14,2,FALSE))</f>
        <v>DKR250911RUSMUL_20C_sample_1</v>
      </c>
      <c r="C1832" s="6" t="str">
        <f>IF(ISBLANK(A1832),"",VLOOKUP($A1832,'Data Feed (20C)'!$A$1:$G$14,3,FALSE))</f>
        <v>Ruschia multiflora</v>
      </c>
      <c r="D1832" s="6" t="str">
        <f>IF(ISBLANK(A1832),"",VLOOKUP($A1832,'Data Feed (20C)'!$A$1:$G$14,4,FALSE))</f>
        <v>20C</v>
      </c>
      <c r="E1832" s="6">
        <f>IF(ISBLANK(A1832),"",VLOOKUP($A1832,'Data Feed (20C)'!$A$1:$G$14,7,FALSE))</f>
        <v>1</v>
      </c>
      <c r="F1832" s="7">
        <v>45925.56041666667</v>
      </c>
      <c r="G1832" s="8">
        <v>2.092</v>
      </c>
    </row>
    <row r="1833">
      <c r="A1833" s="9" t="str">
        <f t="shared" ref="A1833:A1837" si="2137">A1832</f>
        <v>RUSMUL</v>
      </c>
      <c r="B1833" s="9" t="str">
        <f>IF(ISBLANK(A1832),"",LEFT(B1832,27)&amp;VALUE(RIGHT(B1832,1)+1))</f>
        <v>DKR250911RUSMUL_20C_sample_2</v>
      </c>
      <c r="C1833" s="6" t="str">
        <f t="shared" ref="C1833:D1833" si="2136">C1832</f>
        <v>Ruschia multiflora</v>
      </c>
      <c r="D1833" s="6" t="str">
        <f t="shared" si="2136"/>
        <v>20C</v>
      </c>
      <c r="E1833" s="10">
        <f>IF(ISBLANK(A1832),"",E1832+1)</f>
        <v>2</v>
      </c>
      <c r="F1833" s="11">
        <f t="shared" ref="F1833:F1837" si="2139">F1832</f>
        <v>45925.56042</v>
      </c>
      <c r="G1833" s="8">
        <v>2.009</v>
      </c>
    </row>
    <row r="1834">
      <c r="A1834" s="9" t="str">
        <f t="shared" si="2137"/>
        <v>RUSMUL</v>
      </c>
      <c r="B1834" s="9" t="str">
        <f>IF(ISBLANK(A1832),"",LEFT(B1833,27)&amp;VALUE(RIGHT(B1833,1)+1))</f>
        <v>DKR250911RUSMUL_20C_sample_3</v>
      </c>
      <c r="C1834" s="6" t="str">
        <f t="shared" ref="C1834:D1834" si="2138">C1833</f>
        <v>Ruschia multiflora</v>
      </c>
      <c r="D1834" s="6" t="str">
        <f t="shared" si="2138"/>
        <v>20C</v>
      </c>
      <c r="E1834" s="10">
        <f>IF(ISBLANK(A1832),"",E1833+1)</f>
        <v>3</v>
      </c>
      <c r="F1834" s="11">
        <f t="shared" si="2139"/>
        <v>45925.56042</v>
      </c>
      <c r="G1834" s="8">
        <v>4.518</v>
      </c>
    </row>
    <row r="1835">
      <c r="A1835" s="9" t="str">
        <f t="shared" si="2137"/>
        <v>RUSMUL</v>
      </c>
      <c r="B1835" s="9" t="str">
        <f>IF(ISBLANK(A1832),"",LEFT(B1834,27)&amp;VALUE(RIGHT(B1834,1)+1))</f>
        <v>DKR250911RUSMUL_20C_sample_4</v>
      </c>
      <c r="C1835" s="6" t="str">
        <f t="shared" ref="C1835:D1835" si="2140">C1834</f>
        <v>Ruschia multiflora</v>
      </c>
      <c r="D1835" s="6" t="str">
        <f t="shared" si="2140"/>
        <v>20C</v>
      </c>
      <c r="E1835" s="10">
        <f>IF(ISBLANK(A1832),"",E1834+1)</f>
        <v>4</v>
      </c>
      <c r="F1835" s="11">
        <f t="shared" si="2139"/>
        <v>45925.56042</v>
      </c>
      <c r="G1835" s="8">
        <v>2.26</v>
      </c>
    </row>
    <row r="1836">
      <c r="A1836" s="9" t="str">
        <f t="shared" si="2137"/>
        <v>RUSMUL</v>
      </c>
      <c r="B1836" s="9" t="str">
        <f>IF(ISBLANK(A1832),"",LEFT(B1835,27)&amp;VALUE(RIGHT(B1835,1)+1))</f>
        <v>DKR250911RUSMUL_20C_sample_5</v>
      </c>
      <c r="C1836" s="6" t="str">
        <f t="shared" ref="C1836:D1836" si="2141">C1835</f>
        <v>Ruschia multiflora</v>
      </c>
      <c r="D1836" s="6" t="str">
        <f t="shared" si="2141"/>
        <v>20C</v>
      </c>
      <c r="E1836" s="10">
        <f>IF(ISBLANK(A1832),"",E1835+1)</f>
        <v>5</v>
      </c>
      <c r="F1836" s="11">
        <f t="shared" si="2139"/>
        <v>45925.56042</v>
      </c>
      <c r="G1836" s="8">
        <v>2.141</v>
      </c>
    </row>
    <row r="1837">
      <c r="A1837" s="12" t="str">
        <f t="shared" si="2137"/>
        <v>RUSMUL</v>
      </c>
      <c r="B1837" s="12" t="str">
        <f>IF(ISBLANK(A1832),"",LEFT(B1836,27)&amp;VALUE(RIGHT(B1836,1)+1))</f>
        <v>DKR250911RUSMUL_20C_sample_6</v>
      </c>
      <c r="C1837" s="13" t="str">
        <f t="shared" ref="C1837:D1837" si="2142">C1836</f>
        <v>Ruschia multiflora</v>
      </c>
      <c r="D1837" s="13" t="str">
        <f t="shared" si="2142"/>
        <v>20C</v>
      </c>
      <c r="E1837" s="14">
        <f>IF(ISBLANK(A1832),"",E1836+1)</f>
        <v>6</v>
      </c>
      <c r="F1837" s="15">
        <f t="shared" si="2139"/>
        <v>45925.56042</v>
      </c>
      <c r="G1837" s="16">
        <v>2.013</v>
      </c>
    </row>
    <row r="1838">
      <c r="A1838" s="5" t="s">
        <v>9</v>
      </c>
      <c r="B1838" s="6" t="str">
        <f>IF(ISBLANK(A1838),"",VLOOKUP($A1838,'Data Feed (20C)'!$A$1:$G$14,2,FALSE))</f>
        <v>DKR250911PROLAU_20C_sample_1</v>
      </c>
      <c r="C1838" s="6" t="str">
        <f>IF(ISBLANK(A1838),"",VLOOKUP($A1838,'Data Feed (20C)'!$A$1:$G$14,3,FALSE))</f>
        <v>Protea laurifolia</v>
      </c>
      <c r="D1838" s="6" t="str">
        <f>IF(ISBLANK(A1838),"",VLOOKUP($A1838,'Data Feed (20C)'!$A$1:$G$14,4,FALSE))</f>
        <v>20C</v>
      </c>
      <c r="E1838" s="6">
        <f>IF(ISBLANK(A1838),"",VLOOKUP($A1838,'Data Feed (20C)'!$A$1:$G$14,7,FALSE))</f>
        <v>1</v>
      </c>
      <c r="F1838" s="7">
        <v>45926.48055555556</v>
      </c>
      <c r="G1838" s="8">
        <v>0.529</v>
      </c>
    </row>
    <row r="1839">
      <c r="A1839" s="9" t="str">
        <f t="shared" ref="A1839:A1843" si="2144">A1838</f>
        <v>PROLAU</v>
      </c>
      <c r="B1839" s="9" t="str">
        <f>IF(ISBLANK(A1838),"",LEFT(B1838,27)&amp;VALUE(RIGHT(B1838,1)+1))</f>
        <v>DKR250911PROLAU_20C_sample_2</v>
      </c>
      <c r="C1839" s="6" t="str">
        <f t="shared" ref="C1839:D1839" si="2143">C1838</f>
        <v>Protea laurifolia</v>
      </c>
      <c r="D1839" s="6" t="str">
        <f t="shared" si="2143"/>
        <v>20C</v>
      </c>
      <c r="E1839" s="10">
        <f>IF(ISBLANK(A1838),"",E1838+1)</f>
        <v>2</v>
      </c>
      <c r="F1839" s="11">
        <f t="shared" ref="F1839:F1843" si="2146">F1838</f>
        <v>45926.48056</v>
      </c>
      <c r="G1839" s="8"/>
    </row>
    <row r="1840">
      <c r="A1840" s="9" t="str">
        <f t="shared" si="2144"/>
        <v>PROLAU</v>
      </c>
      <c r="B1840" s="9" t="str">
        <f>IF(ISBLANK(A1838),"",LEFT(B1839,27)&amp;VALUE(RIGHT(B1839,1)+1))</f>
        <v>DKR250911PROLAU_20C_sample_3</v>
      </c>
      <c r="C1840" s="6" t="str">
        <f t="shared" ref="C1840:D1840" si="2145">C1839</f>
        <v>Protea laurifolia</v>
      </c>
      <c r="D1840" s="6" t="str">
        <f t="shared" si="2145"/>
        <v>20C</v>
      </c>
      <c r="E1840" s="10">
        <f>IF(ISBLANK(A1838),"",E1839+1)</f>
        <v>3</v>
      </c>
      <c r="F1840" s="11">
        <f t="shared" si="2146"/>
        <v>45926.48056</v>
      </c>
      <c r="G1840" s="8">
        <v>0.579</v>
      </c>
    </row>
    <row r="1841">
      <c r="A1841" s="9" t="str">
        <f t="shared" si="2144"/>
        <v>PROLAU</v>
      </c>
      <c r="B1841" s="9" t="str">
        <f>IF(ISBLANK(A1838),"",LEFT(B1840,27)&amp;VALUE(RIGHT(B1840,1)+1))</f>
        <v>DKR250911PROLAU_20C_sample_4</v>
      </c>
      <c r="C1841" s="6" t="str">
        <f t="shared" ref="C1841:D1841" si="2147">C1840</f>
        <v>Protea laurifolia</v>
      </c>
      <c r="D1841" s="6" t="str">
        <f t="shared" si="2147"/>
        <v>20C</v>
      </c>
      <c r="E1841" s="10">
        <f>IF(ISBLANK(A1838),"",E1840+1)</f>
        <v>4</v>
      </c>
      <c r="F1841" s="11">
        <f t="shared" si="2146"/>
        <v>45926.48056</v>
      </c>
      <c r="G1841" s="8">
        <v>0.319</v>
      </c>
    </row>
    <row r="1842">
      <c r="A1842" s="9" t="str">
        <f t="shared" si="2144"/>
        <v>PROLAU</v>
      </c>
      <c r="B1842" s="9" t="str">
        <f>IF(ISBLANK(A1838),"",LEFT(B1841,27)&amp;VALUE(RIGHT(B1841,1)+1))</f>
        <v>DKR250911PROLAU_20C_sample_5</v>
      </c>
      <c r="C1842" s="6" t="str">
        <f t="shared" ref="C1842:D1842" si="2148">C1841</f>
        <v>Protea laurifolia</v>
      </c>
      <c r="D1842" s="6" t="str">
        <f t="shared" si="2148"/>
        <v>20C</v>
      </c>
      <c r="E1842" s="10">
        <f>IF(ISBLANK(A1838),"",E1841+1)</f>
        <v>5</v>
      </c>
      <c r="F1842" s="11">
        <f t="shared" si="2146"/>
        <v>45926.48056</v>
      </c>
      <c r="G1842" s="8"/>
    </row>
    <row r="1843">
      <c r="A1843" s="12" t="str">
        <f t="shared" si="2144"/>
        <v>PROLAU</v>
      </c>
      <c r="B1843" s="12" t="str">
        <f>IF(ISBLANK(A1838),"",LEFT(B1842,27)&amp;VALUE(RIGHT(B1842,1)+1))</f>
        <v>DKR250911PROLAU_20C_sample_6</v>
      </c>
      <c r="C1843" s="13" t="str">
        <f t="shared" ref="C1843:D1843" si="2149">C1842</f>
        <v>Protea laurifolia</v>
      </c>
      <c r="D1843" s="13" t="str">
        <f t="shared" si="2149"/>
        <v>20C</v>
      </c>
      <c r="E1843" s="14">
        <f>IF(ISBLANK(A1838),"",E1842+1)</f>
        <v>6</v>
      </c>
      <c r="F1843" s="15">
        <f t="shared" si="2146"/>
        <v>45926.48056</v>
      </c>
      <c r="G1843" s="16"/>
    </row>
    <row r="1844">
      <c r="A1844" s="5" t="s">
        <v>8</v>
      </c>
      <c r="B1844" s="6" t="str">
        <f>IF(ISBLANK(A1844),"",VLOOKUP($A1844,'Data Feed (20C)'!$A$1:$G$14,2,FALSE))</f>
        <v>DKF250911PROLOR_20C_sample_1</v>
      </c>
      <c r="C1844" s="6" t="str">
        <f>IF(ISBLANK(A1844),"",VLOOKUP($A1844,'Data Feed (20C)'!$A$1:$G$14,3,FALSE))</f>
        <v>Protea lorifolia</v>
      </c>
      <c r="D1844" s="6" t="str">
        <f>IF(ISBLANK(A1844),"",VLOOKUP($A1844,'Data Feed (20C)'!$A$1:$G$14,4,FALSE))</f>
        <v>20C</v>
      </c>
      <c r="E1844" s="6">
        <f>IF(ISBLANK(A1844),"",VLOOKUP($A1844,'Data Feed (20C)'!$A$1:$G$14,7,FALSE))</f>
        <v>1</v>
      </c>
      <c r="F1844" s="7">
        <v>45926.48125</v>
      </c>
      <c r="G1844" s="8"/>
    </row>
    <row r="1845">
      <c r="A1845" s="9" t="str">
        <f t="shared" ref="A1845:A1849" si="2151">A1844</f>
        <v>PROLOR</v>
      </c>
      <c r="B1845" s="9" t="str">
        <f>IF(ISBLANK(A1844),"",LEFT(B1844,27)&amp;VALUE(RIGHT(B1844,1)+1))</f>
        <v>DKF250911PROLOR_20C_sample_2</v>
      </c>
      <c r="C1845" s="6" t="str">
        <f t="shared" ref="C1845:D1845" si="2150">C1844</f>
        <v>Protea lorifolia</v>
      </c>
      <c r="D1845" s="6" t="str">
        <f t="shared" si="2150"/>
        <v>20C</v>
      </c>
      <c r="E1845" s="10">
        <f>IF(ISBLANK(A1844),"",E1844+1)</f>
        <v>2</v>
      </c>
      <c r="F1845" s="11">
        <f t="shared" ref="F1845:F1849" si="2153">F1844</f>
        <v>45926.48125</v>
      </c>
      <c r="G1845" s="8"/>
    </row>
    <row r="1846">
      <c r="A1846" s="9" t="str">
        <f t="shared" si="2151"/>
        <v>PROLOR</v>
      </c>
      <c r="B1846" s="9" t="str">
        <f>IF(ISBLANK(A1844),"",LEFT(B1845,27)&amp;VALUE(RIGHT(B1845,1)+1))</f>
        <v>DKF250911PROLOR_20C_sample_3</v>
      </c>
      <c r="C1846" s="6" t="str">
        <f t="shared" ref="C1846:D1846" si="2152">C1845</f>
        <v>Protea lorifolia</v>
      </c>
      <c r="D1846" s="6" t="str">
        <f t="shared" si="2152"/>
        <v>20C</v>
      </c>
      <c r="E1846" s="10">
        <f>IF(ISBLANK(A1844),"",E1845+1)</f>
        <v>3</v>
      </c>
      <c r="F1846" s="11">
        <f t="shared" si="2153"/>
        <v>45926.48125</v>
      </c>
      <c r="G1846" s="8"/>
    </row>
    <row r="1847">
      <c r="A1847" s="9" t="str">
        <f t="shared" si="2151"/>
        <v>PROLOR</v>
      </c>
      <c r="B1847" s="9" t="str">
        <f>IF(ISBLANK(A1844),"",LEFT(B1846,27)&amp;VALUE(RIGHT(B1846,1)+1))</f>
        <v>DKF250911PROLOR_20C_sample_4</v>
      </c>
      <c r="C1847" s="6" t="str">
        <f t="shared" ref="C1847:D1847" si="2154">C1846</f>
        <v>Protea lorifolia</v>
      </c>
      <c r="D1847" s="6" t="str">
        <f t="shared" si="2154"/>
        <v>20C</v>
      </c>
      <c r="E1847" s="10">
        <f>IF(ISBLANK(A1844),"",E1846+1)</f>
        <v>4</v>
      </c>
      <c r="F1847" s="11">
        <f t="shared" si="2153"/>
        <v>45926.48125</v>
      </c>
      <c r="G1847" s="8"/>
    </row>
    <row r="1848">
      <c r="A1848" s="9" t="str">
        <f t="shared" si="2151"/>
        <v>PROLOR</v>
      </c>
      <c r="B1848" s="9" t="str">
        <f>IF(ISBLANK(A1844),"",LEFT(B1847,27)&amp;VALUE(RIGHT(B1847,1)+1))</f>
        <v>DKF250911PROLOR_20C_sample_5</v>
      </c>
      <c r="C1848" s="6" t="str">
        <f t="shared" ref="C1848:D1848" si="2155">C1847</f>
        <v>Protea lorifolia</v>
      </c>
      <c r="D1848" s="6" t="str">
        <f t="shared" si="2155"/>
        <v>20C</v>
      </c>
      <c r="E1848" s="10">
        <f>IF(ISBLANK(A1844),"",E1847+1)</f>
        <v>5</v>
      </c>
      <c r="F1848" s="11">
        <f t="shared" si="2153"/>
        <v>45926.48125</v>
      </c>
      <c r="G1848" s="8">
        <v>2.754</v>
      </c>
    </row>
    <row r="1849">
      <c r="A1849" s="12" t="str">
        <f t="shared" si="2151"/>
        <v>PROLOR</v>
      </c>
      <c r="B1849" s="12" t="str">
        <f>IF(ISBLANK(A1844),"",LEFT(B1848,27)&amp;VALUE(RIGHT(B1848,1)+1))</f>
        <v>DKF250911PROLOR_20C_sample_6</v>
      </c>
      <c r="C1849" s="13" t="str">
        <f t="shared" ref="C1849:D1849" si="2156">C1848</f>
        <v>Protea lorifolia</v>
      </c>
      <c r="D1849" s="13" t="str">
        <f t="shared" si="2156"/>
        <v>20C</v>
      </c>
      <c r="E1849" s="14">
        <f>IF(ISBLANK(A1844),"",E1848+1)</f>
        <v>6</v>
      </c>
      <c r="F1849" s="15">
        <f t="shared" si="2153"/>
        <v>45926.48125</v>
      </c>
      <c r="G1849" s="16">
        <v>3.004</v>
      </c>
    </row>
    <row r="1850">
      <c r="A1850" s="5" t="s">
        <v>13</v>
      </c>
      <c r="B1850" s="6" t="str">
        <f>IF(ISBLANK(A1850),"",VLOOKUP($A1850,'Data Feed (20C)'!$A$1:$G$14,2,FALSE))</f>
        <v>DKR250911RUSMUL_20C_sample_1</v>
      </c>
      <c r="C1850" s="6" t="str">
        <f>IF(ISBLANK(A1850),"",VLOOKUP($A1850,'Data Feed (20C)'!$A$1:$G$14,3,FALSE))</f>
        <v>Ruschia multiflora</v>
      </c>
      <c r="D1850" s="6" t="str">
        <f>IF(ISBLANK(A1850),"",VLOOKUP($A1850,'Data Feed (20C)'!$A$1:$G$14,4,FALSE))</f>
        <v>20C</v>
      </c>
      <c r="E1850" s="6">
        <f>IF(ISBLANK(A1850),"",VLOOKUP($A1850,'Data Feed (20C)'!$A$1:$G$14,7,FALSE))</f>
        <v>1</v>
      </c>
      <c r="F1850" s="7">
        <v>45926.48263888889</v>
      </c>
      <c r="G1850" s="8">
        <v>2.043</v>
      </c>
    </row>
    <row r="1851">
      <c r="A1851" s="9" t="str">
        <f t="shared" ref="A1851:A1855" si="2158">A1850</f>
        <v>RUSMUL</v>
      </c>
      <c r="B1851" s="9" t="str">
        <f>IF(ISBLANK(A1850),"",LEFT(B1850,27)&amp;VALUE(RIGHT(B1850,1)+1))</f>
        <v>DKR250911RUSMUL_20C_sample_2</v>
      </c>
      <c r="C1851" s="6" t="str">
        <f t="shared" ref="C1851:D1851" si="2157">C1850</f>
        <v>Ruschia multiflora</v>
      </c>
      <c r="D1851" s="6" t="str">
        <f t="shared" si="2157"/>
        <v>20C</v>
      </c>
      <c r="E1851" s="10">
        <f>IF(ISBLANK(A1850),"",E1850+1)</f>
        <v>2</v>
      </c>
      <c r="F1851" s="11">
        <f t="shared" ref="F1851:F1855" si="2160">F1850</f>
        <v>45926.48264</v>
      </c>
      <c r="G1851" s="8">
        <v>1.953</v>
      </c>
    </row>
    <row r="1852">
      <c r="A1852" s="9" t="str">
        <f t="shared" si="2158"/>
        <v>RUSMUL</v>
      </c>
      <c r="B1852" s="9" t="str">
        <f>IF(ISBLANK(A1850),"",LEFT(B1851,27)&amp;VALUE(RIGHT(B1851,1)+1))</f>
        <v>DKR250911RUSMUL_20C_sample_3</v>
      </c>
      <c r="C1852" s="6" t="str">
        <f t="shared" ref="C1852:D1852" si="2159">C1851</f>
        <v>Ruschia multiflora</v>
      </c>
      <c r="D1852" s="6" t="str">
        <f t="shared" si="2159"/>
        <v>20C</v>
      </c>
      <c r="E1852" s="10">
        <f>IF(ISBLANK(A1850),"",E1851+1)</f>
        <v>3</v>
      </c>
      <c r="F1852" s="11">
        <f t="shared" si="2160"/>
        <v>45926.48264</v>
      </c>
      <c r="G1852" s="8">
        <v>4.387</v>
      </c>
    </row>
    <row r="1853">
      <c r="A1853" s="9" t="str">
        <f t="shared" si="2158"/>
        <v>RUSMUL</v>
      </c>
      <c r="B1853" s="9" t="str">
        <f>IF(ISBLANK(A1850),"",LEFT(B1852,27)&amp;VALUE(RIGHT(B1852,1)+1))</f>
        <v>DKR250911RUSMUL_20C_sample_4</v>
      </c>
      <c r="C1853" s="6" t="str">
        <f t="shared" ref="C1853:D1853" si="2161">C1852</f>
        <v>Ruschia multiflora</v>
      </c>
      <c r="D1853" s="6" t="str">
        <f t="shared" si="2161"/>
        <v>20C</v>
      </c>
      <c r="E1853" s="10">
        <f>IF(ISBLANK(A1850),"",E1852+1)</f>
        <v>4</v>
      </c>
      <c r="F1853" s="11">
        <f t="shared" si="2160"/>
        <v>45926.48264</v>
      </c>
      <c r="G1853" s="8">
        <v>2.211</v>
      </c>
    </row>
    <row r="1854">
      <c r="A1854" s="9" t="str">
        <f t="shared" si="2158"/>
        <v>RUSMUL</v>
      </c>
      <c r="B1854" s="9" t="str">
        <f>IF(ISBLANK(A1850),"",LEFT(B1853,27)&amp;VALUE(RIGHT(B1853,1)+1))</f>
        <v>DKR250911RUSMUL_20C_sample_5</v>
      </c>
      <c r="C1854" s="6" t="str">
        <f t="shared" ref="C1854:D1854" si="2162">C1853</f>
        <v>Ruschia multiflora</v>
      </c>
      <c r="D1854" s="6" t="str">
        <f t="shared" si="2162"/>
        <v>20C</v>
      </c>
      <c r="E1854" s="10">
        <f>IF(ISBLANK(A1850),"",E1853+1)</f>
        <v>5</v>
      </c>
      <c r="F1854" s="11">
        <f t="shared" si="2160"/>
        <v>45926.48264</v>
      </c>
      <c r="G1854" s="8">
        <v>2.085</v>
      </c>
    </row>
    <row r="1855">
      <c r="A1855" s="12" t="str">
        <f t="shared" si="2158"/>
        <v>RUSMUL</v>
      </c>
      <c r="B1855" s="12" t="str">
        <f>IF(ISBLANK(A1850),"",LEFT(B1854,27)&amp;VALUE(RIGHT(B1854,1)+1))</f>
        <v>DKR250911RUSMUL_20C_sample_6</v>
      </c>
      <c r="C1855" s="13" t="str">
        <f t="shared" ref="C1855:D1855" si="2163">C1854</f>
        <v>Ruschia multiflora</v>
      </c>
      <c r="D1855" s="13" t="str">
        <f t="shared" si="2163"/>
        <v>20C</v>
      </c>
      <c r="E1855" s="14">
        <f>IF(ISBLANK(A1850),"",E1854+1)</f>
        <v>6</v>
      </c>
      <c r="F1855" s="15">
        <f t="shared" si="2160"/>
        <v>45926.48264</v>
      </c>
      <c r="G1855" s="16">
        <v>1.962</v>
      </c>
    </row>
    <row r="1856">
      <c r="A1856" s="5" t="s">
        <v>9</v>
      </c>
      <c r="B1856" s="6" t="str">
        <f>IF(ISBLANK(A1856),"",VLOOKUP($A1856,'Data Feed (20C)'!$A$1:$G$14,2,FALSE))</f>
        <v>DKR250911PROLAU_20C_sample_1</v>
      </c>
      <c r="C1856" s="6" t="str">
        <f>IF(ISBLANK(A1856),"",VLOOKUP($A1856,'Data Feed (20C)'!$A$1:$G$14,3,FALSE))</f>
        <v>Protea laurifolia</v>
      </c>
      <c r="D1856" s="6" t="str">
        <f>IF(ISBLANK(A1856),"",VLOOKUP($A1856,'Data Feed (20C)'!$A$1:$G$14,4,FALSE))</f>
        <v>20C</v>
      </c>
      <c r="E1856" s="6">
        <f>IF(ISBLANK(A1856),"",VLOOKUP($A1856,'Data Feed (20C)'!$A$1:$G$14,7,FALSE))</f>
        <v>1</v>
      </c>
      <c r="F1856" s="7">
        <v>45930.595138888886</v>
      </c>
      <c r="G1856" s="8"/>
    </row>
    <row r="1857">
      <c r="A1857" s="9" t="str">
        <f t="shared" ref="A1857:A1861" si="2165">A1856</f>
        <v>PROLAU</v>
      </c>
      <c r="B1857" s="9" t="str">
        <f>IF(ISBLANK(A1856),"",LEFT(B1856,27)&amp;VALUE(RIGHT(B1856,1)+1))</f>
        <v>DKR250911PROLAU_20C_sample_2</v>
      </c>
      <c r="C1857" s="6" t="str">
        <f t="shared" ref="C1857:D1857" si="2164">C1856</f>
        <v>Protea laurifolia</v>
      </c>
      <c r="D1857" s="6" t="str">
        <f t="shared" si="2164"/>
        <v>20C</v>
      </c>
      <c r="E1857" s="10">
        <f>IF(ISBLANK(A1856),"",E1856+1)</f>
        <v>2</v>
      </c>
      <c r="F1857" s="11">
        <f t="shared" ref="F1857:F1861" si="2167">F1856</f>
        <v>45930.59514</v>
      </c>
      <c r="G1857" s="8"/>
    </row>
    <row r="1858">
      <c r="A1858" s="9" t="str">
        <f t="shared" si="2165"/>
        <v>PROLAU</v>
      </c>
      <c r="B1858" s="9" t="str">
        <f>IF(ISBLANK(A1856),"",LEFT(B1857,27)&amp;VALUE(RIGHT(B1857,1)+1))</f>
        <v>DKR250911PROLAU_20C_sample_3</v>
      </c>
      <c r="C1858" s="6" t="str">
        <f t="shared" ref="C1858:D1858" si="2166">C1857</f>
        <v>Protea laurifolia</v>
      </c>
      <c r="D1858" s="6" t="str">
        <f t="shared" si="2166"/>
        <v>20C</v>
      </c>
      <c r="E1858" s="10">
        <f>IF(ISBLANK(A1856),"",E1857+1)</f>
        <v>3</v>
      </c>
      <c r="F1858" s="11">
        <f t="shared" si="2167"/>
        <v>45930.59514</v>
      </c>
      <c r="G1858" s="8">
        <v>0.541</v>
      </c>
    </row>
    <row r="1859">
      <c r="A1859" s="9" t="str">
        <f t="shared" si="2165"/>
        <v>PROLAU</v>
      </c>
      <c r="B1859" s="9" t="str">
        <f>IF(ISBLANK(A1856),"",LEFT(B1858,27)&amp;VALUE(RIGHT(B1858,1)+1))</f>
        <v>DKR250911PROLAU_20C_sample_4</v>
      </c>
      <c r="C1859" s="6" t="str">
        <f t="shared" ref="C1859:D1859" si="2168">C1858</f>
        <v>Protea laurifolia</v>
      </c>
      <c r="D1859" s="6" t="str">
        <f t="shared" si="2168"/>
        <v>20C</v>
      </c>
      <c r="E1859" s="10">
        <f>IF(ISBLANK(A1856),"",E1858+1)</f>
        <v>4</v>
      </c>
      <c r="F1859" s="11">
        <f t="shared" si="2167"/>
        <v>45930.59514</v>
      </c>
      <c r="G1859" s="8">
        <v>0.262</v>
      </c>
    </row>
    <row r="1860">
      <c r="A1860" s="9" t="str">
        <f t="shared" si="2165"/>
        <v>PROLAU</v>
      </c>
      <c r="B1860" s="9" t="str">
        <f>IF(ISBLANK(A1856),"",LEFT(B1859,27)&amp;VALUE(RIGHT(B1859,1)+1))</f>
        <v>DKR250911PROLAU_20C_sample_5</v>
      </c>
      <c r="C1860" s="6" t="str">
        <f t="shared" ref="C1860:D1860" si="2169">C1859</f>
        <v>Protea laurifolia</v>
      </c>
      <c r="D1860" s="6" t="str">
        <f t="shared" si="2169"/>
        <v>20C</v>
      </c>
      <c r="E1860" s="10">
        <f>IF(ISBLANK(A1856),"",E1859+1)</f>
        <v>5</v>
      </c>
      <c r="F1860" s="11">
        <f t="shared" si="2167"/>
        <v>45930.59514</v>
      </c>
      <c r="G1860" s="8"/>
    </row>
    <row r="1861">
      <c r="A1861" s="12" t="str">
        <f t="shared" si="2165"/>
        <v>PROLAU</v>
      </c>
      <c r="B1861" s="12" t="str">
        <f>IF(ISBLANK(A1856),"",LEFT(B1860,27)&amp;VALUE(RIGHT(B1860,1)+1))</f>
        <v>DKR250911PROLAU_20C_sample_6</v>
      </c>
      <c r="C1861" s="13" t="str">
        <f t="shared" ref="C1861:D1861" si="2170">C1860</f>
        <v>Protea laurifolia</v>
      </c>
      <c r="D1861" s="13" t="str">
        <f t="shared" si="2170"/>
        <v>20C</v>
      </c>
      <c r="E1861" s="14">
        <f>IF(ISBLANK(A1856),"",E1860+1)</f>
        <v>6</v>
      </c>
      <c r="F1861" s="15">
        <f t="shared" si="2167"/>
        <v>45930.59514</v>
      </c>
      <c r="G1861" s="16"/>
    </row>
    <row r="1862">
      <c r="A1862" s="5" t="s">
        <v>8</v>
      </c>
      <c r="B1862" s="6" t="str">
        <f>IF(ISBLANK(A1862),"",VLOOKUP($A1862,'Data Feed (20C)'!$A$1:$G$14,2,FALSE))</f>
        <v>DKF250911PROLOR_20C_sample_1</v>
      </c>
      <c r="C1862" s="6" t="str">
        <f>IF(ISBLANK(A1862),"",VLOOKUP($A1862,'Data Feed (20C)'!$A$1:$G$14,3,FALSE))</f>
        <v>Protea lorifolia</v>
      </c>
      <c r="D1862" s="6" t="str">
        <f>IF(ISBLANK(A1862),"",VLOOKUP($A1862,'Data Feed (20C)'!$A$1:$G$14,4,FALSE))</f>
        <v>20C</v>
      </c>
      <c r="E1862" s="6">
        <f>IF(ISBLANK(A1862),"",VLOOKUP($A1862,'Data Feed (20C)'!$A$1:$G$14,7,FALSE))</f>
        <v>1</v>
      </c>
      <c r="F1862" s="7">
        <v>45930.59583333333</v>
      </c>
      <c r="G1862" s="8"/>
    </row>
    <row r="1863">
      <c r="A1863" s="9" t="str">
        <f t="shared" ref="A1863:A1867" si="2172">A1862</f>
        <v>PROLOR</v>
      </c>
      <c r="B1863" s="9" t="str">
        <f>IF(ISBLANK(A1862),"",LEFT(B1862,27)&amp;VALUE(RIGHT(B1862,1)+1))</f>
        <v>DKF250911PROLOR_20C_sample_2</v>
      </c>
      <c r="C1863" s="6" t="str">
        <f t="shared" ref="C1863:D1863" si="2171">C1862</f>
        <v>Protea lorifolia</v>
      </c>
      <c r="D1863" s="6" t="str">
        <f t="shared" si="2171"/>
        <v>20C</v>
      </c>
      <c r="E1863" s="10">
        <f>IF(ISBLANK(A1862),"",E1862+1)</f>
        <v>2</v>
      </c>
      <c r="F1863" s="11">
        <f t="shared" ref="F1863:F1867" si="2174">F1862</f>
        <v>45930.59583</v>
      </c>
      <c r="G1863" s="8"/>
    </row>
    <row r="1864">
      <c r="A1864" s="9" t="str">
        <f t="shared" si="2172"/>
        <v>PROLOR</v>
      </c>
      <c r="B1864" s="9" t="str">
        <f>IF(ISBLANK(A1862),"",LEFT(B1863,27)&amp;VALUE(RIGHT(B1863,1)+1))</f>
        <v>DKF250911PROLOR_20C_sample_3</v>
      </c>
      <c r="C1864" s="6" t="str">
        <f t="shared" ref="C1864:D1864" si="2173">C1863</f>
        <v>Protea lorifolia</v>
      </c>
      <c r="D1864" s="6" t="str">
        <f t="shared" si="2173"/>
        <v>20C</v>
      </c>
      <c r="E1864" s="10">
        <f>IF(ISBLANK(A1862),"",E1863+1)</f>
        <v>3</v>
      </c>
      <c r="F1864" s="11">
        <f t="shared" si="2174"/>
        <v>45930.59583</v>
      </c>
      <c r="G1864" s="8"/>
    </row>
    <row r="1865">
      <c r="A1865" s="9" t="str">
        <f t="shared" si="2172"/>
        <v>PROLOR</v>
      </c>
      <c r="B1865" s="9" t="str">
        <f>IF(ISBLANK(A1862),"",LEFT(B1864,27)&amp;VALUE(RIGHT(B1864,1)+1))</f>
        <v>DKF250911PROLOR_20C_sample_4</v>
      </c>
      <c r="C1865" s="6" t="str">
        <f t="shared" ref="C1865:D1865" si="2175">C1864</f>
        <v>Protea lorifolia</v>
      </c>
      <c r="D1865" s="6" t="str">
        <f t="shared" si="2175"/>
        <v>20C</v>
      </c>
      <c r="E1865" s="10">
        <f>IF(ISBLANK(A1862),"",E1864+1)</f>
        <v>4</v>
      </c>
      <c r="F1865" s="11">
        <f t="shared" si="2174"/>
        <v>45930.59583</v>
      </c>
      <c r="G1865" s="8"/>
    </row>
    <row r="1866">
      <c r="A1866" s="9" t="str">
        <f t="shared" si="2172"/>
        <v>PROLOR</v>
      </c>
      <c r="B1866" s="9" t="str">
        <f>IF(ISBLANK(A1862),"",LEFT(B1865,27)&amp;VALUE(RIGHT(B1865,1)+1))</f>
        <v>DKF250911PROLOR_20C_sample_5</v>
      </c>
      <c r="C1866" s="6" t="str">
        <f t="shared" ref="C1866:D1866" si="2176">C1865</f>
        <v>Protea lorifolia</v>
      </c>
      <c r="D1866" s="6" t="str">
        <f t="shared" si="2176"/>
        <v>20C</v>
      </c>
      <c r="E1866" s="10">
        <f>IF(ISBLANK(A1862),"",E1865+1)</f>
        <v>5</v>
      </c>
      <c r="F1866" s="11">
        <f t="shared" si="2174"/>
        <v>45930.59583</v>
      </c>
      <c r="G1866" s="8"/>
    </row>
    <row r="1867">
      <c r="A1867" s="12" t="str">
        <f t="shared" si="2172"/>
        <v>PROLOR</v>
      </c>
      <c r="B1867" s="12" t="str">
        <f>IF(ISBLANK(A1862),"",LEFT(B1866,27)&amp;VALUE(RIGHT(B1866,1)+1))</f>
        <v>DKF250911PROLOR_20C_sample_6</v>
      </c>
      <c r="C1867" s="13" t="str">
        <f t="shared" ref="C1867:D1867" si="2177">C1866</f>
        <v>Protea lorifolia</v>
      </c>
      <c r="D1867" s="13" t="str">
        <f t="shared" si="2177"/>
        <v>20C</v>
      </c>
      <c r="E1867" s="14">
        <f>IF(ISBLANK(A1862),"",E1866+1)</f>
        <v>6</v>
      </c>
      <c r="F1867" s="15">
        <f t="shared" si="2174"/>
        <v>45930.59583</v>
      </c>
      <c r="G1867" s="16">
        <v>2.209</v>
      </c>
    </row>
    <row r="1868">
      <c r="A1868" s="5" t="s">
        <v>13</v>
      </c>
      <c r="B1868" s="6" t="str">
        <f>IF(ISBLANK(A1868),"",VLOOKUP($A1868,'Data Feed (20C)'!$A$1:$G$14,2,FALSE))</f>
        <v>DKR250911RUSMUL_20C_sample_1</v>
      </c>
      <c r="C1868" s="6" t="str">
        <f>IF(ISBLANK(A1868),"",VLOOKUP($A1868,'Data Feed (20C)'!$A$1:$G$14,3,FALSE))</f>
        <v>Ruschia multiflora</v>
      </c>
      <c r="D1868" s="6" t="str">
        <f>IF(ISBLANK(A1868),"",VLOOKUP($A1868,'Data Feed (20C)'!$A$1:$G$14,4,FALSE))</f>
        <v>20C</v>
      </c>
      <c r="E1868" s="6">
        <f>IF(ISBLANK(A1868),"",VLOOKUP($A1868,'Data Feed (20C)'!$A$1:$G$14,7,FALSE))</f>
        <v>1</v>
      </c>
      <c r="F1868" s="7">
        <v>45930.59652777778</v>
      </c>
      <c r="G1868" s="8">
        <v>1.891</v>
      </c>
    </row>
    <row r="1869">
      <c r="A1869" s="9" t="str">
        <f t="shared" ref="A1869:A1873" si="2179">A1868</f>
        <v>RUSMUL</v>
      </c>
      <c r="B1869" s="9" t="str">
        <f>IF(ISBLANK(A1868),"",LEFT(B1868,27)&amp;VALUE(RIGHT(B1868,1)+1))</f>
        <v>DKR250911RUSMUL_20C_sample_2</v>
      </c>
      <c r="C1869" s="6" t="str">
        <f t="shared" ref="C1869:D1869" si="2178">C1868</f>
        <v>Ruschia multiflora</v>
      </c>
      <c r="D1869" s="6" t="str">
        <f t="shared" si="2178"/>
        <v>20C</v>
      </c>
      <c r="E1869" s="10">
        <f>IF(ISBLANK(A1868),"",E1868+1)</f>
        <v>2</v>
      </c>
      <c r="F1869" s="11">
        <f t="shared" ref="F1869:F1873" si="2181">F1868</f>
        <v>45930.59653</v>
      </c>
      <c r="G1869" s="8">
        <v>1.775</v>
      </c>
    </row>
    <row r="1870">
      <c r="A1870" s="9" t="str">
        <f t="shared" si="2179"/>
        <v>RUSMUL</v>
      </c>
      <c r="B1870" s="9" t="str">
        <f>IF(ISBLANK(A1868),"",LEFT(B1869,27)&amp;VALUE(RIGHT(B1869,1)+1))</f>
        <v>DKR250911RUSMUL_20C_sample_3</v>
      </c>
      <c r="C1870" s="6" t="str">
        <f t="shared" ref="C1870:D1870" si="2180">C1869</f>
        <v>Ruschia multiflora</v>
      </c>
      <c r="D1870" s="6" t="str">
        <f t="shared" si="2180"/>
        <v>20C</v>
      </c>
      <c r="E1870" s="10">
        <f>IF(ISBLANK(A1868),"",E1869+1)</f>
        <v>3</v>
      </c>
      <c r="F1870" s="11">
        <f t="shared" si="2181"/>
        <v>45930.59653</v>
      </c>
      <c r="G1870" s="8">
        <v>3.965</v>
      </c>
    </row>
    <row r="1871">
      <c r="A1871" s="9" t="str">
        <f t="shared" si="2179"/>
        <v>RUSMUL</v>
      </c>
      <c r="B1871" s="9" t="str">
        <f>IF(ISBLANK(A1868),"",LEFT(B1870,27)&amp;VALUE(RIGHT(B1870,1)+1))</f>
        <v>DKR250911RUSMUL_20C_sample_4</v>
      </c>
      <c r="C1871" s="6" t="str">
        <f t="shared" ref="C1871:D1871" si="2182">C1870</f>
        <v>Ruschia multiflora</v>
      </c>
      <c r="D1871" s="6" t="str">
        <f t="shared" si="2182"/>
        <v>20C</v>
      </c>
      <c r="E1871" s="10">
        <f>IF(ISBLANK(A1868),"",E1870+1)</f>
        <v>4</v>
      </c>
      <c r="F1871" s="11">
        <f t="shared" si="2181"/>
        <v>45930.59653</v>
      </c>
      <c r="G1871" s="8">
        <v>2.07</v>
      </c>
    </row>
    <row r="1872">
      <c r="A1872" s="9" t="str">
        <f t="shared" si="2179"/>
        <v>RUSMUL</v>
      </c>
      <c r="B1872" s="9" t="str">
        <f>IF(ISBLANK(A1868),"",LEFT(B1871,27)&amp;VALUE(RIGHT(B1871,1)+1))</f>
        <v>DKR250911RUSMUL_20C_sample_5</v>
      </c>
      <c r="C1872" s="6" t="str">
        <f t="shared" ref="C1872:D1872" si="2183">C1871</f>
        <v>Ruschia multiflora</v>
      </c>
      <c r="D1872" s="6" t="str">
        <f t="shared" si="2183"/>
        <v>20C</v>
      </c>
      <c r="E1872" s="10">
        <f>IF(ISBLANK(A1868),"",E1871+1)</f>
        <v>5</v>
      </c>
      <c r="F1872" s="11">
        <f t="shared" si="2181"/>
        <v>45930.59653</v>
      </c>
      <c r="G1872" s="8">
        <v>1.925</v>
      </c>
    </row>
    <row r="1873">
      <c r="A1873" s="12" t="str">
        <f t="shared" si="2179"/>
        <v>RUSMUL</v>
      </c>
      <c r="B1873" s="12" t="str">
        <f>IF(ISBLANK(A1868),"",LEFT(B1872,27)&amp;VALUE(RIGHT(B1872,1)+1))</f>
        <v>DKR250911RUSMUL_20C_sample_6</v>
      </c>
      <c r="C1873" s="13" t="str">
        <f t="shared" ref="C1873:D1873" si="2184">C1872</f>
        <v>Ruschia multiflora</v>
      </c>
      <c r="D1873" s="13" t="str">
        <f t="shared" si="2184"/>
        <v>20C</v>
      </c>
      <c r="E1873" s="14">
        <f>IF(ISBLANK(A1868),"",E1872+1)</f>
        <v>6</v>
      </c>
      <c r="F1873" s="15">
        <f t="shared" si="2181"/>
        <v>45930.59653</v>
      </c>
      <c r="G1873" s="16">
        <v>1.854</v>
      </c>
    </row>
    <row r="1874">
      <c r="A1874" s="5" t="s">
        <v>9</v>
      </c>
      <c r="B1874" s="6" t="str">
        <f>IF(ISBLANK(A1874),"",VLOOKUP($A1874,'Data Feed (20C)'!$A$1:$G$14,2,FALSE))</f>
        <v>DKR250911PROLAU_20C_sample_1</v>
      </c>
      <c r="C1874" s="6" t="str">
        <f>IF(ISBLANK(A1874),"",VLOOKUP($A1874,'Data Feed (20C)'!$A$1:$G$14,3,FALSE))</f>
        <v>Protea laurifolia</v>
      </c>
      <c r="D1874" s="6" t="str">
        <f>IF(ISBLANK(A1874),"",VLOOKUP($A1874,'Data Feed (20C)'!$A$1:$G$14,4,FALSE))</f>
        <v>20C</v>
      </c>
      <c r="E1874" s="6">
        <f>IF(ISBLANK(A1874),"",VLOOKUP($A1874,'Data Feed (20C)'!$A$1:$G$14,7,FALSE))</f>
        <v>1</v>
      </c>
      <c r="F1874" s="7">
        <v>45932.5375</v>
      </c>
      <c r="G1874" s="8"/>
    </row>
    <row r="1875">
      <c r="A1875" s="9" t="str">
        <f t="shared" ref="A1875:A1879" si="2186">A1874</f>
        <v>PROLAU</v>
      </c>
      <c r="B1875" s="9" t="str">
        <f>IF(ISBLANK(A1874),"",LEFT(B1874,27)&amp;VALUE(RIGHT(B1874,1)+1))</f>
        <v>DKR250911PROLAU_20C_sample_2</v>
      </c>
      <c r="C1875" s="6" t="str">
        <f t="shared" ref="C1875:D1875" si="2185">C1874</f>
        <v>Protea laurifolia</v>
      </c>
      <c r="D1875" s="6" t="str">
        <f t="shared" si="2185"/>
        <v>20C</v>
      </c>
      <c r="E1875" s="10">
        <f>IF(ISBLANK(A1874),"",E1874+1)</f>
        <v>2</v>
      </c>
      <c r="F1875" s="11">
        <f t="shared" ref="F1875:F1879" si="2188">F1874</f>
        <v>45932.5375</v>
      </c>
      <c r="G1875" s="8"/>
    </row>
    <row r="1876">
      <c r="A1876" s="9" t="str">
        <f t="shared" si="2186"/>
        <v>PROLAU</v>
      </c>
      <c r="B1876" s="9" t="str">
        <f>IF(ISBLANK(A1874),"",LEFT(B1875,27)&amp;VALUE(RIGHT(B1875,1)+1))</f>
        <v>DKR250911PROLAU_20C_sample_3</v>
      </c>
      <c r="C1876" s="6" t="str">
        <f t="shared" ref="C1876:D1876" si="2187">C1875</f>
        <v>Protea laurifolia</v>
      </c>
      <c r="D1876" s="6" t="str">
        <f t="shared" si="2187"/>
        <v>20C</v>
      </c>
      <c r="E1876" s="10">
        <f>IF(ISBLANK(A1874),"",E1875+1)</f>
        <v>3</v>
      </c>
      <c r="F1876" s="11">
        <f t="shared" si="2188"/>
        <v>45932.5375</v>
      </c>
      <c r="G1876" s="8">
        <v>0.54</v>
      </c>
    </row>
    <row r="1877">
      <c r="A1877" s="9" t="str">
        <f t="shared" si="2186"/>
        <v>PROLAU</v>
      </c>
      <c r="B1877" s="9" t="str">
        <f>IF(ISBLANK(A1874),"",LEFT(B1876,27)&amp;VALUE(RIGHT(B1876,1)+1))</f>
        <v>DKR250911PROLAU_20C_sample_4</v>
      </c>
      <c r="C1877" s="6" t="str">
        <f t="shared" ref="C1877:D1877" si="2189">C1876</f>
        <v>Protea laurifolia</v>
      </c>
      <c r="D1877" s="6" t="str">
        <f t="shared" si="2189"/>
        <v>20C</v>
      </c>
      <c r="E1877" s="10">
        <f>IF(ISBLANK(A1874),"",E1876+1)</f>
        <v>4</v>
      </c>
      <c r="F1877" s="11">
        <f t="shared" si="2188"/>
        <v>45932.5375</v>
      </c>
      <c r="G1877" s="8">
        <v>0.256</v>
      </c>
    </row>
    <row r="1878">
      <c r="A1878" s="9" t="str">
        <f t="shared" si="2186"/>
        <v>PROLAU</v>
      </c>
      <c r="B1878" s="9" t="str">
        <f>IF(ISBLANK(A1874),"",LEFT(B1877,27)&amp;VALUE(RIGHT(B1877,1)+1))</f>
        <v>DKR250911PROLAU_20C_sample_5</v>
      </c>
      <c r="C1878" s="6" t="str">
        <f t="shared" ref="C1878:D1878" si="2190">C1877</f>
        <v>Protea laurifolia</v>
      </c>
      <c r="D1878" s="6" t="str">
        <f t="shared" si="2190"/>
        <v>20C</v>
      </c>
      <c r="E1878" s="10">
        <f>IF(ISBLANK(A1874),"",E1877+1)</f>
        <v>5</v>
      </c>
      <c r="F1878" s="11">
        <f t="shared" si="2188"/>
        <v>45932.5375</v>
      </c>
      <c r="G1878" s="8"/>
    </row>
    <row r="1879">
      <c r="A1879" s="12" t="str">
        <f t="shared" si="2186"/>
        <v>PROLAU</v>
      </c>
      <c r="B1879" s="12" t="str">
        <f>IF(ISBLANK(A1874),"",LEFT(B1878,27)&amp;VALUE(RIGHT(B1878,1)+1))</f>
        <v>DKR250911PROLAU_20C_sample_6</v>
      </c>
      <c r="C1879" s="13" t="str">
        <f t="shared" ref="C1879:D1879" si="2191">C1878</f>
        <v>Protea laurifolia</v>
      </c>
      <c r="D1879" s="13" t="str">
        <f t="shared" si="2191"/>
        <v>20C</v>
      </c>
      <c r="E1879" s="14">
        <f>IF(ISBLANK(A1874),"",E1878+1)</f>
        <v>6</v>
      </c>
      <c r="F1879" s="15">
        <f t="shared" si="2188"/>
        <v>45932.5375</v>
      </c>
      <c r="G1879" s="16"/>
    </row>
    <row r="1880">
      <c r="A1880" s="5" t="s">
        <v>8</v>
      </c>
      <c r="B1880" s="6" t="str">
        <f>IF(ISBLANK(A1880),"",VLOOKUP($A1880,'Data Feed (20C)'!$A$1:$G$14,2,FALSE))</f>
        <v>DKF250911PROLOR_20C_sample_1</v>
      </c>
      <c r="C1880" s="6" t="str">
        <f>IF(ISBLANK(A1880),"",VLOOKUP($A1880,'Data Feed (20C)'!$A$1:$G$14,3,FALSE))</f>
        <v>Protea lorifolia</v>
      </c>
      <c r="D1880" s="6" t="str">
        <f>IF(ISBLANK(A1880),"",VLOOKUP($A1880,'Data Feed (20C)'!$A$1:$G$14,4,FALSE))</f>
        <v>20C</v>
      </c>
      <c r="E1880" s="6">
        <f>IF(ISBLANK(A1880),"",VLOOKUP($A1880,'Data Feed (20C)'!$A$1:$G$14,7,FALSE))</f>
        <v>1</v>
      </c>
      <c r="F1880" s="7">
        <v>45932.58611111111</v>
      </c>
      <c r="G1880" s="8"/>
    </row>
    <row r="1881">
      <c r="A1881" s="9" t="str">
        <f t="shared" ref="A1881:A1885" si="2193">A1880</f>
        <v>PROLOR</v>
      </c>
      <c r="B1881" s="9" t="str">
        <f>IF(ISBLANK(A1880),"",LEFT(B1880,27)&amp;VALUE(RIGHT(B1880,1)+1))</f>
        <v>DKF250911PROLOR_20C_sample_2</v>
      </c>
      <c r="C1881" s="6" t="str">
        <f t="shared" ref="C1881:D1881" si="2192">C1880</f>
        <v>Protea lorifolia</v>
      </c>
      <c r="D1881" s="6" t="str">
        <f t="shared" si="2192"/>
        <v>20C</v>
      </c>
      <c r="E1881" s="10">
        <f>IF(ISBLANK(A1880),"",E1880+1)</f>
        <v>2</v>
      </c>
      <c r="F1881" s="11">
        <f t="shared" ref="F1881:F1885" si="2195">F1880</f>
        <v>45932.58611</v>
      </c>
      <c r="G1881" s="8"/>
    </row>
    <row r="1882">
      <c r="A1882" s="9" t="str">
        <f t="shared" si="2193"/>
        <v>PROLOR</v>
      </c>
      <c r="B1882" s="9" t="str">
        <f>IF(ISBLANK(A1880),"",LEFT(B1881,27)&amp;VALUE(RIGHT(B1881,1)+1))</f>
        <v>DKF250911PROLOR_20C_sample_3</v>
      </c>
      <c r="C1882" s="6" t="str">
        <f t="shared" ref="C1882:D1882" si="2194">C1881</f>
        <v>Protea lorifolia</v>
      </c>
      <c r="D1882" s="6" t="str">
        <f t="shared" si="2194"/>
        <v>20C</v>
      </c>
      <c r="E1882" s="10">
        <f>IF(ISBLANK(A1880),"",E1881+1)</f>
        <v>3</v>
      </c>
      <c r="F1882" s="11">
        <f t="shared" si="2195"/>
        <v>45932.58611</v>
      </c>
      <c r="G1882" s="8"/>
    </row>
    <row r="1883">
      <c r="A1883" s="9" t="str">
        <f t="shared" si="2193"/>
        <v>PROLOR</v>
      </c>
      <c r="B1883" s="9" t="str">
        <f>IF(ISBLANK(A1880),"",LEFT(B1882,27)&amp;VALUE(RIGHT(B1882,1)+1))</f>
        <v>DKF250911PROLOR_20C_sample_4</v>
      </c>
      <c r="C1883" s="6" t="str">
        <f t="shared" ref="C1883:D1883" si="2196">C1882</f>
        <v>Protea lorifolia</v>
      </c>
      <c r="D1883" s="6" t="str">
        <f t="shared" si="2196"/>
        <v>20C</v>
      </c>
      <c r="E1883" s="10">
        <f>IF(ISBLANK(A1880),"",E1882+1)</f>
        <v>4</v>
      </c>
      <c r="F1883" s="11">
        <f t="shared" si="2195"/>
        <v>45932.58611</v>
      </c>
      <c r="G1883" s="8"/>
    </row>
    <row r="1884">
      <c r="A1884" s="9" t="str">
        <f t="shared" si="2193"/>
        <v>PROLOR</v>
      </c>
      <c r="B1884" s="9" t="str">
        <f>IF(ISBLANK(A1880),"",LEFT(B1883,27)&amp;VALUE(RIGHT(B1883,1)+1))</f>
        <v>DKF250911PROLOR_20C_sample_5</v>
      </c>
      <c r="C1884" s="6" t="str">
        <f t="shared" ref="C1884:D1884" si="2197">C1883</f>
        <v>Protea lorifolia</v>
      </c>
      <c r="D1884" s="6" t="str">
        <f t="shared" si="2197"/>
        <v>20C</v>
      </c>
      <c r="E1884" s="10">
        <f>IF(ISBLANK(A1880),"",E1883+1)</f>
        <v>5</v>
      </c>
      <c r="F1884" s="11">
        <f t="shared" si="2195"/>
        <v>45932.58611</v>
      </c>
      <c r="G1884" s="8"/>
    </row>
    <row r="1885">
      <c r="A1885" s="12" t="str">
        <f t="shared" si="2193"/>
        <v>PROLOR</v>
      </c>
      <c r="B1885" s="12" t="str">
        <f>IF(ISBLANK(A1880),"",LEFT(B1884,27)&amp;VALUE(RIGHT(B1884,1)+1))</f>
        <v>DKF250911PROLOR_20C_sample_6</v>
      </c>
      <c r="C1885" s="13" t="str">
        <f t="shared" ref="C1885:D1885" si="2198">C1884</f>
        <v>Protea lorifolia</v>
      </c>
      <c r="D1885" s="13" t="str">
        <f t="shared" si="2198"/>
        <v>20C</v>
      </c>
      <c r="E1885" s="14">
        <f>IF(ISBLANK(A1880),"",E1884+1)</f>
        <v>6</v>
      </c>
      <c r="F1885" s="15">
        <f t="shared" si="2195"/>
        <v>45932.58611</v>
      </c>
      <c r="G1885" s="16">
        <v>2.177</v>
      </c>
    </row>
    <row r="1886">
      <c r="A1886" s="5" t="s">
        <v>13</v>
      </c>
      <c r="B1886" s="6" t="str">
        <f>IF(ISBLANK(A1886),"",VLOOKUP($A1886,'Data Feed (20C)'!$A$1:$G$14,2,FALSE))</f>
        <v>DKR250911RUSMUL_20C_sample_1</v>
      </c>
      <c r="C1886" s="6" t="str">
        <f>IF(ISBLANK(A1886),"",VLOOKUP($A1886,'Data Feed (20C)'!$A$1:$G$14,3,FALSE))</f>
        <v>Ruschia multiflora</v>
      </c>
      <c r="D1886" s="6" t="str">
        <f>IF(ISBLANK(A1886),"",VLOOKUP($A1886,'Data Feed (20C)'!$A$1:$G$14,4,FALSE))</f>
        <v>20C</v>
      </c>
      <c r="E1886" s="6">
        <f>IF(ISBLANK(A1886),"",VLOOKUP($A1886,'Data Feed (20C)'!$A$1:$G$14,7,FALSE))</f>
        <v>1</v>
      </c>
      <c r="F1886" s="7">
        <v>45932.586805555555</v>
      </c>
      <c r="G1886" s="8">
        <v>1.823</v>
      </c>
    </row>
    <row r="1887">
      <c r="A1887" s="9" t="str">
        <f t="shared" ref="A1887:A1891" si="2200">A1886</f>
        <v>RUSMUL</v>
      </c>
      <c r="B1887" s="9" t="str">
        <f>IF(ISBLANK(A1886),"",LEFT(B1886,27)&amp;VALUE(RIGHT(B1886,1)+1))</f>
        <v>DKR250911RUSMUL_20C_sample_2</v>
      </c>
      <c r="C1887" s="6" t="str">
        <f t="shared" ref="C1887:D1887" si="2199">C1886</f>
        <v>Ruschia multiflora</v>
      </c>
      <c r="D1887" s="6" t="str">
        <f t="shared" si="2199"/>
        <v>20C</v>
      </c>
      <c r="E1887" s="10">
        <f>IF(ISBLANK(A1886),"",E1886+1)</f>
        <v>2</v>
      </c>
      <c r="F1887" s="11">
        <f t="shared" ref="F1887:F1891" si="2202">F1886</f>
        <v>45932.58681</v>
      </c>
      <c r="G1887" s="8">
        <v>1.692</v>
      </c>
    </row>
    <row r="1888">
      <c r="A1888" s="9" t="str">
        <f t="shared" si="2200"/>
        <v>RUSMUL</v>
      </c>
      <c r="B1888" s="9" t="str">
        <f>IF(ISBLANK(A1886),"",LEFT(B1887,27)&amp;VALUE(RIGHT(B1887,1)+1))</f>
        <v>DKR250911RUSMUL_20C_sample_3</v>
      </c>
      <c r="C1888" s="6" t="str">
        <f t="shared" ref="C1888:D1888" si="2201">C1887</f>
        <v>Ruschia multiflora</v>
      </c>
      <c r="D1888" s="6" t="str">
        <f t="shared" si="2201"/>
        <v>20C</v>
      </c>
      <c r="E1888" s="10">
        <f>IF(ISBLANK(A1886),"",E1887+1)</f>
        <v>3</v>
      </c>
      <c r="F1888" s="11">
        <f t="shared" si="2202"/>
        <v>45932.58681</v>
      </c>
      <c r="G1888" s="8">
        <v>3.8</v>
      </c>
    </row>
    <row r="1889">
      <c r="A1889" s="9" t="str">
        <f t="shared" si="2200"/>
        <v>RUSMUL</v>
      </c>
      <c r="B1889" s="9" t="str">
        <f>IF(ISBLANK(A1886),"",LEFT(B1888,27)&amp;VALUE(RIGHT(B1888,1)+1))</f>
        <v>DKR250911RUSMUL_20C_sample_4</v>
      </c>
      <c r="C1889" s="6" t="str">
        <f t="shared" ref="C1889:D1889" si="2203">C1888</f>
        <v>Ruschia multiflora</v>
      </c>
      <c r="D1889" s="6" t="str">
        <f t="shared" si="2203"/>
        <v>20C</v>
      </c>
      <c r="E1889" s="10">
        <f>IF(ISBLANK(A1886),"",E1888+1)</f>
        <v>4</v>
      </c>
      <c r="F1889" s="11">
        <f t="shared" si="2202"/>
        <v>45932.58681</v>
      </c>
      <c r="G1889" s="8">
        <v>2.014</v>
      </c>
    </row>
    <row r="1890">
      <c r="A1890" s="9" t="str">
        <f t="shared" si="2200"/>
        <v>RUSMUL</v>
      </c>
      <c r="B1890" s="9" t="str">
        <f>IF(ISBLANK(A1886),"",LEFT(B1889,27)&amp;VALUE(RIGHT(B1889,1)+1))</f>
        <v>DKR250911RUSMUL_20C_sample_5</v>
      </c>
      <c r="C1890" s="6" t="str">
        <f t="shared" ref="C1890:D1890" si="2204">C1889</f>
        <v>Ruschia multiflora</v>
      </c>
      <c r="D1890" s="6" t="str">
        <f t="shared" si="2204"/>
        <v>20C</v>
      </c>
      <c r="E1890" s="10">
        <f>IF(ISBLANK(A1886),"",E1889+1)</f>
        <v>5</v>
      </c>
      <c r="F1890" s="11">
        <f t="shared" si="2202"/>
        <v>45932.58681</v>
      </c>
      <c r="G1890" s="8">
        <v>1.873</v>
      </c>
    </row>
    <row r="1891">
      <c r="A1891" s="12" t="str">
        <f t="shared" si="2200"/>
        <v>RUSMUL</v>
      </c>
      <c r="B1891" s="12" t="str">
        <f>IF(ISBLANK(A1886),"",LEFT(B1890,27)&amp;VALUE(RIGHT(B1890,1)+1))</f>
        <v>DKR250911RUSMUL_20C_sample_6</v>
      </c>
      <c r="C1891" s="13" t="str">
        <f t="shared" ref="C1891:D1891" si="2205">C1890</f>
        <v>Ruschia multiflora</v>
      </c>
      <c r="D1891" s="13" t="str">
        <f t="shared" si="2205"/>
        <v>20C</v>
      </c>
      <c r="E1891" s="14">
        <f>IF(ISBLANK(A1886),"",E1890+1)</f>
        <v>6</v>
      </c>
      <c r="F1891" s="15">
        <f t="shared" si="2202"/>
        <v>45932.58681</v>
      </c>
      <c r="G1891" s="16">
        <v>1.812</v>
      </c>
    </row>
    <row r="1892">
      <c r="A1892" s="5"/>
      <c r="B1892" s="6" t="str">
        <f>IF(ISBLANK(A1892),"",VLOOKUP($A1892,'Data Feed (20C)'!$A$1:$G$14,2,FALSE))</f>
        <v/>
      </c>
      <c r="C1892" s="6" t="str">
        <f>IF(ISBLANK(A1892),"",VLOOKUP($A1892,'Data Feed (20C)'!$A$1:$G$14,3,FALSE))</f>
        <v/>
      </c>
      <c r="D1892" s="6" t="str">
        <f>IF(ISBLANK(A1892),"",VLOOKUP($A1892,'Data Feed (20C)'!$A$1:$G$14,4,FALSE))</f>
        <v/>
      </c>
      <c r="E1892" s="6" t="str">
        <f>IF(ISBLANK(A1892),"",VLOOKUP($A1892,'Data Feed (20C)'!$A$1:$G$14,7,FALSE))</f>
        <v/>
      </c>
      <c r="F1892" s="17"/>
      <c r="G1892" s="8"/>
    </row>
    <row r="1893">
      <c r="A1893" s="9" t="str">
        <f t="shared" ref="A1893:A1897" si="2207">A1892</f>
        <v/>
      </c>
      <c r="B1893" s="9" t="str">
        <f>IF(ISBLANK(A1892),"",LEFT(B1892,27)&amp;VALUE(RIGHT(B1892,1)+1))</f>
        <v/>
      </c>
      <c r="C1893" s="6" t="str">
        <f t="shared" ref="C1893:D1893" si="2206">C1892</f>
        <v/>
      </c>
      <c r="D1893" s="6" t="str">
        <f t="shared" si="2206"/>
        <v/>
      </c>
      <c r="E1893" s="10" t="str">
        <f>IF(ISBLANK(A1892),"",E1892+1)</f>
        <v/>
      </c>
      <c r="F1893" s="18" t="str">
        <f t="shared" ref="F1893:F1897" si="2209">F1892</f>
        <v/>
      </c>
      <c r="G1893" s="8"/>
    </row>
    <row r="1894">
      <c r="A1894" s="9" t="str">
        <f t="shared" si="2207"/>
        <v/>
      </c>
      <c r="B1894" s="9" t="str">
        <f>IF(ISBLANK(A1892),"",LEFT(B1893,27)&amp;VALUE(RIGHT(B1893,1)+1))</f>
        <v/>
      </c>
      <c r="C1894" s="6" t="str">
        <f t="shared" ref="C1894:D1894" si="2208">C1893</f>
        <v/>
      </c>
      <c r="D1894" s="6" t="str">
        <f t="shared" si="2208"/>
        <v/>
      </c>
      <c r="E1894" s="10" t="str">
        <f>IF(ISBLANK(A1892),"",E1893+1)</f>
        <v/>
      </c>
      <c r="F1894" s="18" t="str">
        <f t="shared" si="2209"/>
        <v/>
      </c>
      <c r="G1894" s="8"/>
    </row>
    <row r="1895">
      <c r="A1895" s="9" t="str">
        <f t="shared" si="2207"/>
        <v/>
      </c>
      <c r="B1895" s="9" t="str">
        <f>IF(ISBLANK(A1892),"",LEFT(B1894,27)&amp;VALUE(RIGHT(B1894,1)+1))</f>
        <v/>
      </c>
      <c r="C1895" s="6" t="str">
        <f t="shared" ref="C1895:D1895" si="2210">C1894</f>
        <v/>
      </c>
      <c r="D1895" s="6" t="str">
        <f t="shared" si="2210"/>
        <v/>
      </c>
      <c r="E1895" s="10" t="str">
        <f>IF(ISBLANK(A1892),"",E1894+1)</f>
        <v/>
      </c>
      <c r="F1895" s="18" t="str">
        <f t="shared" si="2209"/>
        <v/>
      </c>
      <c r="G1895" s="8"/>
    </row>
    <row r="1896">
      <c r="A1896" s="9" t="str">
        <f t="shared" si="2207"/>
        <v/>
      </c>
      <c r="B1896" s="9" t="str">
        <f>IF(ISBLANK(A1892),"",LEFT(B1895,27)&amp;VALUE(RIGHT(B1895,1)+1))</f>
        <v/>
      </c>
      <c r="C1896" s="6" t="str">
        <f t="shared" ref="C1896:D1896" si="2211">C1895</f>
        <v/>
      </c>
      <c r="D1896" s="6" t="str">
        <f t="shared" si="2211"/>
        <v/>
      </c>
      <c r="E1896" s="10" t="str">
        <f>IF(ISBLANK(A1892),"",E1895+1)</f>
        <v/>
      </c>
      <c r="F1896" s="18" t="str">
        <f t="shared" si="2209"/>
        <v/>
      </c>
      <c r="G1896" s="8"/>
    </row>
    <row r="1897">
      <c r="A1897" s="12" t="str">
        <f t="shared" si="2207"/>
        <v/>
      </c>
      <c r="B1897" s="12" t="str">
        <f>IF(ISBLANK(A1892),"",LEFT(B1896,27)&amp;VALUE(RIGHT(B1896,1)+1))</f>
        <v/>
      </c>
      <c r="C1897" s="13" t="str">
        <f t="shared" ref="C1897:D1897" si="2212">C1896</f>
        <v/>
      </c>
      <c r="D1897" s="13" t="str">
        <f t="shared" si="2212"/>
        <v/>
      </c>
      <c r="E1897" s="14" t="str">
        <f>IF(ISBLANK(A1892),"",E1896+1)</f>
        <v/>
      </c>
      <c r="F1897" s="19" t="str">
        <f t="shared" si="2209"/>
        <v/>
      </c>
      <c r="G1897" s="16"/>
    </row>
    <row r="1898">
      <c r="A1898" s="5"/>
      <c r="B1898" s="6" t="str">
        <f>IF(ISBLANK(A1898),"",VLOOKUP($A1898,'Data Feed (20C)'!$A$1:$G$14,2,FALSE))</f>
        <v/>
      </c>
      <c r="C1898" s="6" t="str">
        <f>IF(ISBLANK(A1898),"",VLOOKUP($A1898,'Data Feed (20C)'!$A$1:$G$14,3,FALSE))</f>
        <v/>
      </c>
      <c r="D1898" s="6" t="str">
        <f>IF(ISBLANK(A1898),"",VLOOKUP($A1898,'Data Feed (20C)'!$A$1:$G$14,4,FALSE))</f>
        <v/>
      </c>
      <c r="E1898" s="6" t="str">
        <f>IF(ISBLANK(A1898),"",VLOOKUP($A1898,'Data Feed (20C)'!$A$1:$G$14,7,FALSE))</f>
        <v/>
      </c>
      <c r="F1898" s="17"/>
      <c r="G1898" s="8"/>
    </row>
    <row r="1899">
      <c r="A1899" s="9" t="str">
        <f t="shared" ref="A1899:A1903" si="2214">A1898</f>
        <v/>
      </c>
      <c r="B1899" s="9" t="str">
        <f>IF(ISBLANK(A1898),"",LEFT(B1898,27)&amp;VALUE(RIGHT(B1898,1)+1))</f>
        <v/>
      </c>
      <c r="C1899" s="6" t="str">
        <f t="shared" ref="C1899:D1899" si="2213">C1898</f>
        <v/>
      </c>
      <c r="D1899" s="6" t="str">
        <f t="shared" si="2213"/>
        <v/>
      </c>
      <c r="E1899" s="10" t="str">
        <f>IF(ISBLANK(A1898),"",E1898+1)</f>
        <v/>
      </c>
      <c r="F1899" s="18" t="str">
        <f t="shared" ref="F1899:F1903" si="2216">F1898</f>
        <v/>
      </c>
      <c r="G1899" s="8"/>
    </row>
    <row r="1900">
      <c r="A1900" s="9" t="str">
        <f t="shared" si="2214"/>
        <v/>
      </c>
      <c r="B1900" s="9" t="str">
        <f>IF(ISBLANK(A1898),"",LEFT(B1899,27)&amp;VALUE(RIGHT(B1899,1)+1))</f>
        <v/>
      </c>
      <c r="C1900" s="6" t="str">
        <f t="shared" ref="C1900:D1900" si="2215">C1899</f>
        <v/>
      </c>
      <c r="D1900" s="6" t="str">
        <f t="shared" si="2215"/>
        <v/>
      </c>
      <c r="E1900" s="10" t="str">
        <f>IF(ISBLANK(A1898),"",E1899+1)</f>
        <v/>
      </c>
      <c r="F1900" s="18" t="str">
        <f t="shared" si="2216"/>
        <v/>
      </c>
      <c r="G1900" s="8"/>
    </row>
    <row r="1901">
      <c r="A1901" s="9" t="str">
        <f t="shared" si="2214"/>
        <v/>
      </c>
      <c r="B1901" s="9" t="str">
        <f>IF(ISBLANK(A1898),"",LEFT(B1900,27)&amp;VALUE(RIGHT(B1900,1)+1))</f>
        <v/>
      </c>
      <c r="C1901" s="6" t="str">
        <f t="shared" ref="C1901:D1901" si="2217">C1900</f>
        <v/>
      </c>
      <c r="D1901" s="6" t="str">
        <f t="shared" si="2217"/>
        <v/>
      </c>
      <c r="E1901" s="10" t="str">
        <f>IF(ISBLANK(A1898),"",E1900+1)</f>
        <v/>
      </c>
      <c r="F1901" s="18" t="str">
        <f t="shared" si="2216"/>
        <v/>
      </c>
      <c r="G1901" s="8"/>
    </row>
    <row r="1902">
      <c r="A1902" s="9" t="str">
        <f t="shared" si="2214"/>
        <v/>
      </c>
      <c r="B1902" s="9" t="str">
        <f>IF(ISBLANK(A1898),"",LEFT(B1901,27)&amp;VALUE(RIGHT(B1901,1)+1))</f>
        <v/>
      </c>
      <c r="C1902" s="6" t="str">
        <f t="shared" ref="C1902:D1902" si="2218">C1901</f>
        <v/>
      </c>
      <c r="D1902" s="6" t="str">
        <f t="shared" si="2218"/>
        <v/>
      </c>
      <c r="E1902" s="10" t="str">
        <f>IF(ISBLANK(A1898),"",E1901+1)</f>
        <v/>
      </c>
      <c r="F1902" s="18" t="str">
        <f t="shared" si="2216"/>
        <v/>
      </c>
      <c r="G1902" s="8"/>
    </row>
    <row r="1903">
      <c r="A1903" s="12" t="str">
        <f t="shared" si="2214"/>
        <v/>
      </c>
      <c r="B1903" s="12" t="str">
        <f>IF(ISBLANK(A1898),"",LEFT(B1902,27)&amp;VALUE(RIGHT(B1902,1)+1))</f>
        <v/>
      </c>
      <c r="C1903" s="13" t="str">
        <f t="shared" ref="C1903:D1903" si="2219">C1902</f>
        <v/>
      </c>
      <c r="D1903" s="13" t="str">
        <f t="shared" si="2219"/>
        <v/>
      </c>
      <c r="E1903" s="14" t="str">
        <f>IF(ISBLANK(A1898),"",E1902+1)</f>
        <v/>
      </c>
      <c r="F1903" s="19" t="str">
        <f t="shared" si="2216"/>
        <v/>
      </c>
      <c r="G1903" s="16"/>
    </row>
    <row r="1904">
      <c r="A1904" s="5"/>
      <c r="B1904" s="6" t="str">
        <f>IF(ISBLANK(A1904),"",VLOOKUP($A1904,'Data Feed (20C)'!$A$1:$G$14,2,FALSE))</f>
        <v/>
      </c>
      <c r="C1904" s="6" t="str">
        <f>IF(ISBLANK(A1904),"",VLOOKUP($A1904,'Data Feed (20C)'!$A$1:$G$14,3,FALSE))</f>
        <v/>
      </c>
      <c r="D1904" s="6" t="str">
        <f>IF(ISBLANK(A1904),"",VLOOKUP($A1904,'Data Feed (20C)'!$A$1:$G$14,4,FALSE))</f>
        <v/>
      </c>
      <c r="E1904" s="6" t="str">
        <f>IF(ISBLANK(A1904),"",VLOOKUP($A1904,'Data Feed (20C)'!$A$1:$G$14,7,FALSE))</f>
        <v/>
      </c>
      <c r="F1904" s="17"/>
      <c r="G1904" s="8"/>
    </row>
    <row r="1905">
      <c r="A1905" s="9" t="str">
        <f t="shared" ref="A1905:A1909" si="2221">A1904</f>
        <v/>
      </c>
      <c r="B1905" s="9" t="str">
        <f>IF(ISBLANK(A1904),"",LEFT(B1904,27)&amp;VALUE(RIGHT(B1904,1)+1))</f>
        <v/>
      </c>
      <c r="C1905" s="6" t="str">
        <f t="shared" ref="C1905:D1905" si="2220">C1904</f>
        <v/>
      </c>
      <c r="D1905" s="6" t="str">
        <f t="shared" si="2220"/>
        <v/>
      </c>
      <c r="E1905" s="10" t="str">
        <f>IF(ISBLANK(A1904),"",E1904+1)</f>
        <v/>
      </c>
      <c r="F1905" s="18" t="str">
        <f t="shared" ref="F1905:F1909" si="2223">F1904</f>
        <v/>
      </c>
      <c r="G1905" s="8"/>
    </row>
    <row r="1906">
      <c r="A1906" s="9" t="str">
        <f t="shared" si="2221"/>
        <v/>
      </c>
      <c r="B1906" s="9" t="str">
        <f>IF(ISBLANK(A1904),"",LEFT(B1905,27)&amp;VALUE(RIGHT(B1905,1)+1))</f>
        <v/>
      </c>
      <c r="C1906" s="6" t="str">
        <f t="shared" ref="C1906:D1906" si="2222">C1905</f>
        <v/>
      </c>
      <c r="D1906" s="6" t="str">
        <f t="shared" si="2222"/>
        <v/>
      </c>
      <c r="E1906" s="10" t="str">
        <f>IF(ISBLANK(A1904),"",E1905+1)</f>
        <v/>
      </c>
      <c r="F1906" s="18" t="str">
        <f t="shared" si="2223"/>
        <v/>
      </c>
      <c r="G1906" s="8"/>
    </row>
    <row r="1907">
      <c r="A1907" s="9" t="str">
        <f t="shared" si="2221"/>
        <v/>
      </c>
      <c r="B1907" s="9" t="str">
        <f>IF(ISBLANK(A1904),"",LEFT(B1906,27)&amp;VALUE(RIGHT(B1906,1)+1))</f>
        <v/>
      </c>
      <c r="C1907" s="6" t="str">
        <f t="shared" ref="C1907:D1907" si="2224">C1906</f>
        <v/>
      </c>
      <c r="D1907" s="6" t="str">
        <f t="shared" si="2224"/>
        <v/>
      </c>
      <c r="E1907" s="10" t="str">
        <f>IF(ISBLANK(A1904),"",E1906+1)</f>
        <v/>
      </c>
      <c r="F1907" s="18" t="str">
        <f t="shared" si="2223"/>
        <v/>
      </c>
      <c r="G1907" s="8"/>
    </row>
    <row r="1908">
      <c r="A1908" s="9" t="str">
        <f t="shared" si="2221"/>
        <v/>
      </c>
      <c r="B1908" s="9" t="str">
        <f>IF(ISBLANK(A1904),"",LEFT(B1907,27)&amp;VALUE(RIGHT(B1907,1)+1))</f>
        <v/>
      </c>
      <c r="C1908" s="6" t="str">
        <f t="shared" ref="C1908:D1908" si="2225">C1907</f>
        <v/>
      </c>
      <c r="D1908" s="6" t="str">
        <f t="shared" si="2225"/>
        <v/>
      </c>
      <c r="E1908" s="10" t="str">
        <f>IF(ISBLANK(A1904),"",E1907+1)</f>
        <v/>
      </c>
      <c r="F1908" s="18" t="str">
        <f t="shared" si="2223"/>
        <v/>
      </c>
      <c r="G1908" s="8"/>
    </row>
    <row r="1909">
      <c r="A1909" s="12" t="str">
        <f t="shared" si="2221"/>
        <v/>
      </c>
      <c r="B1909" s="12" t="str">
        <f>IF(ISBLANK(A1904),"",LEFT(B1908,27)&amp;VALUE(RIGHT(B1908,1)+1))</f>
        <v/>
      </c>
      <c r="C1909" s="13" t="str">
        <f t="shared" ref="C1909:D1909" si="2226">C1908</f>
        <v/>
      </c>
      <c r="D1909" s="13" t="str">
        <f t="shared" si="2226"/>
        <v/>
      </c>
      <c r="E1909" s="14" t="str">
        <f>IF(ISBLANK(A1904),"",E1908+1)</f>
        <v/>
      </c>
      <c r="F1909" s="19" t="str">
        <f t="shared" si="2223"/>
        <v/>
      </c>
      <c r="G1909" s="16"/>
    </row>
    <row r="1910">
      <c r="A1910" s="5"/>
      <c r="B1910" s="6" t="str">
        <f>IF(ISBLANK(A1910),"",VLOOKUP($A1910,'Data Feed (20C)'!$A$1:$G$14,2,FALSE))</f>
        <v/>
      </c>
      <c r="C1910" s="6" t="str">
        <f>IF(ISBLANK(A1910),"",VLOOKUP($A1910,'Data Feed (20C)'!$A$1:$G$14,3,FALSE))</f>
        <v/>
      </c>
      <c r="D1910" s="6" t="str">
        <f>IF(ISBLANK(A1910),"",VLOOKUP($A1910,'Data Feed (20C)'!$A$1:$G$14,4,FALSE))</f>
        <v/>
      </c>
      <c r="E1910" s="6" t="str">
        <f>IF(ISBLANK(A1910),"",VLOOKUP($A1910,'Data Feed (20C)'!$A$1:$G$14,7,FALSE))</f>
        <v/>
      </c>
      <c r="F1910" s="17"/>
      <c r="G1910" s="8"/>
    </row>
    <row r="1911">
      <c r="A1911" s="9" t="str">
        <f t="shared" ref="A1911:A1915" si="2228">A1910</f>
        <v/>
      </c>
      <c r="B1911" s="9" t="str">
        <f>IF(ISBLANK(A1910),"",LEFT(B1910,27)&amp;VALUE(RIGHT(B1910,1)+1))</f>
        <v/>
      </c>
      <c r="C1911" s="6" t="str">
        <f t="shared" ref="C1911:D1911" si="2227">C1910</f>
        <v/>
      </c>
      <c r="D1911" s="6" t="str">
        <f t="shared" si="2227"/>
        <v/>
      </c>
      <c r="E1911" s="10" t="str">
        <f>IF(ISBLANK(A1910),"",E1910+1)</f>
        <v/>
      </c>
      <c r="F1911" s="18" t="str">
        <f t="shared" ref="F1911:F1915" si="2230">F1910</f>
        <v/>
      </c>
      <c r="G1911" s="8"/>
    </row>
    <row r="1912">
      <c r="A1912" s="9" t="str">
        <f t="shared" si="2228"/>
        <v/>
      </c>
      <c r="B1912" s="9" t="str">
        <f>IF(ISBLANK(A1910),"",LEFT(B1911,27)&amp;VALUE(RIGHT(B1911,1)+1))</f>
        <v/>
      </c>
      <c r="C1912" s="6" t="str">
        <f t="shared" ref="C1912:D1912" si="2229">C1911</f>
        <v/>
      </c>
      <c r="D1912" s="6" t="str">
        <f t="shared" si="2229"/>
        <v/>
      </c>
      <c r="E1912" s="10" t="str">
        <f>IF(ISBLANK(A1910),"",E1911+1)</f>
        <v/>
      </c>
      <c r="F1912" s="18" t="str">
        <f t="shared" si="2230"/>
        <v/>
      </c>
      <c r="G1912" s="8"/>
    </row>
    <row r="1913">
      <c r="A1913" s="9" t="str">
        <f t="shared" si="2228"/>
        <v/>
      </c>
      <c r="B1913" s="9" t="str">
        <f>IF(ISBLANK(A1910),"",LEFT(B1912,27)&amp;VALUE(RIGHT(B1912,1)+1))</f>
        <v/>
      </c>
      <c r="C1913" s="6" t="str">
        <f t="shared" ref="C1913:D1913" si="2231">C1912</f>
        <v/>
      </c>
      <c r="D1913" s="6" t="str">
        <f t="shared" si="2231"/>
        <v/>
      </c>
      <c r="E1913" s="10" t="str">
        <f>IF(ISBLANK(A1910),"",E1912+1)</f>
        <v/>
      </c>
      <c r="F1913" s="18" t="str">
        <f t="shared" si="2230"/>
        <v/>
      </c>
      <c r="G1913" s="8"/>
    </row>
    <row r="1914">
      <c r="A1914" s="9" t="str">
        <f t="shared" si="2228"/>
        <v/>
      </c>
      <c r="B1914" s="9" t="str">
        <f>IF(ISBLANK(A1910),"",LEFT(B1913,27)&amp;VALUE(RIGHT(B1913,1)+1))</f>
        <v/>
      </c>
      <c r="C1914" s="6" t="str">
        <f t="shared" ref="C1914:D1914" si="2232">C1913</f>
        <v/>
      </c>
      <c r="D1914" s="6" t="str">
        <f t="shared" si="2232"/>
        <v/>
      </c>
      <c r="E1914" s="10" t="str">
        <f>IF(ISBLANK(A1910),"",E1913+1)</f>
        <v/>
      </c>
      <c r="F1914" s="18" t="str">
        <f t="shared" si="2230"/>
        <v/>
      </c>
      <c r="G1914" s="8"/>
    </row>
    <row r="1915">
      <c r="A1915" s="12" t="str">
        <f t="shared" si="2228"/>
        <v/>
      </c>
      <c r="B1915" s="12" t="str">
        <f>IF(ISBLANK(A1910),"",LEFT(B1914,27)&amp;VALUE(RIGHT(B1914,1)+1))</f>
        <v/>
      </c>
      <c r="C1915" s="13" t="str">
        <f t="shared" ref="C1915:D1915" si="2233">C1914</f>
        <v/>
      </c>
      <c r="D1915" s="13" t="str">
        <f t="shared" si="2233"/>
        <v/>
      </c>
      <c r="E1915" s="14" t="str">
        <f>IF(ISBLANK(A1910),"",E1914+1)</f>
        <v/>
      </c>
      <c r="F1915" s="19" t="str">
        <f t="shared" si="2230"/>
        <v/>
      </c>
      <c r="G1915" s="16"/>
    </row>
    <row r="1916">
      <c r="A1916" s="5"/>
      <c r="B1916" s="6" t="str">
        <f>IF(ISBLANK(A1916),"",VLOOKUP($A1916,'Data Feed (20C)'!$A$1:$G$14,2,FALSE))</f>
        <v/>
      </c>
      <c r="C1916" s="6" t="str">
        <f>IF(ISBLANK(A1916),"",VLOOKUP($A1916,'Data Feed (20C)'!$A$1:$G$14,3,FALSE))</f>
        <v/>
      </c>
      <c r="D1916" s="6" t="str">
        <f>IF(ISBLANK(A1916),"",VLOOKUP($A1916,'Data Feed (20C)'!$A$1:$G$14,4,FALSE))</f>
        <v/>
      </c>
      <c r="E1916" s="6" t="str">
        <f>IF(ISBLANK(A1916),"",VLOOKUP($A1916,'Data Feed (20C)'!$A$1:$G$14,7,FALSE))</f>
        <v/>
      </c>
      <c r="F1916" s="17"/>
      <c r="G1916" s="8"/>
    </row>
    <row r="1917">
      <c r="A1917" s="9" t="str">
        <f t="shared" ref="A1917:A1921" si="2235">A1916</f>
        <v/>
      </c>
      <c r="B1917" s="9" t="str">
        <f>IF(ISBLANK(A1916),"",LEFT(B1916,27)&amp;VALUE(RIGHT(B1916,1)+1))</f>
        <v/>
      </c>
      <c r="C1917" s="6" t="str">
        <f t="shared" ref="C1917:D1917" si="2234">C1916</f>
        <v/>
      </c>
      <c r="D1917" s="6" t="str">
        <f t="shared" si="2234"/>
        <v/>
      </c>
      <c r="E1917" s="10" t="str">
        <f>IF(ISBLANK(A1916),"",E1916+1)</f>
        <v/>
      </c>
      <c r="F1917" s="18" t="str">
        <f t="shared" ref="F1917:F1921" si="2237">F1916</f>
        <v/>
      </c>
      <c r="G1917" s="8"/>
    </row>
    <row r="1918">
      <c r="A1918" s="9" t="str">
        <f t="shared" si="2235"/>
        <v/>
      </c>
      <c r="B1918" s="9" t="str">
        <f>IF(ISBLANK(A1916),"",LEFT(B1917,27)&amp;VALUE(RIGHT(B1917,1)+1))</f>
        <v/>
      </c>
      <c r="C1918" s="6" t="str">
        <f t="shared" ref="C1918:D1918" si="2236">C1917</f>
        <v/>
      </c>
      <c r="D1918" s="6" t="str">
        <f t="shared" si="2236"/>
        <v/>
      </c>
      <c r="E1918" s="10" t="str">
        <f>IF(ISBLANK(A1916),"",E1917+1)</f>
        <v/>
      </c>
      <c r="F1918" s="18" t="str">
        <f t="shared" si="2237"/>
        <v/>
      </c>
      <c r="G1918" s="8"/>
    </row>
    <row r="1919">
      <c r="A1919" s="9" t="str">
        <f t="shared" si="2235"/>
        <v/>
      </c>
      <c r="B1919" s="9" t="str">
        <f>IF(ISBLANK(A1916),"",LEFT(B1918,27)&amp;VALUE(RIGHT(B1918,1)+1))</f>
        <v/>
      </c>
      <c r="C1919" s="6" t="str">
        <f t="shared" ref="C1919:D1919" si="2238">C1918</f>
        <v/>
      </c>
      <c r="D1919" s="6" t="str">
        <f t="shared" si="2238"/>
        <v/>
      </c>
      <c r="E1919" s="10" t="str">
        <f>IF(ISBLANK(A1916),"",E1918+1)</f>
        <v/>
      </c>
      <c r="F1919" s="18" t="str">
        <f t="shared" si="2237"/>
        <v/>
      </c>
      <c r="G1919" s="8"/>
    </row>
    <row r="1920">
      <c r="A1920" s="9" t="str">
        <f t="shared" si="2235"/>
        <v/>
      </c>
      <c r="B1920" s="9" t="str">
        <f>IF(ISBLANK(A1916),"",LEFT(B1919,27)&amp;VALUE(RIGHT(B1919,1)+1))</f>
        <v/>
      </c>
      <c r="C1920" s="6" t="str">
        <f t="shared" ref="C1920:D1920" si="2239">C1919</f>
        <v/>
      </c>
      <c r="D1920" s="6" t="str">
        <f t="shared" si="2239"/>
        <v/>
      </c>
      <c r="E1920" s="10" t="str">
        <f>IF(ISBLANK(A1916),"",E1919+1)</f>
        <v/>
      </c>
      <c r="F1920" s="18" t="str">
        <f t="shared" si="2237"/>
        <v/>
      </c>
      <c r="G1920" s="8"/>
    </row>
    <row r="1921">
      <c r="A1921" s="12" t="str">
        <f t="shared" si="2235"/>
        <v/>
      </c>
      <c r="B1921" s="12" t="str">
        <f>IF(ISBLANK(A1916),"",LEFT(B1920,27)&amp;VALUE(RIGHT(B1920,1)+1))</f>
        <v/>
      </c>
      <c r="C1921" s="13" t="str">
        <f t="shared" ref="C1921:D1921" si="2240">C1920</f>
        <v/>
      </c>
      <c r="D1921" s="13" t="str">
        <f t="shared" si="2240"/>
        <v/>
      </c>
      <c r="E1921" s="14" t="str">
        <f>IF(ISBLANK(A1916),"",E1920+1)</f>
        <v/>
      </c>
      <c r="F1921" s="19" t="str">
        <f t="shared" si="2237"/>
        <v/>
      </c>
      <c r="G1921" s="16"/>
    </row>
    <row r="1922">
      <c r="A1922" s="5"/>
      <c r="B1922" s="6" t="str">
        <f>IF(ISBLANK(A1922),"",VLOOKUP($A1922,'Data Feed (20C)'!$A$1:$G$14,2,FALSE))</f>
        <v/>
      </c>
      <c r="C1922" s="6" t="str">
        <f>IF(ISBLANK(A1922),"",VLOOKUP($A1922,'Data Feed (20C)'!$A$1:$G$14,3,FALSE))</f>
        <v/>
      </c>
      <c r="D1922" s="6" t="str">
        <f>IF(ISBLANK(A1922),"",VLOOKUP($A1922,'Data Feed (20C)'!$A$1:$G$14,4,FALSE))</f>
        <v/>
      </c>
      <c r="E1922" s="6" t="str">
        <f>IF(ISBLANK(A1922),"",VLOOKUP($A1922,'Data Feed (20C)'!$A$1:$G$14,7,FALSE))</f>
        <v/>
      </c>
      <c r="F1922" s="17"/>
      <c r="G1922" s="8"/>
    </row>
    <row r="1923">
      <c r="A1923" s="9" t="str">
        <f t="shared" ref="A1923:A1927" si="2242">A1922</f>
        <v/>
      </c>
      <c r="B1923" s="9" t="str">
        <f>IF(ISBLANK(A1922),"",LEFT(B1922,27)&amp;VALUE(RIGHT(B1922,1)+1))</f>
        <v/>
      </c>
      <c r="C1923" s="6" t="str">
        <f t="shared" ref="C1923:D1923" si="2241">C1922</f>
        <v/>
      </c>
      <c r="D1923" s="6" t="str">
        <f t="shared" si="2241"/>
        <v/>
      </c>
      <c r="E1923" s="10" t="str">
        <f>IF(ISBLANK(A1922),"",E1922+1)</f>
        <v/>
      </c>
      <c r="F1923" s="18" t="str">
        <f t="shared" ref="F1923:F1927" si="2244">F1922</f>
        <v/>
      </c>
      <c r="G1923" s="8"/>
    </row>
    <row r="1924">
      <c r="A1924" s="9" t="str">
        <f t="shared" si="2242"/>
        <v/>
      </c>
      <c r="B1924" s="9" t="str">
        <f>IF(ISBLANK(A1922),"",LEFT(B1923,27)&amp;VALUE(RIGHT(B1923,1)+1))</f>
        <v/>
      </c>
      <c r="C1924" s="6" t="str">
        <f t="shared" ref="C1924:D1924" si="2243">C1923</f>
        <v/>
      </c>
      <c r="D1924" s="6" t="str">
        <f t="shared" si="2243"/>
        <v/>
      </c>
      <c r="E1924" s="10" t="str">
        <f>IF(ISBLANK(A1922),"",E1923+1)</f>
        <v/>
      </c>
      <c r="F1924" s="18" t="str">
        <f t="shared" si="2244"/>
        <v/>
      </c>
      <c r="G1924" s="8"/>
    </row>
    <row r="1925">
      <c r="A1925" s="9" t="str">
        <f t="shared" si="2242"/>
        <v/>
      </c>
      <c r="B1925" s="9" t="str">
        <f>IF(ISBLANK(A1922),"",LEFT(B1924,27)&amp;VALUE(RIGHT(B1924,1)+1))</f>
        <v/>
      </c>
      <c r="C1925" s="6" t="str">
        <f t="shared" ref="C1925:D1925" si="2245">C1924</f>
        <v/>
      </c>
      <c r="D1925" s="6" t="str">
        <f t="shared" si="2245"/>
        <v/>
      </c>
      <c r="E1925" s="10" t="str">
        <f>IF(ISBLANK(A1922),"",E1924+1)</f>
        <v/>
      </c>
      <c r="F1925" s="18" t="str">
        <f t="shared" si="2244"/>
        <v/>
      </c>
      <c r="G1925" s="8"/>
    </row>
    <row r="1926">
      <c r="A1926" s="9" t="str">
        <f t="shared" si="2242"/>
        <v/>
      </c>
      <c r="B1926" s="9" t="str">
        <f>IF(ISBLANK(A1922),"",LEFT(B1925,27)&amp;VALUE(RIGHT(B1925,1)+1))</f>
        <v/>
      </c>
      <c r="C1926" s="6" t="str">
        <f t="shared" ref="C1926:D1926" si="2246">C1925</f>
        <v/>
      </c>
      <c r="D1926" s="6" t="str">
        <f t="shared" si="2246"/>
        <v/>
      </c>
      <c r="E1926" s="10" t="str">
        <f>IF(ISBLANK(A1922),"",E1925+1)</f>
        <v/>
      </c>
      <c r="F1926" s="18" t="str">
        <f t="shared" si="2244"/>
        <v/>
      </c>
      <c r="G1926" s="8"/>
    </row>
    <row r="1927">
      <c r="A1927" s="12" t="str">
        <f t="shared" si="2242"/>
        <v/>
      </c>
      <c r="B1927" s="12" t="str">
        <f>IF(ISBLANK(A1922),"",LEFT(B1926,27)&amp;VALUE(RIGHT(B1926,1)+1))</f>
        <v/>
      </c>
      <c r="C1927" s="13" t="str">
        <f t="shared" ref="C1927:D1927" si="2247">C1926</f>
        <v/>
      </c>
      <c r="D1927" s="13" t="str">
        <f t="shared" si="2247"/>
        <v/>
      </c>
      <c r="E1927" s="14" t="str">
        <f>IF(ISBLANK(A1922),"",E1926+1)</f>
        <v/>
      </c>
      <c r="F1927" s="19" t="str">
        <f t="shared" si="2244"/>
        <v/>
      </c>
      <c r="G1927" s="16"/>
    </row>
    <row r="1928">
      <c r="A1928" s="5"/>
      <c r="B1928" s="6" t="str">
        <f>IF(ISBLANK(A1928),"",VLOOKUP($A1928,'Data Feed (20C)'!$A$1:$G$14,2,FALSE))</f>
        <v/>
      </c>
      <c r="C1928" s="6" t="str">
        <f>IF(ISBLANK(A1928),"",VLOOKUP($A1928,'Data Feed (20C)'!$A$1:$G$14,3,FALSE))</f>
        <v/>
      </c>
      <c r="D1928" s="6" t="str">
        <f>IF(ISBLANK(A1928),"",VLOOKUP($A1928,'Data Feed (20C)'!$A$1:$G$14,4,FALSE))</f>
        <v/>
      </c>
      <c r="E1928" s="6" t="str">
        <f>IF(ISBLANK(A1928),"",VLOOKUP($A1928,'Data Feed (20C)'!$A$1:$G$14,7,FALSE))</f>
        <v/>
      </c>
      <c r="F1928" s="17"/>
      <c r="G1928" s="8"/>
    </row>
    <row r="1929">
      <c r="A1929" s="9" t="str">
        <f t="shared" ref="A1929:A1933" si="2249">A1928</f>
        <v/>
      </c>
      <c r="B1929" s="9" t="str">
        <f>IF(ISBLANK(A1928),"",LEFT(B1928,27)&amp;VALUE(RIGHT(B1928,1)+1))</f>
        <v/>
      </c>
      <c r="C1929" s="6" t="str">
        <f t="shared" ref="C1929:D1929" si="2248">C1928</f>
        <v/>
      </c>
      <c r="D1929" s="6" t="str">
        <f t="shared" si="2248"/>
        <v/>
      </c>
      <c r="E1929" s="10" t="str">
        <f>IF(ISBLANK(A1928),"",E1928+1)</f>
        <v/>
      </c>
      <c r="F1929" s="18" t="str">
        <f t="shared" ref="F1929:F1933" si="2251">F1928</f>
        <v/>
      </c>
      <c r="G1929" s="8"/>
    </row>
    <row r="1930">
      <c r="A1930" s="9" t="str">
        <f t="shared" si="2249"/>
        <v/>
      </c>
      <c r="B1930" s="9" t="str">
        <f>IF(ISBLANK(A1928),"",LEFT(B1929,27)&amp;VALUE(RIGHT(B1929,1)+1))</f>
        <v/>
      </c>
      <c r="C1930" s="6" t="str">
        <f t="shared" ref="C1930:D1930" si="2250">C1929</f>
        <v/>
      </c>
      <c r="D1930" s="6" t="str">
        <f t="shared" si="2250"/>
        <v/>
      </c>
      <c r="E1930" s="10" t="str">
        <f>IF(ISBLANK(A1928),"",E1929+1)</f>
        <v/>
      </c>
      <c r="F1930" s="18" t="str">
        <f t="shared" si="2251"/>
        <v/>
      </c>
      <c r="G1930" s="8"/>
    </row>
    <row r="1931">
      <c r="A1931" s="9" t="str">
        <f t="shared" si="2249"/>
        <v/>
      </c>
      <c r="B1931" s="9" t="str">
        <f>IF(ISBLANK(A1928),"",LEFT(B1930,27)&amp;VALUE(RIGHT(B1930,1)+1))</f>
        <v/>
      </c>
      <c r="C1931" s="6" t="str">
        <f t="shared" ref="C1931:D1931" si="2252">C1930</f>
        <v/>
      </c>
      <c r="D1931" s="6" t="str">
        <f t="shared" si="2252"/>
        <v/>
      </c>
      <c r="E1931" s="10" t="str">
        <f>IF(ISBLANK(A1928),"",E1930+1)</f>
        <v/>
      </c>
      <c r="F1931" s="18" t="str">
        <f t="shared" si="2251"/>
        <v/>
      </c>
      <c r="G1931" s="8"/>
    </row>
    <row r="1932">
      <c r="A1932" s="9" t="str">
        <f t="shared" si="2249"/>
        <v/>
      </c>
      <c r="B1932" s="9" t="str">
        <f>IF(ISBLANK(A1928),"",LEFT(B1931,27)&amp;VALUE(RIGHT(B1931,1)+1))</f>
        <v/>
      </c>
      <c r="C1932" s="6" t="str">
        <f t="shared" ref="C1932:D1932" si="2253">C1931</f>
        <v/>
      </c>
      <c r="D1932" s="6" t="str">
        <f t="shared" si="2253"/>
        <v/>
      </c>
      <c r="E1932" s="10" t="str">
        <f>IF(ISBLANK(A1928),"",E1931+1)</f>
        <v/>
      </c>
      <c r="F1932" s="18" t="str">
        <f t="shared" si="2251"/>
        <v/>
      </c>
      <c r="G1932" s="8"/>
    </row>
    <row r="1933">
      <c r="A1933" s="12" t="str">
        <f t="shared" si="2249"/>
        <v/>
      </c>
      <c r="B1933" s="12" t="str">
        <f>IF(ISBLANK(A1928),"",LEFT(B1932,27)&amp;VALUE(RIGHT(B1932,1)+1))</f>
        <v/>
      </c>
      <c r="C1933" s="13" t="str">
        <f t="shared" ref="C1933:D1933" si="2254">C1932</f>
        <v/>
      </c>
      <c r="D1933" s="13" t="str">
        <f t="shared" si="2254"/>
        <v/>
      </c>
      <c r="E1933" s="14" t="str">
        <f>IF(ISBLANK(A1928),"",E1932+1)</f>
        <v/>
      </c>
      <c r="F1933" s="19" t="str">
        <f t="shared" si="2251"/>
        <v/>
      </c>
      <c r="G1933" s="16"/>
    </row>
    <row r="1934">
      <c r="A1934" s="5"/>
      <c r="B1934" s="6" t="str">
        <f>IF(ISBLANK(A1934),"",VLOOKUP($A1934,'Data Feed (20C)'!$A$1:$G$14,2,FALSE))</f>
        <v/>
      </c>
      <c r="C1934" s="6" t="str">
        <f>IF(ISBLANK(A1934),"",VLOOKUP($A1934,'Data Feed (20C)'!$A$1:$G$14,3,FALSE))</f>
        <v/>
      </c>
      <c r="D1934" s="6" t="str">
        <f>IF(ISBLANK(A1934),"",VLOOKUP($A1934,'Data Feed (20C)'!$A$1:$G$14,4,FALSE))</f>
        <v/>
      </c>
      <c r="E1934" s="6" t="str">
        <f>IF(ISBLANK(A1934),"",VLOOKUP($A1934,'Data Feed (20C)'!$A$1:$G$14,7,FALSE))</f>
        <v/>
      </c>
      <c r="F1934" s="17"/>
      <c r="G1934" s="8"/>
    </row>
    <row r="1935">
      <c r="A1935" s="9" t="str">
        <f t="shared" ref="A1935:A1939" si="2256">A1934</f>
        <v/>
      </c>
      <c r="B1935" s="9" t="str">
        <f>IF(ISBLANK(A1934),"",LEFT(B1934,27)&amp;VALUE(RIGHT(B1934,1)+1))</f>
        <v/>
      </c>
      <c r="C1935" s="6" t="str">
        <f t="shared" ref="C1935:D1935" si="2255">C1934</f>
        <v/>
      </c>
      <c r="D1935" s="6" t="str">
        <f t="shared" si="2255"/>
        <v/>
      </c>
      <c r="E1935" s="10" t="str">
        <f>IF(ISBLANK(A1934),"",E1934+1)</f>
        <v/>
      </c>
      <c r="F1935" s="18" t="str">
        <f t="shared" ref="F1935:F1939" si="2258">F1934</f>
        <v/>
      </c>
      <c r="G1935" s="8"/>
    </row>
    <row r="1936">
      <c r="A1936" s="9" t="str">
        <f t="shared" si="2256"/>
        <v/>
      </c>
      <c r="B1936" s="9" t="str">
        <f>IF(ISBLANK(A1934),"",LEFT(B1935,27)&amp;VALUE(RIGHT(B1935,1)+1))</f>
        <v/>
      </c>
      <c r="C1936" s="6" t="str">
        <f t="shared" ref="C1936:D1936" si="2257">C1935</f>
        <v/>
      </c>
      <c r="D1936" s="6" t="str">
        <f t="shared" si="2257"/>
        <v/>
      </c>
      <c r="E1936" s="10" t="str">
        <f>IF(ISBLANK(A1934),"",E1935+1)</f>
        <v/>
      </c>
      <c r="F1936" s="18" t="str">
        <f t="shared" si="2258"/>
        <v/>
      </c>
      <c r="G1936" s="8"/>
    </row>
    <row r="1937">
      <c r="A1937" s="9" t="str">
        <f t="shared" si="2256"/>
        <v/>
      </c>
      <c r="B1937" s="9" t="str">
        <f>IF(ISBLANK(A1934),"",LEFT(B1936,27)&amp;VALUE(RIGHT(B1936,1)+1))</f>
        <v/>
      </c>
      <c r="C1937" s="6" t="str">
        <f t="shared" ref="C1937:D1937" si="2259">C1936</f>
        <v/>
      </c>
      <c r="D1937" s="6" t="str">
        <f t="shared" si="2259"/>
        <v/>
      </c>
      <c r="E1937" s="10" t="str">
        <f>IF(ISBLANK(A1934),"",E1936+1)</f>
        <v/>
      </c>
      <c r="F1937" s="18" t="str">
        <f t="shared" si="2258"/>
        <v/>
      </c>
      <c r="G1937" s="8"/>
    </row>
    <row r="1938">
      <c r="A1938" s="9" t="str">
        <f t="shared" si="2256"/>
        <v/>
      </c>
      <c r="B1938" s="9" t="str">
        <f>IF(ISBLANK(A1934),"",LEFT(B1937,27)&amp;VALUE(RIGHT(B1937,1)+1))</f>
        <v/>
      </c>
      <c r="C1938" s="6" t="str">
        <f t="shared" ref="C1938:D1938" si="2260">C1937</f>
        <v/>
      </c>
      <c r="D1938" s="6" t="str">
        <f t="shared" si="2260"/>
        <v/>
      </c>
      <c r="E1938" s="10" t="str">
        <f>IF(ISBLANK(A1934),"",E1937+1)</f>
        <v/>
      </c>
      <c r="F1938" s="18" t="str">
        <f t="shared" si="2258"/>
        <v/>
      </c>
      <c r="G1938" s="8"/>
    </row>
    <row r="1939">
      <c r="A1939" s="12" t="str">
        <f t="shared" si="2256"/>
        <v/>
      </c>
      <c r="B1939" s="12" t="str">
        <f>IF(ISBLANK(A1934),"",LEFT(B1938,27)&amp;VALUE(RIGHT(B1938,1)+1))</f>
        <v/>
      </c>
      <c r="C1939" s="13" t="str">
        <f t="shared" ref="C1939:D1939" si="2261">C1938</f>
        <v/>
      </c>
      <c r="D1939" s="13" t="str">
        <f t="shared" si="2261"/>
        <v/>
      </c>
      <c r="E1939" s="14" t="str">
        <f>IF(ISBLANK(A1934),"",E1938+1)</f>
        <v/>
      </c>
      <c r="F1939" s="19" t="str">
        <f t="shared" si="2258"/>
        <v/>
      </c>
      <c r="G1939" s="16"/>
    </row>
    <row r="1940">
      <c r="A1940" s="5"/>
      <c r="B1940" s="6" t="str">
        <f>IF(ISBLANK(A1940),"",VLOOKUP($A1940,'Data Feed (20C)'!$A$1:$G$14,2,FALSE))</f>
        <v/>
      </c>
      <c r="C1940" s="6" t="str">
        <f>IF(ISBLANK(A1940),"",VLOOKUP($A1940,'Data Feed (20C)'!$A$1:$G$14,3,FALSE))</f>
        <v/>
      </c>
      <c r="D1940" s="6" t="str">
        <f>IF(ISBLANK(A1940),"",VLOOKUP($A1940,'Data Feed (20C)'!$A$1:$G$14,4,FALSE))</f>
        <v/>
      </c>
      <c r="E1940" s="6" t="str">
        <f>IF(ISBLANK(A1940),"",VLOOKUP($A1940,'Data Feed (20C)'!$A$1:$G$14,7,FALSE))</f>
        <v/>
      </c>
      <c r="F1940" s="17"/>
      <c r="G1940" s="8"/>
    </row>
    <row r="1941">
      <c r="A1941" s="9" t="str">
        <f t="shared" ref="A1941:A1945" si="2263">A1940</f>
        <v/>
      </c>
      <c r="B1941" s="9" t="str">
        <f>IF(ISBLANK(A1940),"",LEFT(B1940,27)&amp;VALUE(RIGHT(B1940,1)+1))</f>
        <v/>
      </c>
      <c r="C1941" s="6" t="str">
        <f t="shared" ref="C1941:D1941" si="2262">C1940</f>
        <v/>
      </c>
      <c r="D1941" s="6" t="str">
        <f t="shared" si="2262"/>
        <v/>
      </c>
      <c r="E1941" s="10" t="str">
        <f>IF(ISBLANK(A1940),"",E1940+1)</f>
        <v/>
      </c>
      <c r="F1941" s="18" t="str">
        <f t="shared" ref="F1941:F1945" si="2265">F1940</f>
        <v/>
      </c>
      <c r="G1941" s="8"/>
    </row>
    <row r="1942">
      <c r="A1942" s="9" t="str">
        <f t="shared" si="2263"/>
        <v/>
      </c>
      <c r="B1942" s="9" t="str">
        <f>IF(ISBLANK(A1940),"",LEFT(B1941,27)&amp;VALUE(RIGHT(B1941,1)+1))</f>
        <v/>
      </c>
      <c r="C1942" s="6" t="str">
        <f t="shared" ref="C1942:D1942" si="2264">C1941</f>
        <v/>
      </c>
      <c r="D1942" s="6" t="str">
        <f t="shared" si="2264"/>
        <v/>
      </c>
      <c r="E1942" s="10" t="str">
        <f>IF(ISBLANK(A1940),"",E1941+1)</f>
        <v/>
      </c>
      <c r="F1942" s="18" t="str">
        <f t="shared" si="2265"/>
        <v/>
      </c>
      <c r="G1942" s="8"/>
    </row>
    <row r="1943">
      <c r="A1943" s="9" t="str">
        <f t="shared" si="2263"/>
        <v/>
      </c>
      <c r="B1943" s="9" t="str">
        <f>IF(ISBLANK(A1940),"",LEFT(B1942,27)&amp;VALUE(RIGHT(B1942,1)+1))</f>
        <v/>
      </c>
      <c r="C1943" s="6" t="str">
        <f t="shared" ref="C1943:D1943" si="2266">C1942</f>
        <v/>
      </c>
      <c r="D1943" s="6" t="str">
        <f t="shared" si="2266"/>
        <v/>
      </c>
      <c r="E1943" s="10" t="str">
        <f>IF(ISBLANK(A1940),"",E1942+1)</f>
        <v/>
      </c>
      <c r="F1943" s="18" t="str">
        <f t="shared" si="2265"/>
        <v/>
      </c>
      <c r="G1943" s="8"/>
    </row>
    <row r="1944">
      <c r="A1944" s="9" t="str">
        <f t="shared" si="2263"/>
        <v/>
      </c>
      <c r="B1944" s="9" t="str">
        <f>IF(ISBLANK(A1940),"",LEFT(B1943,27)&amp;VALUE(RIGHT(B1943,1)+1))</f>
        <v/>
      </c>
      <c r="C1944" s="6" t="str">
        <f t="shared" ref="C1944:D1944" si="2267">C1943</f>
        <v/>
      </c>
      <c r="D1944" s="6" t="str">
        <f t="shared" si="2267"/>
        <v/>
      </c>
      <c r="E1944" s="10" t="str">
        <f>IF(ISBLANK(A1940),"",E1943+1)</f>
        <v/>
      </c>
      <c r="F1944" s="18" t="str">
        <f t="shared" si="2265"/>
        <v/>
      </c>
      <c r="G1944" s="8"/>
    </row>
    <row r="1945">
      <c r="A1945" s="12" t="str">
        <f t="shared" si="2263"/>
        <v/>
      </c>
      <c r="B1945" s="12" t="str">
        <f>IF(ISBLANK(A1940),"",LEFT(B1944,27)&amp;VALUE(RIGHT(B1944,1)+1))</f>
        <v/>
      </c>
      <c r="C1945" s="13" t="str">
        <f t="shared" ref="C1945:D1945" si="2268">C1944</f>
        <v/>
      </c>
      <c r="D1945" s="13" t="str">
        <f t="shared" si="2268"/>
        <v/>
      </c>
      <c r="E1945" s="14" t="str">
        <f>IF(ISBLANK(A1940),"",E1944+1)</f>
        <v/>
      </c>
      <c r="F1945" s="19" t="str">
        <f t="shared" si="2265"/>
        <v/>
      </c>
      <c r="G1945" s="16"/>
    </row>
    <row r="1946">
      <c r="A1946" s="5"/>
      <c r="B1946" s="6" t="str">
        <f>IF(ISBLANK(A1946),"",VLOOKUP($A1946,'Data Feed (20C)'!$A$1:$G$14,2,FALSE))</f>
        <v/>
      </c>
      <c r="C1946" s="6" t="str">
        <f>IF(ISBLANK(A1946),"",VLOOKUP($A1946,'Data Feed (20C)'!$A$1:$G$14,3,FALSE))</f>
        <v/>
      </c>
      <c r="D1946" s="6" t="str">
        <f>IF(ISBLANK(A1946),"",VLOOKUP($A1946,'Data Feed (20C)'!$A$1:$G$14,4,FALSE))</f>
        <v/>
      </c>
      <c r="E1946" s="6" t="str">
        <f>IF(ISBLANK(A1946),"",VLOOKUP($A1946,'Data Feed (20C)'!$A$1:$G$14,7,FALSE))</f>
        <v/>
      </c>
      <c r="F1946" s="17"/>
      <c r="G1946" s="8"/>
    </row>
    <row r="1947">
      <c r="A1947" s="9" t="str">
        <f t="shared" ref="A1947:A1951" si="2270">A1946</f>
        <v/>
      </c>
      <c r="B1947" s="9" t="str">
        <f>IF(ISBLANK(A1946),"",LEFT(B1946,27)&amp;VALUE(RIGHT(B1946,1)+1))</f>
        <v/>
      </c>
      <c r="C1947" s="6" t="str">
        <f t="shared" ref="C1947:D1947" si="2269">C1946</f>
        <v/>
      </c>
      <c r="D1947" s="6" t="str">
        <f t="shared" si="2269"/>
        <v/>
      </c>
      <c r="E1947" s="10" t="str">
        <f>IF(ISBLANK(A1946),"",E1946+1)</f>
        <v/>
      </c>
      <c r="F1947" s="18" t="str">
        <f t="shared" ref="F1947:F1951" si="2272">F1946</f>
        <v/>
      </c>
      <c r="G1947" s="8"/>
    </row>
    <row r="1948">
      <c r="A1948" s="9" t="str">
        <f t="shared" si="2270"/>
        <v/>
      </c>
      <c r="B1948" s="9" t="str">
        <f>IF(ISBLANK(A1946),"",LEFT(B1947,27)&amp;VALUE(RIGHT(B1947,1)+1))</f>
        <v/>
      </c>
      <c r="C1948" s="6" t="str">
        <f t="shared" ref="C1948:D1948" si="2271">C1947</f>
        <v/>
      </c>
      <c r="D1948" s="6" t="str">
        <f t="shared" si="2271"/>
        <v/>
      </c>
      <c r="E1948" s="10" t="str">
        <f>IF(ISBLANK(A1946),"",E1947+1)</f>
        <v/>
      </c>
      <c r="F1948" s="18" t="str">
        <f t="shared" si="2272"/>
        <v/>
      </c>
      <c r="G1948" s="8"/>
    </row>
    <row r="1949">
      <c r="A1949" s="9" t="str">
        <f t="shared" si="2270"/>
        <v/>
      </c>
      <c r="B1949" s="9" t="str">
        <f>IF(ISBLANK(A1946),"",LEFT(B1948,27)&amp;VALUE(RIGHT(B1948,1)+1))</f>
        <v/>
      </c>
      <c r="C1949" s="6" t="str">
        <f t="shared" ref="C1949:D1949" si="2273">C1948</f>
        <v/>
      </c>
      <c r="D1949" s="6" t="str">
        <f t="shared" si="2273"/>
        <v/>
      </c>
      <c r="E1949" s="10" t="str">
        <f>IF(ISBLANK(A1946),"",E1948+1)</f>
        <v/>
      </c>
      <c r="F1949" s="18" t="str">
        <f t="shared" si="2272"/>
        <v/>
      </c>
      <c r="G1949" s="8"/>
    </row>
    <row r="1950">
      <c r="A1950" s="9" t="str">
        <f t="shared" si="2270"/>
        <v/>
      </c>
      <c r="B1950" s="9" t="str">
        <f>IF(ISBLANK(A1946),"",LEFT(B1949,27)&amp;VALUE(RIGHT(B1949,1)+1))</f>
        <v/>
      </c>
      <c r="C1950" s="6" t="str">
        <f t="shared" ref="C1950:D1950" si="2274">C1949</f>
        <v/>
      </c>
      <c r="D1950" s="6" t="str">
        <f t="shared" si="2274"/>
        <v/>
      </c>
      <c r="E1950" s="10" t="str">
        <f>IF(ISBLANK(A1946),"",E1949+1)</f>
        <v/>
      </c>
      <c r="F1950" s="18" t="str">
        <f t="shared" si="2272"/>
        <v/>
      </c>
      <c r="G1950" s="8"/>
    </row>
    <row r="1951">
      <c r="A1951" s="12" t="str">
        <f t="shared" si="2270"/>
        <v/>
      </c>
      <c r="B1951" s="12" t="str">
        <f>IF(ISBLANK(A1946),"",LEFT(B1950,27)&amp;VALUE(RIGHT(B1950,1)+1))</f>
        <v/>
      </c>
      <c r="C1951" s="13" t="str">
        <f t="shared" ref="C1951:D1951" si="2275">C1950</f>
        <v/>
      </c>
      <c r="D1951" s="13" t="str">
        <f t="shared" si="2275"/>
        <v/>
      </c>
      <c r="E1951" s="14" t="str">
        <f>IF(ISBLANK(A1946),"",E1950+1)</f>
        <v/>
      </c>
      <c r="F1951" s="19" t="str">
        <f t="shared" si="2272"/>
        <v/>
      </c>
      <c r="G1951" s="16"/>
    </row>
    <row r="1952">
      <c r="A1952" s="5"/>
      <c r="B1952" s="6" t="str">
        <f>IF(ISBLANK(A1952),"",VLOOKUP($A1952,'Data Feed (20C)'!$A$1:$G$14,2,FALSE))</f>
        <v/>
      </c>
      <c r="C1952" s="6" t="str">
        <f>IF(ISBLANK(A1952),"",VLOOKUP($A1952,'Data Feed (20C)'!$A$1:$G$14,3,FALSE))</f>
        <v/>
      </c>
      <c r="D1952" s="6" t="str">
        <f>IF(ISBLANK(A1952),"",VLOOKUP($A1952,'Data Feed (20C)'!$A$1:$G$14,4,FALSE))</f>
        <v/>
      </c>
      <c r="E1952" s="6" t="str">
        <f>IF(ISBLANK(A1952),"",VLOOKUP($A1952,'Data Feed (20C)'!$A$1:$G$14,7,FALSE))</f>
        <v/>
      </c>
      <c r="F1952" s="17"/>
      <c r="G1952" s="8"/>
    </row>
    <row r="1953">
      <c r="A1953" s="9" t="str">
        <f t="shared" ref="A1953:A1957" si="2277">A1952</f>
        <v/>
      </c>
      <c r="B1953" s="9" t="str">
        <f>IF(ISBLANK(A1952),"",LEFT(B1952,27)&amp;VALUE(RIGHT(B1952,1)+1))</f>
        <v/>
      </c>
      <c r="C1953" s="6" t="str">
        <f t="shared" ref="C1953:D1953" si="2276">C1952</f>
        <v/>
      </c>
      <c r="D1953" s="6" t="str">
        <f t="shared" si="2276"/>
        <v/>
      </c>
      <c r="E1953" s="10" t="str">
        <f>IF(ISBLANK(A1952),"",E1952+1)</f>
        <v/>
      </c>
      <c r="F1953" s="18" t="str">
        <f t="shared" ref="F1953:F1957" si="2279">F1952</f>
        <v/>
      </c>
      <c r="G1953" s="8"/>
    </row>
    <row r="1954">
      <c r="A1954" s="9" t="str">
        <f t="shared" si="2277"/>
        <v/>
      </c>
      <c r="B1954" s="9" t="str">
        <f>IF(ISBLANK(A1952),"",LEFT(B1953,27)&amp;VALUE(RIGHT(B1953,1)+1))</f>
        <v/>
      </c>
      <c r="C1954" s="6" t="str">
        <f t="shared" ref="C1954:D1954" si="2278">C1953</f>
        <v/>
      </c>
      <c r="D1954" s="6" t="str">
        <f t="shared" si="2278"/>
        <v/>
      </c>
      <c r="E1954" s="10" t="str">
        <f>IF(ISBLANK(A1952),"",E1953+1)</f>
        <v/>
      </c>
      <c r="F1954" s="18" t="str">
        <f t="shared" si="2279"/>
        <v/>
      </c>
      <c r="G1954" s="8"/>
    </row>
    <row r="1955">
      <c r="A1955" s="9" t="str">
        <f t="shared" si="2277"/>
        <v/>
      </c>
      <c r="B1955" s="9" t="str">
        <f>IF(ISBLANK(A1952),"",LEFT(B1954,27)&amp;VALUE(RIGHT(B1954,1)+1))</f>
        <v/>
      </c>
      <c r="C1955" s="6" t="str">
        <f t="shared" ref="C1955:D1955" si="2280">C1954</f>
        <v/>
      </c>
      <c r="D1955" s="6" t="str">
        <f t="shared" si="2280"/>
        <v/>
      </c>
      <c r="E1955" s="10" t="str">
        <f>IF(ISBLANK(A1952),"",E1954+1)</f>
        <v/>
      </c>
      <c r="F1955" s="18" t="str">
        <f t="shared" si="2279"/>
        <v/>
      </c>
      <c r="G1955" s="8"/>
    </row>
    <row r="1956">
      <c r="A1956" s="9" t="str">
        <f t="shared" si="2277"/>
        <v/>
      </c>
      <c r="B1956" s="9" t="str">
        <f>IF(ISBLANK(A1952),"",LEFT(B1955,27)&amp;VALUE(RIGHT(B1955,1)+1))</f>
        <v/>
      </c>
      <c r="C1956" s="6" t="str">
        <f t="shared" ref="C1956:D1956" si="2281">C1955</f>
        <v/>
      </c>
      <c r="D1956" s="6" t="str">
        <f t="shared" si="2281"/>
        <v/>
      </c>
      <c r="E1956" s="10" t="str">
        <f>IF(ISBLANK(A1952),"",E1955+1)</f>
        <v/>
      </c>
      <c r="F1956" s="18" t="str">
        <f t="shared" si="2279"/>
        <v/>
      </c>
      <c r="G1956" s="8"/>
    </row>
    <row r="1957">
      <c r="A1957" s="12" t="str">
        <f t="shared" si="2277"/>
        <v/>
      </c>
      <c r="B1957" s="12" t="str">
        <f>IF(ISBLANK(A1952),"",LEFT(B1956,27)&amp;VALUE(RIGHT(B1956,1)+1))</f>
        <v/>
      </c>
      <c r="C1957" s="13" t="str">
        <f t="shared" ref="C1957:D1957" si="2282">C1956</f>
        <v/>
      </c>
      <c r="D1957" s="13" t="str">
        <f t="shared" si="2282"/>
        <v/>
      </c>
      <c r="E1957" s="14" t="str">
        <f>IF(ISBLANK(A1952),"",E1956+1)</f>
        <v/>
      </c>
      <c r="F1957" s="19" t="str">
        <f t="shared" si="2279"/>
        <v/>
      </c>
      <c r="G1957" s="16"/>
    </row>
    <row r="1958">
      <c r="A1958" s="5"/>
      <c r="B1958" s="6" t="str">
        <f>IF(ISBLANK(A1958),"",VLOOKUP($A1958,'Data Feed (20C)'!$A$1:$G$14,2,FALSE))</f>
        <v/>
      </c>
      <c r="C1958" s="6" t="str">
        <f>IF(ISBLANK(A1958),"",VLOOKUP($A1958,'Data Feed (20C)'!$A$1:$G$14,3,FALSE))</f>
        <v/>
      </c>
      <c r="D1958" s="6" t="str">
        <f>IF(ISBLANK(A1958),"",VLOOKUP($A1958,'Data Feed (20C)'!$A$1:$G$14,4,FALSE))</f>
        <v/>
      </c>
      <c r="E1958" s="6" t="str">
        <f>IF(ISBLANK(A1958),"",VLOOKUP($A1958,'Data Feed (20C)'!$A$1:$G$14,7,FALSE))</f>
        <v/>
      </c>
      <c r="F1958" s="17"/>
      <c r="G1958" s="8"/>
    </row>
    <row r="1959">
      <c r="A1959" s="9" t="str">
        <f t="shared" ref="A1959:A1963" si="2284">A1958</f>
        <v/>
      </c>
      <c r="B1959" s="9" t="str">
        <f>IF(ISBLANK(A1958),"",LEFT(B1958,27)&amp;VALUE(RIGHT(B1958,1)+1))</f>
        <v/>
      </c>
      <c r="C1959" s="6" t="str">
        <f t="shared" ref="C1959:D1959" si="2283">C1958</f>
        <v/>
      </c>
      <c r="D1959" s="6" t="str">
        <f t="shared" si="2283"/>
        <v/>
      </c>
      <c r="E1959" s="10" t="str">
        <f>IF(ISBLANK(A1958),"",E1958+1)</f>
        <v/>
      </c>
      <c r="F1959" s="18" t="str">
        <f t="shared" ref="F1959:F1963" si="2286">F1958</f>
        <v/>
      </c>
      <c r="G1959" s="8"/>
    </row>
    <row r="1960">
      <c r="A1960" s="9" t="str">
        <f t="shared" si="2284"/>
        <v/>
      </c>
      <c r="B1960" s="9" t="str">
        <f>IF(ISBLANK(A1958),"",LEFT(B1959,27)&amp;VALUE(RIGHT(B1959,1)+1))</f>
        <v/>
      </c>
      <c r="C1960" s="6" t="str">
        <f t="shared" ref="C1960:D1960" si="2285">C1959</f>
        <v/>
      </c>
      <c r="D1960" s="6" t="str">
        <f t="shared" si="2285"/>
        <v/>
      </c>
      <c r="E1960" s="10" t="str">
        <f>IF(ISBLANK(A1958),"",E1959+1)</f>
        <v/>
      </c>
      <c r="F1960" s="18" t="str">
        <f t="shared" si="2286"/>
        <v/>
      </c>
      <c r="G1960" s="8"/>
    </row>
    <row r="1961">
      <c r="A1961" s="9" t="str">
        <f t="shared" si="2284"/>
        <v/>
      </c>
      <c r="B1961" s="9" t="str">
        <f>IF(ISBLANK(A1958),"",LEFT(B1960,27)&amp;VALUE(RIGHT(B1960,1)+1))</f>
        <v/>
      </c>
      <c r="C1961" s="6" t="str">
        <f t="shared" ref="C1961:D1961" si="2287">C1960</f>
        <v/>
      </c>
      <c r="D1961" s="6" t="str">
        <f t="shared" si="2287"/>
        <v/>
      </c>
      <c r="E1961" s="10" t="str">
        <f>IF(ISBLANK(A1958),"",E1960+1)</f>
        <v/>
      </c>
      <c r="F1961" s="18" t="str">
        <f t="shared" si="2286"/>
        <v/>
      </c>
      <c r="G1961" s="8"/>
    </row>
    <row r="1962">
      <c r="A1962" s="9" t="str">
        <f t="shared" si="2284"/>
        <v/>
      </c>
      <c r="B1962" s="9" t="str">
        <f>IF(ISBLANK(A1958),"",LEFT(B1961,27)&amp;VALUE(RIGHT(B1961,1)+1))</f>
        <v/>
      </c>
      <c r="C1962" s="6" t="str">
        <f t="shared" ref="C1962:D1962" si="2288">C1961</f>
        <v/>
      </c>
      <c r="D1962" s="6" t="str">
        <f t="shared" si="2288"/>
        <v/>
      </c>
      <c r="E1962" s="10" t="str">
        <f>IF(ISBLANK(A1958),"",E1961+1)</f>
        <v/>
      </c>
      <c r="F1962" s="18" t="str">
        <f t="shared" si="2286"/>
        <v/>
      </c>
      <c r="G1962" s="8"/>
    </row>
    <row r="1963">
      <c r="A1963" s="12" t="str">
        <f t="shared" si="2284"/>
        <v/>
      </c>
      <c r="B1963" s="12" t="str">
        <f>IF(ISBLANK(A1958),"",LEFT(B1962,27)&amp;VALUE(RIGHT(B1962,1)+1))</f>
        <v/>
      </c>
      <c r="C1963" s="13" t="str">
        <f t="shared" ref="C1963:D1963" si="2289">C1962</f>
        <v/>
      </c>
      <c r="D1963" s="13" t="str">
        <f t="shared" si="2289"/>
        <v/>
      </c>
      <c r="E1963" s="14" t="str">
        <f>IF(ISBLANK(A1958),"",E1962+1)</f>
        <v/>
      </c>
      <c r="F1963" s="19" t="str">
        <f t="shared" si="2286"/>
        <v/>
      </c>
      <c r="G1963" s="16"/>
    </row>
    <row r="1964">
      <c r="A1964" s="5"/>
      <c r="B1964" s="6" t="str">
        <f>IF(ISBLANK(A1964),"",VLOOKUP($A1964,'Data Feed (20C)'!$A$1:$G$14,2,FALSE))</f>
        <v/>
      </c>
      <c r="C1964" s="6" t="str">
        <f>IF(ISBLANK(A1964),"",VLOOKUP($A1964,'Data Feed (20C)'!$A$1:$G$14,3,FALSE))</f>
        <v/>
      </c>
      <c r="D1964" s="6" t="str">
        <f>IF(ISBLANK(A1964),"",VLOOKUP($A1964,'Data Feed (20C)'!$A$1:$G$14,4,FALSE))</f>
        <v/>
      </c>
      <c r="E1964" s="6" t="str">
        <f>IF(ISBLANK(A1964),"",VLOOKUP($A1964,'Data Feed (20C)'!$A$1:$G$14,7,FALSE))</f>
        <v/>
      </c>
      <c r="F1964" s="17"/>
      <c r="G1964" s="8"/>
    </row>
    <row r="1965">
      <c r="A1965" s="9" t="str">
        <f t="shared" ref="A1965:A1969" si="2291">A1964</f>
        <v/>
      </c>
      <c r="B1965" s="9" t="str">
        <f>IF(ISBLANK(A1964),"",LEFT(B1964,27)&amp;VALUE(RIGHT(B1964,1)+1))</f>
        <v/>
      </c>
      <c r="C1965" s="6" t="str">
        <f t="shared" ref="C1965:D1965" si="2290">C1964</f>
        <v/>
      </c>
      <c r="D1965" s="6" t="str">
        <f t="shared" si="2290"/>
        <v/>
      </c>
      <c r="E1965" s="10" t="str">
        <f>IF(ISBLANK(A1964),"",E1964+1)</f>
        <v/>
      </c>
      <c r="F1965" s="18" t="str">
        <f t="shared" ref="F1965:F1969" si="2293">F1964</f>
        <v/>
      </c>
      <c r="G1965" s="8"/>
    </row>
    <row r="1966">
      <c r="A1966" s="9" t="str">
        <f t="shared" si="2291"/>
        <v/>
      </c>
      <c r="B1966" s="9" t="str">
        <f>IF(ISBLANK(A1964),"",LEFT(B1965,27)&amp;VALUE(RIGHT(B1965,1)+1))</f>
        <v/>
      </c>
      <c r="C1966" s="6" t="str">
        <f t="shared" ref="C1966:D1966" si="2292">C1965</f>
        <v/>
      </c>
      <c r="D1966" s="6" t="str">
        <f t="shared" si="2292"/>
        <v/>
      </c>
      <c r="E1966" s="10" t="str">
        <f>IF(ISBLANK(A1964),"",E1965+1)</f>
        <v/>
      </c>
      <c r="F1966" s="18" t="str">
        <f t="shared" si="2293"/>
        <v/>
      </c>
      <c r="G1966" s="8"/>
    </row>
    <row r="1967">
      <c r="A1967" s="9" t="str">
        <f t="shared" si="2291"/>
        <v/>
      </c>
      <c r="B1967" s="9" t="str">
        <f>IF(ISBLANK(A1964),"",LEFT(B1966,27)&amp;VALUE(RIGHT(B1966,1)+1))</f>
        <v/>
      </c>
      <c r="C1967" s="6" t="str">
        <f t="shared" ref="C1967:D1967" si="2294">C1966</f>
        <v/>
      </c>
      <c r="D1967" s="6" t="str">
        <f t="shared" si="2294"/>
        <v/>
      </c>
      <c r="E1967" s="10" t="str">
        <f>IF(ISBLANK(A1964),"",E1966+1)</f>
        <v/>
      </c>
      <c r="F1967" s="18" t="str">
        <f t="shared" si="2293"/>
        <v/>
      </c>
      <c r="G1967" s="8"/>
    </row>
    <row r="1968">
      <c r="A1968" s="9" t="str">
        <f t="shared" si="2291"/>
        <v/>
      </c>
      <c r="B1968" s="9" t="str">
        <f>IF(ISBLANK(A1964),"",LEFT(B1967,27)&amp;VALUE(RIGHT(B1967,1)+1))</f>
        <v/>
      </c>
      <c r="C1968" s="6" t="str">
        <f t="shared" ref="C1968:D1968" si="2295">C1967</f>
        <v/>
      </c>
      <c r="D1968" s="6" t="str">
        <f t="shared" si="2295"/>
        <v/>
      </c>
      <c r="E1968" s="10" t="str">
        <f>IF(ISBLANK(A1964),"",E1967+1)</f>
        <v/>
      </c>
      <c r="F1968" s="18" t="str">
        <f t="shared" si="2293"/>
        <v/>
      </c>
      <c r="G1968" s="8"/>
    </row>
    <row r="1969">
      <c r="A1969" s="12" t="str">
        <f t="shared" si="2291"/>
        <v/>
      </c>
      <c r="B1969" s="12" t="str">
        <f>IF(ISBLANK(A1964),"",LEFT(B1968,27)&amp;VALUE(RIGHT(B1968,1)+1))</f>
        <v/>
      </c>
      <c r="C1969" s="13" t="str">
        <f t="shared" ref="C1969:D1969" si="2296">C1968</f>
        <v/>
      </c>
      <c r="D1969" s="13" t="str">
        <f t="shared" si="2296"/>
        <v/>
      </c>
      <c r="E1969" s="14" t="str">
        <f>IF(ISBLANK(A1964),"",E1968+1)</f>
        <v/>
      </c>
      <c r="F1969" s="19" t="str">
        <f t="shared" si="2293"/>
        <v/>
      </c>
      <c r="G1969" s="16"/>
    </row>
    <row r="1970">
      <c r="A1970" s="5"/>
      <c r="B1970" s="6" t="str">
        <f>IF(ISBLANK(A1970),"",VLOOKUP($A1970,'Data Feed (20C)'!$A$1:$G$14,2,FALSE))</f>
        <v/>
      </c>
      <c r="C1970" s="6" t="str">
        <f>IF(ISBLANK(A1970),"",VLOOKUP($A1970,'Data Feed (20C)'!$A$1:$G$14,3,FALSE))</f>
        <v/>
      </c>
      <c r="D1970" s="6" t="str">
        <f>IF(ISBLANK(A1970),"",VLOOKUP($A1970,'Data Feed (20C)'!$A$1:$G$14,4,FALSE))</f>
        <v/>
      </c>
      <c r="E1970" s="6" t="str">
        <f>IF(ISBLANK(A1970),"",VLOOKUP($A1970,'Data Feed (20C)'!$A$1:$G$14,7,FALSE))</f>
        <v/>
      </c>
      <c r="F1970" s="17"/>
      <c r="G1970" s="8"/>
    </row>
    <row r="1971">
      <c r="A1971" s="9" t="str">
        <f t="shared" ref="A1971:A1975" si="2298">A1970</f>
        <v/>
      </c>
      <c r="B1971" s="9" t="str">
        <f>IF(ISBLANK(A1970),"",LEFT(B1970,27)&amp;VALUE(RIGHT(B1970,1)+1))</f>
        <v/>
      </c>
      <c r="C1971" s="6" t="str">
        <f t="shared" ref="C1971:D1971" si="2297">C1970</f>
        <v/>
      </c>
      <c r="D1971" s="6" t="str">
        <f t="shared" si="2297"/>
        <v/>
      </c>
      <c r="E1971" s="10" t="str">
        <f>IF(ISBLANK(A1970),"",E1970+1)</f>
        <v/>
      </c>
      <c r="F1971" s="18" t="str">
        <f t="shared" ref="F1971:F1975" si="2300">F1970</f>
        <v/>
      </c>
      <c r="G1971" s="8"/>
    </row>
    <row r="1972">
      <c r="A1972" s="9" t="str">
        <f t="shared" si="2298"/>
        <v/>
      </c>
      <c r="B1972" s="9" t="str">
        <f>IF(ISBLANK(A1970),"",LEFT(B1971,27)&amp;VALUE(RIGHT(B1971,1)+1))</f>
        <v/>
      </c>
      <c r="C1972" s="6" t="str">
        <f t="shared" ref="C1972:D1972" si="2299">C1971</f>
        <v/>
      </c>
      <c r="D1972" s="6" t="str">
        <f t="shared" si="2299"/>
        <v/>
      </c>
      <c r="E1972" s="10" t="str">
        <f>IF(ISBLANK(A1970),"",E1971+1)</f>
        <v/>
      </c>
      <c r="F1972" s="18" t="str">
        <f t="shared" si="2300"/>
        <v/>
      </c>
      <c r="G1972" s="8"/>
    </row>
    <row r="1973">
      <c r="A1973" s="9" t="str">
        <f t="shared" si="2298"/>
        <v/>
      </c>
      <c r="B1973" s="9" t="str">
        <f>IF(ISBLANK(A1970),"",LEFT(B1972,27)&amp;VALUE(RIGHT(B1972,1)+1))</f>
        <v/>
      </c>
      <c r="C1973" s="6" t="str">
        <f t="shared" ref="C1973:D1973" si="2301">C1972</f>
        <v/>
      </c>
      <c r="D1973" s="6" t="str">
        <f t="shared" si="2301"/>
        <v/>
      </c>
      <c r="E1973" s="10" t="str">
        <f>IF(ISBLANK(A1970),"",E1972+1)</f>
        <v/>
      </c>
      <c r="F1973" s="18" t="str">
        <f t="shared" si="2300"/>
        <v/>
      </c>
      <c r="G1973" s="8"/>
    </row>
    <row r="1974">
      <c r="A1974" s="9" t="str">
        <f t="shared" si="2298"/>
        <v/>
      </c>
      <c r="B1974" s="9" t="str">
        <f>IF(ISBLANK(A1970),"",LEFT(B1973,27)&amp;VALUE(RIGHT(B1973,1)+1))</f>
        <v/>
      </c>
      <c r="C1974" s="6" t="str">
        <f t="shared" ref="C1974:D1974" si="2302">C1973</f>
        <v/>
      </c>
      <c r="D1974" s="6" t="str">
        <f t="shared" si="2302"/>
        <v/>
      </c>
      <c r="E1974" s="10" t="str">
        <f>IF(ISBLANK(A1970),"",E1973+1)</f>
        <v/>
      </c>
      <c r="F1974" s="18" t="str">
        <f t="shared" si="2300"/>
        <v/>
      </c>
      <c r="G1974" s="8"/>
    </row>
    <row r="1975">
      <c r="A1975" s="12" t="str">
        <f t="shared" si="2298"/>
        <v/>
      </c>
      <c r="B1975" s="12" t="str">
        <f>IF(ISBLANK(A1970),"",LEFT(B1974,27)&amp;VALUE(RIGHT(B1974,1)+1))</f>
        <v/>
      </c>
      <c r="C1975" s="13" t="str">
        <f t="shared" ref="C1975:D1975" si="2303">C1974</f>
        <v/>
      </c>
      <c r="D1975" s="13" t="str">
        <f t="shared" si="2303"/>
        <v/>
      </c>
      <c r="E1975" s="14" t="str">
        <f>IF(ISBLANK(A1970),"",E1974+1)</f>
        <v/>
      </c>
      <c r="F1975" s="19" t="str">
        <f t="shared" si="2300"/>
        <v/>
      </c>
      <c r="G1975" s="16"/>
    </row>
    <row r="1976">
      <c r="A1976" s="5"/>
      <c r="B1976" s="6" t="str">
        <f>IF(ISBLANK(A1976),"",VLOOKUP($A1976,'Data Feed (20C)'!$A$1:$G$14,2,FALSE))</f>
        <v/>
      </c>
      <c r="C1976" s="6" t="str">
        <f>IF(ISBLANK(A1976),"",VLOOKUP($A1976,'Data Feed (20C)'!$A$1:$G$14,3,FALSE))</f>
        <v/>
      </c>
      <c r="D1976" s="6" t="str">
        <f>IF(ISBLANK(A1976),"",VLOOKUP($A1976,'Data Feed (20C)'!$A$1:$G$14,4,FALSE))</f>
        <v/>
      </c>
      <c r="E1976" s="6" t="str">
        <f>IF(ISBLANK(A1976),"",VLOOKUP($A1976,'Data Feed (20C)'!$A$1:$G$14,7,FALSE))</f>
        <v/>
      </c>
      <c r="F1976" s="17"/>
      <c r="G1976" s="8"/>
    </row>
    <row r="1977">
      <c r="A1977" s="9" t="str">
        <f t="shared" ref="A1977:A1981" si="2305">A1976</f>
        <v/>
      </c>
      <c r="B1977" s="9" t="str">
        <f>IF(ISBLANK(A1976),"",LEFT(B1976,27)&amp;VALUE(RIGHT(B1976,1)+1))</f>
        <v/>
      </c>
      <c r="C1977" s="6" t="str">
        <f t="shared" ref="C1977:D1977" si="2304">C1976</f>
        <v/>
      </c>
      <c r="D1977" s="6" t="str">
        <f t="shared" si="2304"/>
        <v/>
      </c>
      <c r="E1977" s="10" t="str">
        <f>IF(ISBLANK(A1976),"",E1976+1)</f>
        <v/>
      </c>
      <c r="F1977" s="18" t="str">
        <f t="shared" ref="F1977:F1981" si="2307">F1976</f>
        <v/>
      </c>
      <c r="G1977" s="8"/>
    </row>
    <row r="1978">
      <c r="A1978" s="9" t="str">
        <f t="shared" si="2305"/>
        <v/>
      </c>
      <c r="B1978" s="9" t="str">
        <f>IF(ISBLANK(A1976),"",LEFT(B1977,27)&amp;VALUE(RIGHT(B1977,1)+1))</f>
        <v/>
      </c>
      <c r="C1978" s="6" t="str">
        <f t="shared" ref="C1978:D1978" si="2306">C1977</f>
        <v/>
      </c>
      <c r="D1978" s="6" t="str">
        <f t="shared" si="2306"/>
        <v/>
      </c>
      <c r="E1978" s="10" t="str">
        <f>IF(ISBLANK(A1976),"",E1977+1)</f>
        <v/>
      </c>
      <c r="F1978" s="18" t="str">
        <f t="shared" si="2307"/>
        <v/>
      </c>
      <c r="G1978" s="8"/>
    </row>
    <row r="1979">
      <c r="A1979" s="9" t="str">
        <f t="shared" si="2305"/>
        <v/>
      </c>
      <c r="B1979" s="9" t="str">
        <f>IF(ISBLANK(A1976),"",LEFT(B1978,27)&amp;VALUE(RIGHT(B1978,1)+1))</f>
        <v/>
      </c>
      <c r="C1979" s="6" t="str">
        <f t="shared" ref="C1979:D1979" si="2308">C1978</f>
        <v/>
      </c>
      <c r="D1979" s="6" t="str">
        <f t="shared" si="2308"/>
        <v/>
      </c>
      <c r="E1979" s="10" t="str">
        <f>IF(ISBLANK(A1976),"",E1978+1)</f>
        <v/>
      </c>
      <c r="F1979" s="18" t="str">
        <f t="shared" si="2307"/>
        <v/>
      </c>
      <c r="G1979" s="8"/>
    </row>
    <row r="1980">
      <c r="A1980" s="9" t="str">
        <f t="shared" si="2305"/>
        <v/>
      </c>
      <c r="B1980" s="9" t="str">
        <f>IF(ISBLANK(A1976),"",LEFT(B1979,27)&amp;VALUE(RIGHT(B1979,1)+1))</f>
        <v/>
      </c>
      <c r="C1980" s="6" t="str">
        <f t="shared" ref="C1980:D1980" si="2309">C1979</f>
        <v/>
      </c>
      <c r="D1980" s="6" t="str">
        <f t="shared" si="2309"/>
        <v/>
      </c>
      <c r="E1980" s="10" t="str">
        <f>IF(ISBLANK(A1976),"",E1979+1)</f>
        <v/>
      </c>
      <c r="F1980" s="18" t="str">
        <f t="shared" si="2307"/>
        <v/>
      </c>
      <c r="G1980" s="8"/>
    </row>
    <row r="1981">
      <c r="A1981" s="12" t="str">
        <f t="shared" si="2305"/>
        <v/>
      </c>
      <c r="B1981" s="12" t="str">
        <f>IF(ISBLANK(A1976),"",LEFT(B1980,27)&amp;VALUE(RIGHT(B1980,1)+1))</f>
        <v/>
      </c>
      <c r="C1981" s="13" t="str">
        <f t="shared" ref="C1981:D1981" si="2310">C1980</f>
        <v/>
      </c>
      <c r="D1981" s="13" t="str">
        <f t="shared" si="2310"/>
        <v/>
      </c>
      <c r="E1981" s="14" t="str">
        <f>IF(ISBLANK(A1976),"",E1980+1)</f>
        <v/>
      </c>
      <c r="F1981" s="19" t="str">
        <f t="shared" si="2307"/>
        <v/>
      </c>
      <c r="G1981" s="16"/>
    </row>
    <row r="1982">
      <c r="A1982" s="5"/>
      <c r="B1982" s="6" t="str">
        <f>IF(ISBLANK(A1982),"",VLOOKUP($A1982,'Data Feed (20C)'!$A$1:$G$14,2,FALSE))</f>
        <v/>
      </c>
      <c r="C1982" s="6" t="str">
        <f>IF(ISBLANK(A1982),"",VLOOKUP($A1982,'Data Feed (20C)'!$A$1:$G$14,3,FALSE))</f>
        <v/>
      </c>
      <c r="D1982" s="6" t="str">
        <f>IF(ISBLANK(A1982),"",VLOOKUP($A1982,'Data Feed (20C)'!$A$1:$G$14,4,FALSE))</f>
        <v/>
      </c>
      <c r="E1982" s="6" t="str">
        <f>IF(ISBLANK(A1982),"",VLOOKUP($A1982,'Data Feed (20C)'!$A$1:$G$14,7,FALSE))</f>
        <v/>
      </c>
      <c r="F1982" s="17"/>
      <c r="G1982" s="8"/>
    </row>
    <row r="1983">
      <c r="A1983" s="9" t="str">
        <f t="shared" ref="A1983:A1987" si="2312">A1982</f>
        <v/>
      </c>
      <c r="B1983" s="9" t="str">
        <f>IF(ISBLANK(A1982),"",LEFT(B1982,27)&amp;VALUE(RIGHT(B1982,1)+1))</f>
        <v/>
      </c>
      <c r="C1983" s="6" t="str">
        <f t="shared" ref="C1983:D1983" si="2311">C1982</f>
        <v/>
      </c>
      <c r="D1983" s="6" t="str">
        <f t="shared" si="2311"/>
        <v/>
      </c>
      <c r="E1983" s="10" t="str">
        <f>IF(ISBLANK(A1982),"",E1982+1)</f>
        <v/>
      </c>
      <c r="F1983" s="18" t="str">
        <f t="shared" ref="F1983:F1987" si="2314">F1982</f>
        <v/>
      </c>
      <c r="G1983" s="8"/>
    </row>
    <row r="1984">
      <c r="A1984" s="9" t="str">
        <f t="shared" si="2312"/>
        <v/>
      </c>
      <c r="B1984" s="9" t="str">
        <f>IF(ISBLANK(A1982),"",LEFT(B1983,27)&amp;VALUE(RIGHT(B1983,1)+1))</f>
        <v/>
      </c>
      <c r="C1984" s="6" t="str">
        <f t="shared" ref="C1984:D1984" si="2313">C1983</f>
        <v/>
      </c>
      <c r="D1984" s="6" t="str">
        <f t="shared" si="2313"/>
        <v/>
      </c>
      <c r="E1984" s="10" t="str">
        <f>IF(ISBLANK(A1982),"",E1983+1)</f>
        <v/>
      </c>
      <c r="F1984" s="18" t="str">
        <f t="shared" si="2314"/>
        <v/>
      </c>
      <c r="G1984" s="8"/>
    </row>
    <row r="1985">
      <c r="A1985" s="9" t="str">
        <f t="shared" si="2312"/>
        <v/>
      </c>
      <c r="B1985" s="9" t="str">
        <f>IF(ISBLANK(A1982),"",LEFT(B1984,27)&amp;VALUE(RIGHT(B1984,1)+1))</f>
        <v/>
      </c>
      <c r="C1985" s="6" t="str">
        <f t="shared" ref="C1985:D1985" si="2315">C1984</f>
        <v/>
      </c>
      <c r="D1985" s="6" t="str">
        <f t="shared" si="2315"/>
        <v/>
      </c>
      <c r="E1985" s="10" t="str">
        <f>IF(ISBLANK(A1982),"",E1984+1)</f>
        <v/>
      </c>
      <c r="F1985" s="18" t="str">
        <f t="shared" si="2314"/>
        <v/>
      </c>
      <c r="G1985" s="8"/>
    </row>
    <row r="1986">
      <c r="A1986" s="9" t="str">
        <f t="shared" si="2312"/>
        <v/>
      </c>
      <c r="B1986" s="9" t="str">
        <f>IF(ISBLANK(A1982),"",LEFT(B1985,27)&amp;VALUE(RIGHT(B1985,1)+1))</f>
        <v/>
      </c>
      <c r="C1986" s="6" t="str">
        <f t="shared" ref="C1986:D1986" si="2316">C1985</f>
        <v/>
      </c>
      <c r="D1986" s="6" t="str">
        <f t="shared" si="2316"/>
        <v/>
      </c>
      <c r="E1986" s="10" t="str">
        <f>IF(ISBLANK(A1982),"",E1985+1)</f>
        <v/>
      </c>
      <c r="F1986" s="18" t="str">
        <f t="shared" si="2314"/>
        <v/>
      </c>
      <c r="G1986" s="8"/>
    </row>
    <row r="1987">
      <c r="A1987" s="12" t="str">
        <f t="shared" si="2312"/>
        <v/>
      </c>
      <c r="B1987" s="12" t="str">
        <f>IF(ISBLANK(A1982),"",LEFT(B1986,27)&amp;VALUE(RIGHT(B1986,1)+1))</f>
        <v/>
      </c>
      <c r="C1987" s="13" t="str">
        <f t="shared" ref="C1987:D1987" si="2317">C1986</f>
        <v/>
      </c>
      <c r="D1987" s="13" t="str">
        <f t="shared" si="2317"/>
        <v/>
      </c>
      <c r="E1987" s="14" t="str">
        <f>IF(ISBLANK(A1982),"",E1986+1)</f>
        <v/>
      </c>
      <c r="F1987" s="19" t="str">
        <f t="shared" si="2314"/>
        <v/>
      </c>
      <c r="G1987" s="16"/>
    </row>
    <row r="1988">
      <c r="A1988" s="5"/>
      <c r="B1988" s="6" t="str">
        <f>IF(ISBLANK(A1988),"",VLOOKUP($A1988,'Data Feed (20C)'!$A$1:$G$14,2,FALSE))</f>
        <v/>
      </c>
      <c r="C1988" s="6" t="str">
        <f>IF(ISBLANK(A1988),"",VLOOKUP($A1988,'Data Feed (20C)'!$A$1:$G$14,3,FALSE))</f>
        <v/>
      </c>
      <c r="D1988" s="6" t="str">
        <f>IF(ISBLANK(A1988),"",VLOOKUP($A1988,'Data Feed (20C)'!$A$1:$G$14,4,FALSE))</f>
        <v/>
      </c>
      <c r="E1988" s="6" t="str">
        <f>IF(ISBLANK(A1988),"",VLOOKUP($A1988,'Data Feed (20C)'!$A$1:$G$14,7,FALSE))</f>
        <v/>
      </c>
      <c r="F1988" s="17"/>
      <c r="G1988" s="8"/>
    </row>
    <row r="1989">
      <c r="A1989" s="9" t="str">
        <f t="shared" ref="A1989:A1993" si="2319">A1988</f>
        <v/>
      </c>
      <c r="B1989" s="9" t="str">
        <f>IF(ISBLANK(A1988),"",LEFT(B1988,27)&amp;VALUE(RIGHT(B1988,1)+1))</f>
        <v/>
      </c>
      <c r="C1989" s="6" t="str">
        <f t="shared" ref="C1989:D1989" si="2318">C1988</f>
        <v/>
      </c>
      <c r="D1989" s="6" t="str">
        <f t="shared" si="2318"/>
        <v/>
      </c>
      <c r="E1989" s="10" t="str">
        <f>IF(ISBLANK(A1988),"",E1988+1)</f>
        <v/>
      </c>
      <c r="F1989" s="18" t="str">
        <f t="shared" ref="F1989:F1993" si="2321">F1988</f>
        <v/>
      </c>
      <c r="G1989" s="8"/>
    </row>
    <row r="1990">
      <c r="A1990" s="9" t="str">
        <f t="shared" si="2319"/>
        <v/>
      </c>
      <c r="B1990" s="9" t="str">
        <f>IF(ISBLANK(A1988),"",LEFT(B1989,27)&amp;VALUE(RIGHT(B1989,1)+1))</f>
        <v/>
      </c>
      <c r="C1990" s="6" t="str">
        <f t="shared" ref="C1990:D1990" si="2320">C1989</f>
        <v/>
      </c>
      <c r="D1990" s="6" t="str">
        <f t="shared" si="2320"/>
        <v/>
      </c>
      <c r="E1990" s="10" t="str">
        <f>IF(ISBLANK(A1988),"",E1989+1)</f>
        <v/>
      </c>
      <c r="F1990" s="18" t="str">
        <f t="shared" si="2321"/>
        <v/>
      </c>
      <c r="G1990" s="8"/>
    </row>
    <row r="1991">
      <c r="A1991" s="9" t="str">
        <f t="shared" si="2319"/>
        <v/>
      </c>
      <c r="B1991" s="9" t="str">
        <f>IF(ISBLANK(A1988),"",LEFT(B1990,27)&amp;VALUE(RIGHT(B1990,1)+1))</f>
        <v/>
      </c>
      <c r="C1991" s="6" t="str">
        <f t="shared" ref="C1991:D1991" si="2322">C1990</f>
        <v/>
      </c>
      <c r="D1991" s="6" t="str">
        <f t="shared" si="2322"/>
        <v/>
      </c>
      <c r="E1991" s="10" t="str">
        <f>IF(ISBLANK(A1988),"",E1990+1)</f>
        <v/>
      </c>
      <c r="F1991" s="18" t="str">
        <f t="shared" si="2321"/>
        <v/>
      </c>
      <c r="G1991" s="8"/>
    </row>
    <row r="1992">
      <c r="A1992" s="9" t="str">
        <f t="shared" si="2319"/>
        <v/>
      </c>
      <c r="B1992" s="9" t="str">
        <f>IF(ISBLANK(A1988),"",LEFT(B1991,27)&amp;VALUE(RIGHT(B1991,1)+1))</f>
        <v/>
      </c>
      <c r="C1992" s="6" t="str">
        <f t="shared" ref="C1992:D1992" si="2323">C1991</f>
        <v/>
      </c>
      <c r="D1992" s="6" t="str">
        <f t="shared" si="2323"/>
        <v/>
      </c>
      <c r="E1992" s="10" t="str">
        <f>IF(ISBLANK(A1988),"",E1991+1)</f>
        <v/>
      </c>
      <c r="F1992" s="18" t="str">
        <f t="shared" si="2321"/>
        <v/>
      </c>
      <c r="G1992" s="8"/>
    </row>
    <row r="1993">
      <c r="A1993" s="12" t="str">
        <f t="shared" si="2319"/>
        <v/>
      </c>
      <c r="B1993" s="12" t="str">
        <f>IF(ISBLANK(A1988),"",LEFT(B1992,27)&amp;VALUE(RIGHT(B1992,1)+1))</f>
        <v/>
      </c>
      <c r="C1993" s="13" t="str">
        <f t="shared" ref="C1993:D1993" si="2324">C1992</f>
        <v/>
      </c>
      <c r="D1993" s="13" t="str">
        <f t="shared" si="2324"/>
        <v/>
      </c>
      <c r="E1993" s="14" t="str">
        <f>IF(ISBLANK(A1988),"",E1992+1)</f>
        <v/>
      </c>
      <c r="F1993" s="19" t="str">
        <f t="shared" si="2321"/>
        <v/>
      </c>
      <c r="G1993" s="16"/>
    </row>
    <row r="1994">
      <c r="A1994" s="5"/>
      <c r="B1994" s="6" t="str">
        <f>IF(ISBLANK(A1994),"",VLOOKUP($A1994,'Data Feed (20C)'!$A$1:$G$14,2,FALSE))</f>
        <v/>
      </c>
      <c r="C1994" s="6" t="str">
        <f>IF(ISBLANK(A1994),"",VLOOKUP($A1994,'Data Feed (20C)'!$A$1:$G$14,3,FALSE))</f>
        <v/>
      </c>
      <c r="D1994" s="6" t="str">
        <f>IF(ISBLANK(A1994),"",VLOOKUP($A1994,'Data Feed (20C)'!$A$1:$G$14,4,FALSE))</f>
        <v/>
      </c>
      <c r="E1994" s="6" t="str">
        <f>IF(ISBLANK(A1994),"",VLOOKUP($A1994,'Data Feed (20C)'!$A$1:$G$14,7,FALSE))</f>
        <v/>
      </c>
      <c r="F1994" s="17"/>
      <c r="G1994" s="8"/>
    </row>
    <row r="1995">
      <c r="A1995" s="9" t="str">
        <f t="shared" ref="A1995:A1999" si="2326">A1994</f>
        <v/>
      </c>
      <c r="B1995" s="9" t="str">
        <f>IF(ISBLANK(A1994),"",LEFT(B1994,27)&amp;VALUE(RIGHT(B1994,1)+1))</f>
        <v/>
      </c>
      <c r="C1995" s="6" t="str">
        <f t="shared" ref="C1995:D1995" si="2325">C1994</f>
        <v/>
      </c>
      <c r="D1995" s="6" t="str">
        <f t="shared" si="2325"/>
        <v/>
      </c>
      <c r="E1995" s="10" t="str">
        <f>IF(ISBLANK(A1994),"",E1994+1)</f>
        <v/>
      </c>
      <c r="F1995" s="18" t="str">
        <f t="shared" ref="F1995:F1999" si="2328">F1994</f>
        <v/>
      </c>
      <c r="G1995" s="8"/>
    </row>
    <row r="1996">
      <c r="A1996" s="9" t="str">
        <f t="shared" si="2326"/>
        <v/>
      </c>
      <c r="B1996" s="9" t="str">
        <f>IF(ISBLANK(A1994),"",LEFT(B1995,27)&amp;VALUE(RIGHT(B1995,1)+1))</f>
        <v/>
      </c>
      <c r="C1996" s="6" t="str">
        <f t="shared" ref="C1996:D1996" si="2327">C1995</f>
        <v/>
      </c>
      <c r="D1996" s="6" t="str">
        <f t="shared" si="2327"/>
        <v/>
      </c>
      <c r="E1996" s="10" t="str">
        <f>IF(ISBLANK(A1994),"",E1995+1)</f>
        <v/>
      </c>
      <c r="F1996" s="18" t="str">
        <f t="shared" si="2328"/>
        <v/>
      </c>
      <c r="G1996" s="8"/>
    </row>
    <row r="1997">
      <c r="A1997" s="9" t="str">
        <f t="shared" si="2326"/>
        <v/>
      </c>
      <c r="B1997" s="9" t="str">
        <f>IF(ISBLANK(A1994),"",LEFT(B1996,27)&amp;VALUE(RIGHT(B1996,1)+1))</f>
        <v/>
      </c>
      <c r="C1997" s="6" t="str">
        <f t="shared" ref="C1997:D1997" si="2329">C1996</f>
        <v/>
      </c>
      <c r="D1997" s="6" t="str">
        <f t="shared" si="2329"/>
        <v/>
      </c>
      <c r="E1997" s="10" t="str">
        <f>IF(ISBLANK(A1994),"",E1996+1)</f>
        <v/>
      </c>
      <c r="F1997" s="18" t="str">
        <f t="shared" si="2328"/>
        <v/>
      </c>
      <c r="G1997" s="8"/>
    </row>
    <row r="1998">
      <c r="A1998" s="9" t="str">
        <f t="shared" si="2326"/>
        <v/>
      </c>
      <c r="B1998" s="9" t="str">
        <f>IF(ISBLANK(A1994),"",LEFT(B1997,27)&amp;VALUE(RIGHT(B1997,1)+1))</f>
        <v/>
      </c>
      <c r="C1998" s="6" t="str">
        <f t="shared" ref="C1998:D1998" si="2330">C1997</f>
        <v/>
      </c>
      <c r="D1998" s="6" t="str">
        <f t="shared" si="2330"/>
        <v/>
      </c>
      <c r="E1998" s="10" t="str">
        <f>IF(ISBLANK(A1994),"",E1997+1)</f>
        <v/>
      </c>
      <c r="F1998" s="18" t="str">
        <f t="shared" si="2328"/>
        <v/>
      </c>
      <c r="G1998" s="8"/>
    </row>
    <row r="1999">
      <c r="A1999" s="12" t="str">
        <f t="shared" si="2326"/>
        <v/>
      </c>
      <c r="B1999" s="12" t="str">
        <f>IF(ISBLANK(A1994),"",LEFT(B1998,27)&amp;VALUE(RIGHT(B1998,1)+1))</f>
        <v/>
      </c>
      <c r="C1999" s="13" t="str">
        <f t="shared" ref="C1999:D1999" si="2331">C1998</f>
        <v/>
      </c>
      <c r="D1999" s="13" t="str">
        <f t="shared" si="2331"/>
        <v/>
      </c>
      <c r="E1999" s="14" t="str">
        <f>IF(ISBLANK(A1994),"",E1998+1)</f>
        <v/>
      </c>
      <c r="F1999" s="19" t="str">
        <f t="shared" si="2328"/>
        <v/>
      </c>
      <c r="G1999" s="16"/>
    </row>
    <row r="2000">
      <c r="A2000" s="5"/>
      <c r="B2000" s="6" t="str">
        <f>IF(ISBLANK(A2000),"",VLOOKUP($A2000,'Data Feed (20C)'!$A$1:$G$14,2,FALSE))</f>
        <v/>
      </c>
      <c r="C2000" s="6" t="str">
        <f>IF(ISBLANK(A2000),"",VLOOKUP($A2000,'Data Feed (20C)'!$A$1:$G$14,3,FALSE))</f>
        <v/>
      </c>
      <c r="D2000" s="6" t="str">
        <f>IF(ISBLANK(A2000),"",VLOOKUP($A2000,'Data Feed (20C)'!$A$1:$G$14,4,FALSE))</f>
        <v/>
      </c>
      <c r="E2000" s="6" t="str">
        <f>IF(ISBLANK(A2000),"",VLOOKUP($A2000,'Data Feed (20C)'!$A$1:$G$14,7,FALSE))</f>
        <v/>
      </c>
      <c r="F2000" s="17"/>
      <c r="G2000" s="8"/>
    </row>
    <row r="2001">
      <c r="A2001" s="9" t="str">
        <f t="shared" ref="A2001:A2005" si="2333">A2000</f>
        <v/>
      </c>
      <c r="B2001" s="9" t="str">
        <f>IF(ISBLANK(A2000),"",LEFT(B2000,27)&amp;VALUE(RIGHT(B2000,1)+1))</f>
        <v/>
      </c>
      <c r="C2001" s="6" t="str">
        <f t="shared" ref="C2001:D2001" si="2332">C2000</f>
        <v/>
      </c>
      <c r="D2001" s="6" t="str">
        <f t="shared" si="2332"/>
        <v/>
      </c>
      <c r="E2001" s="10" t="str">
        <f>IF(ISBLANK(A2000),"",E2000+1)</f>
        <v/>
      </c>
      <c r="F2001" s="18" t="str">
        <f t="shared" ref="F2001:F2005" si="2335">F2000</f>
        <v/>
      </c>
      <c r="G2001" s="8"/>
    </row>
    <row r="2002">
      <c r="A2002" s="9" t="str">
        <f t="shared" si="2333"/>
        <v/>
      </c>
      <c r="B2002" s="9" t="str">
        <f>IF(ISBLANK(A2000),"",LEFT(B2001,27)&amp;VALUE(RIGHT(B2001,1)+1))</f>
        <v/>
      </c>
      <c r="C2002" s="6" t="str">
        <f t="shared" ref="C2002:D2002" si="2334">C2001</f>
        <v/>
      </c>
      <c r="D2002" s="6" t="str">
        <f t="shared" si="2334"/>
        <v/>
      </c>
      <c r="E2002" s="10" t="str">
        <f>IF(ISBLANK(A2000),"",E2001+1)</f>
        <v/>
      </c>
      <c r="F2002" s="18" t="str">
        <f t="shared" si="2335"/>
        <v/>
      </c>
      <c r="G2002" s="8"/>
    </row>
    <row r="2003">
      <c r="A2003" s="9" t="str">
        <f t="shared" si="2333"/>
        <v/>
      </c>
      <c r="B2003" s="9" t="str">
        <f>IF(ISBLANK(A2000),"",LEFT(B2002,27)&amp;VALUE(RIGHT(B2002,1)+1))</f>
        <v/>
      </c>
      <c r="C2003" s="6" t="str">
        <f t="shared" ref="C2003:D2003" si="2336">C2002</f>
        <v/>
      </c>
      <c r="D2003" s="6" t="str">
        <f t="shared" si="2336"/>
        <v/>
      </c>
      <c r="E2003" s="10" t="str">
        <f>IF(ISBLANK(A2000),"",E2002+1)</f>
        <v/>
      </c>
      <c r="F2003" s="18" t="str">
        <f t="shared" si="2335"/>
        <v/>
      </c>
      <c r="G2003" s="8"/>
    </row>
    <row r="2004">
      <c r="A2004" s="9" t="str">
        <f t="shared" si="2333"/>
        <v/>
      </c>
      <c r="B2004" s="9" t="str">
        <f>IF(ISBLANK(A2000),"",LEFT(B2003,27)&amp;VALUE(RIGHT(B2003,1)+1))</f>
        <v/>
      </c>
      <c r="C2004" s="6" t="str">
        <f t="shared" ref="C2004:D2004" si="2337">C2003</f>
        <v/>
      </c>
      <c r="D2004" s="6" t="str">
        <f t="shared" si="2337"/>
        <v/>
      </c>
      <c r="E2004" s="10" t="str">
        <f>IF(ISBLANK(A2000),"",E2003+1)</f>
        <v/>
      </c>
      <c r="F2004" s="18" t="str">
        <f t="shared" si="2335"/>
        <v/>
      </c>
      <c r="G2004" s="8"/>
    </row>
    <row r="2005">
      <c r="A2005" s="12" t="str">
        <f t="shared" si="2333"/>
        <v/>
      </c>
      <c r="B2005" s="12" t="str">
        <f>IF(ISBLANK(A2000),"",LEFT(B2004,27)&amp;VALUE(RIGHT(B2004,1)+1))</f>
        <v/>
      </c>
      <c r="C2005" s="13" t="str">
        <f t="shared" ref="C2005:D2005" si="2338">C2004</f>
        <v/>
      </c>
      <c r="D2005" s="13" t="str">
        <f t="shared" si="2338"/>
        <v/>
      </c>
      <c r="E2005" s="14" t="str">
        <f>IF(ISBLANK(A2000),"",E2004+1)</f>
        <v/>
      </c>
      <c r="F2005" s="19" t="str">
        <f t="shared" si="2335"/>
        <v/>
      </c>
      <c r="G2005" s="16"/>
    </row>
    <row r="2006">
      <c r="A2006" s="5"/>
      <c r="B2006" s="6" t="str">
        <f>IF(ISBLANK(A2006),"",VLOOKUP($A2006,'Data Feed (20C)'!$A$1:$G$14,2,FALSE))</f>
        <v/>
      </c>
      <c r="C2006" s="6" t="str">
        <f>IF(ISBLANK(A2006),"",VLOOKUP($A2006,'Data Feed (20C)'!$A$1:$G$14,3,FALSE))</f>
        <v/>
      </c>
      <c r="D2006" s="6" t="str">
        <f>IF(ISBLANK(A2006),"",VLOOKUP($A2006,'Data Feed (20C)'!$A$1:$G$14,4,FALSE))</f>
        <v/>
      </c>
      <c r="E2006" s="6" t="str">
        <f>IF(ISBLANK(A2006),"",VLOOKUP($A2006,'Data Feed (20C)'!$A$1:$G$14,7,FALSE))</f>
        <v/>
      </c>
      <c r="F2006" s="17"/>
      <c r="G2006" s="8"/>
    </row>
    <row r="2007">
      <c r="A2007" s="9" t="str">
        <f t="shared" ref="A2007:A2011" si="2340">A2006</f>
        <v/>
      </c>
      <c r="B2007" s="9" t="str">
        <f>IF(ISBLANK(A2006),"",LEFT(B2006,27)&amp;VALUE(RIGHT(B2006,1)+1))</f>
        <v/>
      </c>
      <c r="C2007" s="6" t="str">
        <f t="shared" ref="C2007:D2007" si="2339">C2006</f>
        <v/>
      </c>
      <c r="D2007" s="6" t="str">
        <f t="shared" si="2339"/>
        <v/>
      </c>
      <c r="E2007" s="10" t="str">
        <f>IF(ISBLANK(A2006),"",E2006+1)</f>
        <v/>
      </c>
      <c r="F2007" s="18" t="str">
        <f t="shared" ref="F2007:F2011" si="2342">F2006</f>
        <v/>
      </c>
      <c r="G2007" s="8"/>
    </row>
    <row r="2008">
      <c r="A2008" s="9" t="str">
        <f t="shared" si="2340"/>
        <v/>
      </c>
      <c r="B2008" s="9" t="str">
        <f>IF(ISBLANK(A2006),"",LEFT(B2007,27)&amp;VALUE(RIGHT(B2007,1)+1))</f>
        <v/>
      </c>
      <c r="C2008" s="6" t="str">
        <f t="shared" ref="C2008:D2008" si="2341">C2007</f>
        <v/>
      </c>
      <c r="D2008" s="6" t="str">
        <f t="shared" si="2341"/>
        <v/>
      </c>
      <c r="E2008" s="10" t="str">
        <f>IF(ISBLANK(A2006),"",E2007+1)</f>
        <v/>
      </c>
      <c r="F2008" s="18" t="str">
        <f t="shared" si="2342"/>
        <v/>
      </c>
      <c r="G2008" s="8"/>
    </row>
    <row r="2009">
      <c r="A2009" s="9" t="str">
        <f t="shared" si="2340"/>
        <v/>
      </c>
      <c r="B2009" s="9" t="str">
        <f>IF(ISBLANK(A2006),"",LEFT(B2008,27)&amp;VALUE(RIGHT(B2008,1)+1))</f>
        <v/>
      </c>
      <c r="C2009" s="6" t="str">
        <f t="shared" ref="C2009:D2009" si="2343">C2008</f>
        <v/>
      </c>
      <c r="D2009" s="6" t="str">
        <f t="shared" si="2343"/>
        <v/>
      </c>
      <c r="E2009" s="10" t="str">
        <f>IF(ISBLANK(A2006),"",E2008+1)</f>
        <v/>
      </c>
      <c r="F2009" s="18" t="str">
        <f t="shared" si="2342"/>
        <v/>
      </c>
      <c r="G2009" s="8"/>
    </row>
    <row r="2010">
      <c r="A2010" s="9" t="str">
        <f t="shared" si="2340"/>
        <v/>
      </c>
      <c r="B2010" s="9" t="str">
        <f>IF(ISBLANK(A2006),"",LEFT(B2009,27)&amp;VALUE(RIGHT(B2009,1)+1))</f>
        <v/>
      </c>
      <c r="C2010" s="6" t="str">
        <f t="shared" ref="C2010:D2010" si="2344">C2009</f>
        <v/>
      </c>
      <c r="D2010" s="6" t="str">
        <f t="shared" si="2344"/>
        <v/>
      </c>
      <c r="E2010" s="10" t="str">
        <f>IF(ISBLANK(A2006),"",E2009+1)</f>
        <v/>
      </c>
      <c r="F2010" s="18" t="str">
        <f t="shared" si="2342"/>
        <v/>
      </c>
      <c r="G2010" s="8"/>
    </row>
    <row r="2011">
      <c r="A2011" s="12" t="str">
        <f t="shared" si="2340"/>
        <v/>
      </c>
      <c r="B2011" s="12" t="str">
        <f>IF(ISBLANK(A2006),"",LEFT(B2010,27)&amp;VALUE(RIGHT(B2010,1)+1))</f>
        <v/>
      </c>
      <c r="C2011" s="13" t="str">
        <f t="shared" ref="C2011:D2011" si="2345">C2010</f>
        <v/>
      </c>
      <c r="D2011" s="13" t="str">
        <f t="shared" si="2345"/>
        <v/>
      </c>
      <c r="E2011" s="14" t="str">
        <f>IF(ISBLANK(A2006),"",E2010+1)</f>
        <v/>
      </c>
      <c r="F2011" s="19" t="str">
        <f t="shared" si="2342"/>
        <v/>
      </c>
      <c r="G2011" s="16"/>
    </row>
    <row r="2012">
      <c r="A2012" s="5"/>
      <c r="B2012" s="6" t="str">
        <f>IF(ISBLANK(A2012),"",VLOOKUP($A2012,'Data Feed (20C)'!$A$1:$G$14,2,FALSE))</f>
        <v/>
      </c>
      <c r="C2012" s="6" t="str">
        <f>IF(ISBLANK(A2012),"",VLOOKUP($A2012,'Data Feed (20C)'!$A$1:$G$14,3,FALSE))</f>
        <v/>
      </c>
      <c r="D2012" s="6" t="str">
        <f>IF(ISBLANK(A2012),"",VLOOKUP($A2012,'Data Feed (20C)'!$A$1:$G$14,4,FALSE))</f>
        <v/>
      </c>
      <c r="E2012" s="6" t="str">
        <f>IF(ISBLANK(A2012),"",VLOOKUP($A2012,'Data Feed (20C)'!$A$1:$G$14,7,FALSE))</f>
        <v/>
      </c>
      <c r="F2012" s="17"/>
      <c r="G2012" s="8"/>
    </row>
    <row r="2013">
      <c r="A2013" s="9" t="str">
        <f t="shared" ref="A2013:A2017" si="2347">A2012</f>
        <v/>
      </c>
      <c r="B2013" s="9" t="str">
        <f>IF(ISBLANK(A2012),"",LEFT(B2012,27)&amp;VALUE(RIGHT(B2012,1)+1))</f>
        <v/>
      </c>
      <c r="C2013" s="6" t="str">
        <f t="shared" ref="C2013:D2013" si="2346">C2012</f>
        <v/>
      </c>
      <c r="D2013" s="6" t="str">
        <f t="shared" si="2346"/>
        <v/>
      </c>
      <c r="E2013" s="10" t="str">
        <f>IF(ISBLANK(A2012),"",E2012+1)</f>
        <v/>
      </c>
      <c r="F2013" s="18" t="str">
        <f t="shared" ref="F2013:F2017" si="2349">F2012</f>
        <v/>
      </c>
      <c r="G2013" s="8"/>
    </row>
    <row r="2014">
      <c r="A2014" s="9" t="str">
        <f t="shared" si="2347"/>
        <v/>
      </c>
      <c r="B2014" s="9" t="str">
        <f>IF(ISBLANK(A2012),"",LEFT(B2013,27)&amp;VALUE(RIGHT(B2013,1)+1))</f>
        <v/>
      </c>
      <c r="C2014" s="6" t="str">
        <f t="shared" ref="C2014:D2014" si="2348">C2013</f>
        <v/>
      </c>
      <c r="D2014" s="6" t="str">
        <f t="shared" si="2348"/>
        <v/>
      </c>
      <c r="E2014" s="10" t="str">
        <f>IF(ISBLANK(A2012),"",E2013+1)</f>
        <v/>
      </c>
      <c r="F2014" s="18" t="str">
        <f t="shared" si="2349"/>
        <v/>
      </c>
      <c r="G2014" s="8"/>
    </row>
    <row r="2015">
      <c r="A2015" s="9" t="str">
        <f t="shared" si="2347"/>
        <v/>
      </c>
      <c r="B2015" s="9" t="str">
        <f>IF(ISBLANK(A2012),"",LEFT(B2014,27)&amp;VALUE(RIGHT(B2014,1)+1))</f>
        <v/>
      </c>
      <c r="C2015" s="6" t="str">
        <f t="shared" ref="C2015:D2015" si="2350">C2014</f>
        <v/>
      </c>
      <c r="D2015" s="6" t="str">
        <f t="shared" si="2350"/>
        <v/>
      </c>
      <c r="E2015" s="10" t="str">
        <f>IF(ISBLANK(A2012),"",E2014+1)</f>
        <v/>
      </c>
      <c r="F2015" s="18" t="str">
        <f t="shared" si="2349"/>
        <v/>
      </c>
      <c r="G2015" s="8"/>
    </row>
    <row r="2016">
      <c r="A2016" s="9" t="str">
        <f t="shared" si="2347"/>
        <v/>
      </c>
      <c r="B2016" s="9" t="str">
        <f>IF(ISBLANK(A2012),"",LEFT(B2015,27)&amp;VALUE(RIGHT(B2015,1)+1))</f>
        <v/>
      </c>
      <c r="C2016" s="6" t="str">
        <f t="shared" ref="C2016:D2016" si="2351">C2015</f>
        <v/>
      </c>
      <c r="D2016" s="6" t="str">
        <f t="shared" si="2351"/>
        <v/>
      </c>
      <c r="E2016" s="10" t="str">
        <f>IF(ISBLANK(A2012),"",E2015+1)</f>
        <v/>
      </c>
      <c r="F2016" s="18" t="str">
        <f t="shared" si="2349"/>
        <v/>
      </c>
      <c r="G2016" s="8"/>
    </row>
    <row r="2017">
      <c r="A2017" s="12" t="str">
        <f t="shared" si="2347"/>
        <v/>
      </c>
      <c r="B2017" s="12" t="str">
        <f>IF(ISBLANK(A2012),"",LEFT(B2016,27)&amp;VALUE(RIGHT(B2016,1)+1))</f>
        <v/>
      </c>
      <c r="C2017" s="13" t="str">
        <f t="shared" ref="C2017:D2017" si="2352">C2016</f>
        <v/>
      </c>
      <c r="D2017" s="13" t="str">
        <f t="shared" si="2352"/>
        <v/>
      </c>
      <c r="E2017" s="14" t="str">
        <f>IF(ISBLANK(A2012),"",E2016+1)</f>
        <v/>
      </c>
      <c r="F2017" s="19" t="str">
        <f t="shared" si="2349"/>
        <v/>
      </c>
      <c r="G2017" s="16"/>
    </row>
    <row r="2018">
      <c r="A2018" s="5"/>
      <c r="B2018" s="6" t="str">
        <f>IF(ISBLANK(A2018),"",VLOOKUP($A2018,'Data Feed (20C)'!$A$1:$G$14,2,FALSE))</f>
        <v/>
      </c>
      <c r="C2018" s="6" t="str">
        <f>IF(ISBLANK(A2018),"",VLOOKUP($A2018,'Data Feed (20C)'!$A$1:$G$14,3,FALSE))</f>
        <v/>
      </c>
      <c r="D2018" s="6" t="str">
        <f>IF(ISBLANK(A2018),"",VLOOKUP($A2018,'Data Feed (20C)'!$A$1:$G$14,4,FALSE))</f>
        <v/>
      </c>
      <c r="E2018" s="6" t="str">
        <f>IF(ISBLANK(A2018),"",VLOOKUP($A2018,'Data Feed (20C)'!$A$1:$G$14,7,FALSE))</f>
        <v/>
      </c>
      <c r="F2018" s="17"/>
      <c r="G2018" s="8"/>
    </row>
    <row r="2019">
      <c r="A2019" s="9" t="str">
        <f t="shared" ref="A2019:A2023" si="2354">A2018</f>
        <v/>
      </c>
      <c r="B2019" s="9" t="str">
        <f>IF(ISBLANK(A2018),"",LEFT(B2018,27)&amp;VALUE(RIGHT(B2018,1)+1))</f>
        <v/>
      </c>
      <c r="C2019" s="6" t="str">
        <f t="shared" ref="C2019:D2019" si="2353">C2018</f>
        <v/>
      </c>
      <c r="D2019" s="6" t="str">
        <f t="shared" si="2353"/>
        <v/>
      </c>
      <c r="E2019" s="10" t="str">
        <f>IF(ISBLANK(A2018),"",E2018+1)</f>
        <v/>
      </c>
      <c r="F2019" s="18" t="str">
        <f t="shared" ref="F2019:F2023" si="2356">F2018</f>
        <v/>
      </c>
      <c r="G2019" s="8"/>
    </row>
    <row r="2020">
      <c r="A2020" s="9" t="str">
        <f t="shared" si="2354"/>
        <v/>
      </c>
      <c r="B2020" s="9" t="str">
        <f>IF(ISBLANK(A2018),"",LEFT(B2019,27)&amp;VALUE(RIGHT(B2019,1)+1))</f>
        <v/>
      </c>
      <c r="C2020" s="6" t="str">
        <f t="shared" ref="C2020:D2020" si="2355">C2019</f>
        <v/>
      </c>
      <c r="D2020" s="6" t="str">
        <f t="shared" si="2355"/>
        <v/>
      </c>
      <c r="E2020" s="10" t="str">
        <f>IF(ISBLANK(A2018),"",E2019+1)</f>
        <v/>
      </c>
      <c r="F2020" s="18" t="str">
        <f t="shared" si="2356"/>
        <v/>
      </c>
      <c r="G2020" s="8"/>
    </row>
    <row r="2021">
      <c r="A2021" s="9" t="str">
        <f t="shared" si="2354"/>
        <v/>
      </c>
      <c r="B2021" s="9" t="str">
        <f>IF(ISBLANK(A2018),"",LEFT(B2020,27)&amp;VALUE(RIGHT(B2020,1)+1))</f>
        <v/>
      </c>
      <c r="C2021" s="6" t="str">
        <f t="shared" ref="C2021:D2021" si="2357">C2020</f>
        <v/>
      </c>
      <c r="D2021" s="6" t="str">
        <f t="shared" si="2357"/>
        <v/>
      </c>
      <c r="E2021" s="10" t="str">
        <f>IF(ISBLANK(A2018),"",E2020+1)</f>
        <v/>
      </c>
      <c r="F2021" s="18" t="str">
        <f t="shared" si="2356"/>
        <v/>
      </c>
      <c r="G2021" s="8"/>
    </row>
    <row r="2022">
      <c r="A2022" s="9" t="str">
        <f t="shared" si="2354"/>
        <v/>
      </c>
      <c r="B2022" s="9" t="str">
        <f>IF(ISBLANK(A2018),"",LEFT(B2021,27)&amp;VALUE(RIGHT(B2021,1)+1))</f>
        <v/>
      </c>
      <c r="C2022" s="6" t="str">
        <f t="shared" ref="C2022:D2022" si="2358">C2021</f>
        <v/>
      </c>
      <c r="D2022" s="6" t="str">
        <f t="shared" si="2358"/>
        <v/>
      </c>
      <c r="E2022" s="10" t="str">
        <f>IF(ISBLANK(A2018),"",E2021+1)</f>
        <v/>
      </c>
      <c r="F2022" s="18" t="str">
        <f t="shared" si="2356"/>
        <v/>
      </c>
      <c r="G2022" s="8"/>
    </row>
    <row r="2023">
      <c r="A2023" s="12" t="str">
        <f t="shared" si="2354"/>
        <v/>
      </c>
      <c r="B2023" s="12" t="str">
        <f>IF(ISBLANK(A2018),"",LEFT(B2022,27)&amp;VALUE(RIGHT(B2022,1)+1))</f>
        <v/>
      </c>
      <c r="C2023" s="13" t="str">
        <f t="shared" ref="C2023:D2023" si="2359">C2022</f>
        <v/>
      </c>
      <c r="D2023" s="13" t="str">
        <f t="shared" si="2359"/>
        <v/>
      </c>
      <c r="E2023" s="14" t="str">
        <f>IF(ISBLANK(A2018),"",E2022+1)</f>
        <v/>
      </c>
      <c r="F2023" s="19" t="str">
        <f t="shared" si="2356"/>
        <v/>
      </c>
      <c r="G2023" s="16"/>
    </row>
    <row r="2024">
      <c r="A2024" s="5"/>
      <c r="B2024" s="6" t="str">
        <f>IF(ISBLANK(A2024),"",VLOOKUP($A2024,'Data Feed (20C)'!$A$1:$G$14,2,FALSE))</f>
        <v/>
      </c>
      <c r="C2024" s="6" t="str">
        <f>IF(ISBLANK(A2024),"",VLOOKUP($A2024,'Data Feed (20C)'!$A$1:$G$14,3,FALSE))</f>
        <v/>
      </c>
      <c r="D2024" s="6" t="str">
        <f>IF(ISBLANK(A2024),"",VLOOKUP($A2024,'Data Feed (20C)'!$A$1:$G$14,4,FALSE))</f>
        <v/>
      </c>
      <c r="E2024" s="6" t="str">
        <f>IF(ISBLANK(A2024),"",VLOOKUP($A2024,'Data Feed (20C)'!$A$1:$G$14,7,FALSE))</f>
        <v/>
      </c>
      <c r="F2024" s="17"/>
      <c r="G2024" s="8"/>
    </row>
    <row r="2025">
      <c r="A2025" s="9" t="str">
        <f t="shared" ref="A2025:A2029" si="2361">A2024</f>
        <v/>
      </c>
      <c r="B2025" s="9" t="str">
        <f>IF(ISBLANK(A2024),"",LEFT(B2024,27)&amp;VALUE(RIGHT(B2024,1)+1))</f>
        <v/>
      </c>
      <c r="C2025" s="6" t="str">
        <f t="shared" ref="C2025:D2025" si="2360">C2024</f>
        <v/>
      </c>
      <c r="D2025" s="6" t="str">
        <f t="shared" si="2360"/>
        <v/>
      </c>
      <c r="E2025" s="10" t="str">
        <f>IF(ISBLANK(A2024),"",E2024+1)</f>
        <v/>
      </c>
      <c r="F2025" s="18" t="str">
        <f t="shared" ref="F2025:F2029" si="2363">F2024</f>
        <v/>
      </c>
      <c r="G2025" s="8"/>
    </row>
    <row r="2026">
      <c r="A2026" s="9" t="str">
        <f t="shared" si="2361"/>
        <v/>
      </c>
      <c r="B2026" s="9" t="str">
        <f>IF(ISBLANK(A2024),"",LEFT(B2025,27)&amp;VALUE(RIGHT(B2025,1)+1))</f>
        <v/>
      </c>
      <c r="C2026" s="6" t="str">
        <f t="shared" ref="C2026:D2026" si="2362">C2025</f>
        <v/>
      </c>
      <c r="D2026" s="6" t="str">
        <f t="shared" si="2362"/>
        <v/>
      </c>
      <c r="E2026" s="10" t="str">
        <f>IF(ISBLANK(A2024),"",E2025+1)</f>
        <v/>
      </c>
      <c r="F2026" s="18" t="str">
        <f t="shared" si="2363"/>
        <v/>
      </c>
      <c r="G2026" s="8"/>
    </row>
    <row r="2027">
      <c r="A2027" s="9" t="str">
        <f t="shared" si="2361"/>
        <v/>
      </c>
      <c r="B2027" s="9" t="str">
        <f>IF(ISBLANK(A2024),"",LEFT(B2026,27)&amp;VALUE(RIGHT(B2026,1)+1))</f>
        <v/>
      </c>
      <c r="C2027" s="6" t="str">
        <f t="shared" ref="C2027:D2027" si="2364">C2026</f>
        <v/>
      </c>
      <c r="D2027" s="6" t="str">
        <f t="shared" si="2364"/>
        <v/>
      </c>
      <c r="E2027" s="10" t="str">
        <f>IF(ISBLANK(A2024),"",E2026+1)</f>
        <v/>
      </c>
      <c r="F2027" s="18" t="str">
        <f t="shared" si="2363"/>
        <v/>
      </c>
      <c r="G2027" s="8"/>
    </row>
    <row r="2028">
      <c r="A2028" s="9" t="str">
        <f t="shared" si="2361"/>
        <v/>
      </c>
      <c r="B2028" s="9" t="str">
        <f>IF(ISBLANK(A2024),"",LEFT(B2027,27)&amp;VALUE(RIGHT(B2027,1)+1))</f>
        <v/>
      </c>
      <c r="C2028" s="6" t="str">
        <f t="shared" ref="C2028:D2028" si="2365">C2027</f>
        <v/>
      </c>
      <c r="D2028" s="6" t="str">
        <f t="shared" si="2365"/>
        <v/>
      </c>
      <c r="E2028" s="10" t="str">
        <f>IF(ISBLANK(A2024),"",E2027+1)</f>
        <v/>
      </c>
      <c r="F2028" s="18" t="str">
        <f t="shared" si="2363"/>
        <v/>
      </c>
      <c r="G2028" s="8"/>
    </row>
    <row r="2029">
      <c r="A2029" s="12" t="str">
        <f t="shared" si="2361"/>
        <v/>
      </c>
      <c r="B2029" s="12" t="str">
        <f>IF(ISBLANK(A2024),"",LEFT(B2028,27)&amp;VALUE(RIGHT(B2028,1)+1))</f>
        <v/>
      </c>
      <c r="C2029" s="13" t="str">
        <f t="shared" ref="C2029:D2029" si="2366">C2028</f>
        <v/>
      </c>
      <c r="D2029" s="13" t="str">
        <f t="shared" si="2366"/>
        <v/>
      </c>
      <c r="E2029" s="14" t="str">
        <f>IF(ISBLANK(A2024),"",E2028+1)</f>
        <v/>
      </c>
      <c r="F2029" s="19" t="str">
        <f t="shared" si="2363"/>
        <v/>
      </c>
      <c r="G2029" s="16"/>
    </row>
    <row r="2030">
      <c r="A2030" s="5"/>
      <c r="B2030" s="6" t="str">
        <f>IF(ISBLANK(A2030),"",VLOOKUP($A2030,'Data Feed (20C)'!$A$1:$G$14,2,FALSE))</f>
        <v/>
      </c>
      <c r="C2030" s="6" t="str">
        <f>IF(ISBLANK(A2030),"",VLOOKUP($A2030,'Data Feed (20C)'!$A$1:$G$14,3,FALSE))</f>
        <v/>
      </c>
      <c r="D2030" s="6" t="str">
        <f>IF(ISBLANK(A2030),"",VLOOKUP($A2030,'Data Feed (20C)'!$A$1:$G$14,4,FALSE))</f>
        <v/>
      </c>
      <c r="E2030" s="6" t="str">
        <f>IF(ISBLANK(A2030),"",VLOOKUP($A2030,'Data Feed (20C)'!$A$1:$G$14,7,FALSE))</f>
        <v/>
      </c>
      <c r="F2030" s="17"/>
      <c r="G2030" s="8"/>
    </row>
    <row r="2031">
      <c r="A2031" s="9" t="str">
        <f t="shared" ref="A2031:A2035" si="2368">A2030</f>
        <v/>
      </c>
      <c r="B2031" s="9" t="str">
        <f>IF(ISBLANK(A2030),"",LEFT(B2030,27)&amp;VALUE(RIGHT(B2030,1)+1))</f>
        <v/>
      </c>
      <c r="C2031" s="6" t="str">
        <f t="shared" ref="C2031:D2031" si="2367">C2030</f>
        <v/>
      </c>
      <c r="D2031" s="6" t="str">
        <f t="shared" si="2367"/>
        <v/>
      </c>
      <c r="E2031" s="10" t="str">
        <f>IF(ISBLANK(A2030),"",E2030+1)</f>
        <v/>
      </c>
      <c r="F2031" s="18" t="str">
        <f t="shared" ref="F2031:F2035" si="2370">F2030</f>
        <v/>
      </c>
      <c r="G2031" s="8"/>
    </row>
    <row r="2032">
      <c r="A2032" s="9" t="str">
        <f t="shared" si="2368"/>
        <v/>
      </c>
      <c r="B2032" s="9" t="str">
        <f>IF(ISBLANK(A2030),"",LEFT(B2031,27)&amp;VALUE(RIGHT(B2031,1)+1))</f>
        <v/>
      </c>
      <c r="C2032" s="6" t="str">
        <f t="shared" ref="C2032:D2032" si="2369">C2031</f>
        <v/>
      </c>
      <c r="D2032" s="6" t="str">
        <f t="shared" si="2369"/>
        <v/>
      </c>
      <c r="E2032" s="10" t="str">
        <f>IF(ISBLANK(A2030),"",E2031+1)</f>
        <v/>
      </c>
      <c r="F2032" s="18" t="str">
        <f t="shared" si="2370"/>
        <v/>
      </c>
      <c r="G2032" s="8"/>
    </row>
    <row r="2033">
      <c r="A2033" s="9" t="str">
        <f t="shared" si="2368"/>
        <v/>
      </c>
      <c r="B2033" s="9" t="str">
        <f>IF(ISBLANK(A2030),"",LEFT(B2032,27)&amp;VALUE(RIGHT(B2032,1)+1))</f>
        <v/>
      </c>
      <c r="C2033" s="6" t="str">
        <f t="shared" ref="C2033:D2033" si="2371">C2032</f>
        <v/>
      </c>
      <c r="D2033" s="6" t="str">
        <f t="shared" si="2371"/>
        <v/>
      </c>
      <c r="E2033" s="10" t="str">
        <f>IF(ISBLANK(A2030),"",E2032+1)</f>
        <v/>
      </c>
      <c r="F2033" s="18" t="str">
        <f t="shared" si="2370"/>
        <v/>
      </c>
      <c r="G2033" s="8"/>
    </row>
    <row r="2034">
      <c r="A2034" s="9" t="str">
        <f t="shared" si="2368"/>
        <v/>
      </c>
      <c r="B2034" s="9" t="str">
        <f>IF(ISBLANK(A2030),"",LEFT(B2033,27)&amp;VALUE(RIGHT(B2033,1)+1))</f>
        <v/>
      </c>
      <c r="C2034" s="6" t="str">
        <f t="shared" ref="C2034:D2034" si="2372">C2033</f>
        <v/>
      </c>
      <c r="D2034" s="6" t="str">
        <f t="shared" si="2372"/>
        <v/>
      </c>
      <c r="E2034" s="10" t="str">
        <f>IF(ISBLANK(A2030),"",E2033+1)</f>
        <v/>
      </c>
      <c r="F2034" s="18" t="str">
        <f t="shared" si="2370"/>
        <v/>
      </c>
      <c r="G2034" s="8"/>
    </row>
    <row r="2035">
      <c r="A2035" s="12" t="str">
        <f t="shared" si="2368"/>
        <v/>
      </c>
      <c r="B2035" s="12" t="str">
        <f>IF(ISBLANK(A2030),"",LEFT(B2034,27)&amp;VALUE(RIGHT(B2034,1)+1))</f>
        <v/>
      </c>
      <c r="C2035" s="13" t="str">
        <f t="shared" ref="C2035:D2035" si="2373">C2034</f>
        <v/>
      </c>
      <c r="D2035" s="13" t="str">
        <f t="shared" si="2373"/>
        <v/>
      </c>
      <c r="E2035" s="14" t="str">
        <f>IF(ISBLANK(A2030),"",E2034+1)</f>
        <v/>
      </c>
      <c r="F2035" s="19" t="str">
        <f t="shared" si="2370"/>
        <v/>
      </c>
      <c r="G2035" s="16"/>
    </row>
    <row r="2036">
      <c r="A2036" s="5"/>
      <c r="B2036" s="6" t="str">
        <f>IF(ISBLANK(A2036),"",VLOOKUP($A2036,'Data Feed (20C)'!$A$1:$G$14,2,FALSE))</f>
        <v/>
      </c>
      <c r="C2036" s="6" t="str">
        <f>IF(ISBLANK(A2036),"",VLOOKUP($A2036,'Data Feed (20C)'!$A$1:$G$14,3,FALSE))</f>
        <v/>
      </c>
      <c r="D2036" s="6" t="str">
        <f>IF(ISBLANK(A2036),"",VLOOKUP($A2036,'Data Feed (20C)'!$A$1:$G$14,4,FALSE))</f>
        <v/>
      </c>
      <c r="E2036" s="6" t="str">
        <f>IF(ISBLANK(A2036),"",VLOOKUP($A2036,'Data Feed (20C)'!$A$1:$G$14,7,FALSE))</f>
        <v/>
      </c>
      <c r="F2036" s="17"/>
      <c r="G2036" s="8"/>
    </row>
    <row r="2037">
      <c r="A2037" s="9" t="str">
        <f t="shared" ref="A2037:A2041" si="2375">A2036</f>
        <v/>
      </c>
      <c r="B2037" s="9" t="str">
        <f>IF(ISBLANK(A2036),"",LEFT(B2036,27)&amp;VALUE(RIGHT(B2036,1)+1))</f>
        <v/>
      </c>
      <c r="C2037" s="6" t="str">
        <f t="shared" ref="C2037:D2037" si="2374">C2036</f>
        <v/>
      </c>
      <c r="D2037" s="6" t="str">
        <f t="shared" si="2374"/>
        <v/>
      </c>
      <c r="E2037" s="10" t="str">
        <f>IF(ISBLANK(A2036),"",E2036+1)</f>
        <v/>
      </c>
      <c r="F2037" s="18" t="str">
        <f t="shared" ref="F2037:F2041" si="2377">F2036</f>
        <v/>
      </c>
      <c r="G2037" s="8"/>
    </row>
    <row r="2038">
      <c r="A2038" s="9" t="str">
        <f t="shared" si="2375"/>
        <v/>
      </c>
      <c r="B2038" s="9" t="str">
        <f>IF(ISBLANK(A2036),"",LEFT(B2037,27)&amp;VALUE(RIGHT(B2037,1)+1))</f>
        <v/>
      </c>
      <c r="C2038" s="6" t="str">
        <f t="shared" ref="C2038:D2038" si="2376">C2037</f>
        <v/>
      </c>
      <c r="D2038" s="6" t="str">
        <f t="shared" si="2376"/>
        <v/>
      </c>
      <c r="E2038" s="10" t="str">
        <f>IF(ISBLANK(A2036),"",E2037+1)</f>
        <v/>
      </c>
      <c r="F2038" s="18" t="str">
        <f t="shared" si="2377"/>
        <v/>
      </c>
      <c r="G2038" s="8"/>
    </row>
    <row r="2039">
      <c r="A2039" s="9" t="str">
        <f t="shared" si="2375"/>
        <v/>
      </c>
      <c r="B2039" s="9" t="str">
        <f>IF(ISBLANK(A2036),"",LEFT(B2038,27)&amp;VALUE(RIGHT(B2038,1)+1))</f>
        <v/>
      </c>
      <c r="C2039" s="6" t="str">
        <f t="shared" ref="C2039:D2039" si="2378">C2038</f>
        <v/>
      </c>
      <c r="D2039" s="6" t="str">
        <f t="shared" si="2378"/>
        <v/>
      </c>
      <c r="E2039" s="10" t="str">
        <f>IF(ISBLANK(A2036),"",E2038+1)</f>
        <v/>
      </c>
      <c r="F2039" s="18" t="str">
        <f t="shared" si="2377"/>
        <v/>
      </c>
      <c r="G2039" s="8"/>
    </row>
    <row r="2040">
      <c r="A2040" s="9" t="str">
        <f t="shared" si="2375"/>
        <v/>
      </c>
      <c r="B2040" s="9" t="str">
        <f>IF(ISBLANK(A2036),"",LEFT(B2039,27)&amp;VALUE(RIGHT(B2039,1)+1))</f>
        <v/>
      </c>
      <c r="C2040" s="6" t="str">
        <f t="shared" ref="C2040:D2040" si="2379">C2039</f>
        <v/>
      </c>
      <c r="D2040" s="6" t="str">
        <f t="shared" si="2379"/>
        <v/>
      </c>
      <c r="E2040" s="10" t="str">
        <f>IF(ISBLANK(A2036),"",E2039+1)</f>
        <v/>
      </c>
      <c r="F2040" s="18" t="str">
        <f t="shared" si="2377"/>
        <v/>
      </c>
      <c r="G2040" s="8"/>
    </row>
    <row r="2041">
      <c r="A2041" s="12" t="str">
        <f t="shared" si="2375"/>
        <v/>
      </c>
      <c r="B2041" s="12" t="str">
        <f>IF(ISBLANK(A2036),"",LEFT(B2040,27)&amp;VALUE(RIGHT(B2040,1)+1))</f>
        <v/>
      </c>
      <c r="C2041" s="13" t="str">
        <f t="shared" ref="C2041:D2041" si="2380">C2040</f>
        <v/>
      </c>
      <c r="D2041" s="13" t="str">
        <f t="shared" si="2380"/>
        <v/>
      </c>
      <c r="E2041" s="14" t="str">
        <f>IF(ISBLANK(A2036),"",E2040+1)</f>
        <v/>
      </c>
      <c r="F2041" s="19" t="str">
        <f t="shared" si="2377"/>
        <v/>
      </c>
      <c r="G2041" s="16"/>
    </row>
    <row r="2042">
      <c r="A2042" s="5"/>
      <c r="B2042" s="6" t="str">
        <f>IF(ISBLANK(A2042),"",VLOOKUP($A2042,'Data Feed (20C)'!$A$1:$G$14,2,FALSE))</f>
        <v/>
      </c>
      <c r="C2042" s="6" t="str">
        <f>IF(ISBLANK(A2042),"",VLOOKUP($A2042,'Data Feed (20C)'!$A$1:$G$14,3,FALSE))</f>
        <v/>
      </c>
      <c r="D2042" s="6" t="str">
        <f>IF(ISBLANK(A2042),"",VLOOKUP($A2042,'Data Feed (20C)'!$A$1:$G$14,4,FALSE))</f>
        <v/>
      </c>
      <c r="E2042" s="6" t="str">
        <f>IF(ISBLANK(A2042),"",VLOOKUP($A2042,'Data Feed (20C)'!$A$1:$G$14,7,FALSE))</f>
        <v/>
      </c>
      <c r="F2042" s="17"/>
      <c r="G2042" s="8"/>
    </row>
    <row r="2043">
      <c r="A2043" s="9" t="str">
        <f t="shared" ref="A2043:A2047" si="2382">A2042</f>
        <v/>
      </c>
      <c r="B2043" s="9" t="str">
        <f>IF(ISBLANK(A2042),"",LEFT(B2042,27)&amp;VALUE(RIGHT(B2042,1)+1))</f>
        <v/>
      </c>
      <c r="C2043" s="6" t="str">
        <f t="shared" ref="C2043:D2043" si="2381">C2042</f>
        <v/>
      </c>
      <c r="D2043" s="6" t="str">
        <f t="shared" si="2381"/>
        <v/>
      </c>
      <c r="E2043" s="10" t="str">
        <f>IF(ISBLANK(A2042),"",E2042+1)</f>
        <v/>
      </c>
      <c r="F2043" s="18" t="str">
        <f t="shared" ref="F2043:F2047" si="2384">F2042</f>
        <v/>
      </c>
      <c r="G2043" s="8"/>
    </row>
    <row r="2044">
      <c r="A2044" s="9" t="str">
        <f t="shared" si="2382"/>
        <v/>
      </c>
      <c r="B2044" s="9" t="str">
        <f>IF(ISBLANK(A2042),"",LEFT(B2043,27)&amp;VALUE(RIGHT(B2043,1)+1))</f>
        <v/>
      </c>
      <c r="C2044" s="6" t="str">
        <f t="shared" ref="C2044:D2044" si="2383">C2043</f>
        <v/>
      </c>
      <c r="D2044" s="6" t="str">
        <f t="shared" si="2383"/>
        <v/>
      </c>
      <c r="E2044" s="10" t="str">
        <f>IF(ISBLANK(A2042),"",E2043+1)</f>
        <v/>
      </c>
      <c r="F2044" s="18" t="str">
        <f t="shared" si="2384"/>
        <v/>
      </c>
      <c r="G2044" s="8"/>
    </row>
    <row r="2045">
      <c r="A2045" s="9" t="str">
        <f t="shared" si="2382"/>
        <v/>
      </c>
      <c r="B2045" s="9" t="str">
        <f>IF(ISBLANK(A2042),"",LEFT(B2044,27)&amp;VALUE(RIGHT(B2044,1)+1))</f>
        <v/>
      </c>
      <c r="C2045" s="6" t="str">
        <f t="shared" ref="C2045:D2045" si="2385">C2044</f>
        <v/>
      </c>
      <c r="D2045" s="6" t="str">
        <f t="shared" si="2385"/>
        <v/>
      </c>
      <c r="E2045" s="10" t="str">
        <f>IF(ISBLANK(A2042),"",E2044+1)</f>
        <v/>
      </c>
      <c r="F2045" s="18" t="str">
        <f t="shared" si="2384"/>
        <v/>
      </c>
      <c r="G2045" s="8"/>
    </row>
    <row r="2046">
      <c r="A2046" s="9" t="str">
        <f t="shared" si="2382"/>
        <v/>
      </c>
      <c r="B2046" s="9" t="str">
        <f>IF(ISBLANK(A2042),"",LEFT(B2045,27)&amp;VALUE(RIGHT(B2045,1)+1))</f>
        <v/>
      </c>
      <c r="C2046" s="6" t="str">
        <f t="shared" ref="C2046:D2046" si="2386">C2045</f>
        <v/>
      </c>
      <c r="D2046" s="6" t="str">
        <f t="shared" si="2386"/>
        <v/>
      </c>
      <c r="E2046" s="10" t="str">
        <f>IF(ISBLANK(A2042),"",E2045+1)</f>
        <v/>
      </c>
      <c r="F2046" s="18" t="str">
        <f t="shared" si="2384"/>
        <v/>
      </c>
      <c r="G2046" s="8"/>
    </row>
    <row r="2047">
      <c r="A2047" s="12" t="str">
        <f t="shared" si="2382"/>
        <v/>
      </c>
      <c r="B2047" s="12" t="str">
        <f>IF(ISBLANK(A2042),"",LEFT(B2046,27)&amp;VALUE(RIGHT(B2046,1)+1))</f>
        <v/>
      </c>
      <c r="C2047" s="13" t="str">
        <f t="shared" ref="C2047:D2047" si="2387">C2046</f>
        <v/>
      </c>
      <c r="D2047" s="13" t="str">
        <f t="shared" si="2387"/>
        <v/>
      </c>
      <c r="E2047" s="14" t="str">
        <f>IF(ISBLANK(A2042),"",E2046+1)</f>
        <v/>
      </c>
      <c r="F2047" s="19" t="str">
        <f t="shared" si="2384"/>
        <v/>
      </c>
      <c r="G2047" s="16"/>
    </row>
    <row r="2048">
      <c r="A2048" s="5"/>
      <c r="B2048" s="6" t="str">
        <f>IF(ISBLANK(A2048),"",VLOOKUP($A2048,'Data Feed (20C)'!$A$1:$G$14,2,FALSE))</f>
        <v/>
      </c>
      <c r="C2048" s="6" t="str">
        <f>IF(ISBLANK(A2048),"",VLOOKUP($A2048,'Data Feed (20C)'!$A$1:$G$14,3,FALSE))</f>
        <v/>
      </c>
      <c r="D2048" s="6" t="str">
        <f>IF(ISBLANK(A2048),"",VLOOKUP($A2048,'Data Feed (20C)'!$A$1:$G$14,4,FALSE))</f>
        <v/>
      </c>
      <c r="E2048" s="6" t="str">
        <f>IF(ISBLANK(A2048),"",VLOOKUP($A2048,'Data Feed (20C)'!$A$1:$G$14,7,FALSE))</f>
        <v/>
      </c>
      <c r="F2048" s="17"/>
      <c r="G2048" s="8"/>
    </row>
    <row r="2049">
      <c r="A2049" s="9" t="str">
        <f t="shared" ref="A2049:A2053" si="2389">A2048</f>
        <v/>
      </c>
      <c r="B2049" s="9" t="str">
        <f>IF(ISBLANK(A2048),"",LEFT(B2048,27)&amp;VALUE(RIGHT(B2048,1)+1))</f>
        <v/>
      </c>
      <c r="C2049" s="6" t="str">
        <f t="shared" ref="C2049:D2049" si="2388">C2048</f>
        <v/>
      </c>
      <c r="D2049" s="6" t="str">
        <f t="shared" si="2388"/>
        <v/>
      </c>
      <c r="E2049" s="10" t="str">
        <f>IF(ISBLANK(A2048),"",E2048+1)</f>
        <v/>
      </c>
      <c r="F2049" s="18" t="str">
        <f t="shared" ref="F2049:F2053" si="2391">F2048</f>
        <v/>
      </c>
      <c r="G2049" s="8"/>
    </row>
    <row r="2050">
      <c r="A2050" s="9" t="str">
        <f t="shared" si="2389"/>
        <v/>
      </c>
      <c r="B2050" s="9" t="str">
        <f>IF(ISBLANK(A2048),"",LEFT(B2049,27)&amp;VALUE(RIGHT(B2049,1)+1))</f>
        <v/>
      </c>
      <c r="C2050" s="6" t="str">
        <f t="shared" ref="C2050:D2050" si="2390">C2049</f>
        <v/>
      </c>
      <c r="D2050" s="6" t="str">
        <f t="shared" si="2390"/>
        <v/>
      </c>
      <c r="E2050" s="10" t="str">
        <f>IF(ISBLANK(A2048),"",E2049+1)</f>
        <v/>
      </c>
      <c r="F2050" s="18" t="str">
        <f t="shared" si="2391"/>
        <v/>
      </c>
      <c r="G2050" s="8"/>
    </row>
    <row r="2051">
      <c r="A2051" s="9" t="str">
        <f t="shared" si="2389"/>
        <v/>
      </c>
      <c r="B2051" s="9" t="str">
        <f>IF(ISBLANK(A2048),"",LEFT(B2050,27)&amp;VALUE(RIGHT(B2050,1)+1))</f>
        <v/>
      </c>
      <c r="C2051" s="6" t="str">
        <f t="shared" ref="C2051:D2051" si="2392">C2050</f>
        <v/>
      </c>
      <c r="D2051" s="6" t="str">
        <f t="shared" si="2392"/>
        <v/>
      </c>
      <c r="E2051" s="10" t="str">
        <f>IF(ISBLANK(A2048),"",E2050+1)</f>
        <v/>
      </c>
      <c r="F2051" s="18" t="str">
        <f t="shared" si="2391"/>
        <v/>
      </c>
      <c r="G2051" s="8"/>
    </row>
    <row r="2052">
      <c r="A2052" s="9" t="str">
        <f t="shared" si="2389"/>
        <v/>
      </c>
      <c r="B2052" s="9" t="str">
        <f>IF(ISBLANK(A2048),"",LEFT(B2051,27)&amp;VALUE(RIGHT(B2051,1)+1))</f>
        <v/>
      </c>
      <c r="C2052" s="6" t="str">
        <f t="shared" ref="C2052:D2052" si="2393">C2051</f>
        <v/>
      </c>
      <c r="D2052" s="6" t="str">
        <f t="shared" si="2393"/>
        <v/>
      </c>
      <c r="E2052" s="10" t="str">
        <f>IF(ISBLANK(A2048),"",E2051+1)</f>
        <v/>
      </c>
      <c r="F2052" s="18" t="str">
        <f t="shared" si="2391"/>
        <v/>
      </c>
      <c r="G2052" s="8"/>
    </row>
    <row r="2053">
      <c r="A2053" s="12" t="str">
        <f t="shared" si="2389"/>
        <v/>
      </c>
      <c r="B2053" s="12" t="str">
        <f>IF(ISBLANK(A2048),"",LEFT(B2052,27)&amp;VALUE(RIGHT(B2052,1)+1))</f>
        <v/>
      </c>
      <c r="C2053" s="13" t="str">
        <f t="shared" ref="C2053:D2053" si="2394">C2052</f>
        <v/>
      </c>
      <c r="D2053" s="13" t="str">
        <f t="shared" si="2394"/>
        <v/>
      </c>
      <c r="E2053" s="14" t="str">
        <f>IF(ISBLANK(A2048),"",E2052+1)</f>
        <v/>
      </c>
      <c r="F2053" s="19" t="str">
        <f t="shared" si="2391"/>
        <v/>
      </c>
      <c r="G2053" s="16"/>
    </row>
    <row r="2054">
      <c r="A2054" s="5"/>
      <c r="B2054" s="6" t="str">
        <f>IF(ISBLANK(A2054),"",VLOOKUP($A2054,'Data Feed (20C)'!$A$1:$G$14,2,FALSE))</f>
        <v/>
      </c>
      <c r="C2054" s="6" t="str">
        <f>IF(ISBLANK(A2054),"",VLOOKUP($A2054,'Data Feed (20C)'!$A$1:$G$14,3,FALSE))</f>
        <v/>
      </c>
      <c r="D2054" s="6" t="str">
        <f>IF(ISBLANK(A2054),"",VLOOKUP($A2054,'Data Feed (20C)'!$A$1:$G$14,4,FALSE))</f>
        <v/>
      </c>
      <c r="E2054" s="6" t="str">
        <f>IF(ISBLANK(A2054),"",VLOOKUP($A2054,'Data Feed (20C)'!$A$1:$G$14,7,FALSE))</f>
        <v/>
      </c>
      <c r="F2054" s="17"/>
      <c r="G2054" s="8"/>
    </row>
    <row r="2055">
      <c r="A2055" s="9" t="str">
        <f t="shared" ref="A2055:A2059" si="2396">A2054</f>
        <v/>
      </c>
      <c r="B2055" s="9" t="str">
        <f>IF(ISBLANK(A2054),"",LEFT(B2054,27)&amp;VALUE(RIGHT(B2054,1)+1))</f>
        <v/>
      </c>
      <c r="C2055" s="6" t="str">
        <f t="shared" ref="C2055:D2055" si="2395">C2054</f>
        <v/>
      </c>
      <c r="D2055" s="6" t="str">
        <f t="shared" si="2395"/>
        <v/>
      </c>
      <c r="E2055" s="10" t="str">
        <f>IF(ISBLANK(A2054),"",E2054+1)</f>
        <v/>
      </c>
      <c r="F2055" s="18" t="str">
        <f t="shared" ref="F2055:F2059" si="2398">F2054</f>
        <v/>
      </c>
      <c r="G2055" s="8"/>
    </row>
    <row r="2056">
      <c r="A2056" s="9" t="str">
        <f t="shared" si="2396"/>
        <v/>
      </c>
      <c r="B2056" s="9" t="str">
        <f>IF(ISBLANK(A2054),"",LEFT(B2055,27)&amp;VALUE(RIGHT(B2055,1)+1))</f>
        <v/>
      </c>
      <c r="C2056" s="6" t="str">
        <f t="shared" ref="C2056:D2056" si="2397">C2055</f>
        <v/>
      </c>
      <c r="D2056" s="6" t="str">
        <f t="shared" si="2397"/>
        <v/>
      </c>
      <c r="E2056" s="10" t="str">
        <f>IF(ISBLANK(A2054),"",E2055+1)</f>
        <v/>
      </c>
      <c r="F2056" s="18" t="str">
        <f t="shared" si="2398"/>
        <v/>
      </c>
      <c r="G2056" s="8"/>
    </row>
    <row r="2057">
      <c r="A2057" s="9" t="str">
        <f t="shared" si="2396"/>
        <v/>
      </c>
      <c r="B2057" s="9" t="str">
        <f>IF(ISBLANK(A2054),"",LEFT(B2056,27)&amp;VALUE(RIGHT(B2056,1)+1))</f>
        <v/>
      </c>
      <c r="C2057" s="6" t="str">
        <f t="shared" ref="C2057:D2057" si="2399">C2056</f>
        <v/>
      </c>
      <c r="D2057" s="6" t="str">
        <f t="shared" si="2399"/>
        <v/>
      </c>
      <c r="E2057" s="10" t="str">
        <f>IF(ISBLANK(A2054),"",E2056+1)</f>
        <v/>
      </c>
      <c r="F2057" s="18" t="str">
        <f t="shared" si="2398"/>
        <v/>
      </c>
      <c r="G2057" s="8"/>
    </row>
    <row r="2058">
      <c r="A2058" s="9" t="str">
        <f t="shared" si="2396"/>
        <v/>
      </c>
      <c r="B2058" s="9" t="str">
        <f>IF(ISBLANK(A2054),"",LEFT(B2057,27)&amp;VALUE(RIGHT(B2057,1)+1))</f>
        <v/>
      </c>
      <c r="C2058" s="6" t="str">
        <f t="shared" ref="C2058:D2058" si="2400">C2057</f>
        <v/>
      </c>
      <c r="D2058" s="6" t="str">
        <f t="shared" si="2400"/>
        <v/>
      </c>
      <c r="E2058" s="10" t="str">
        <f>IF(ISBLANK(A2054),"",E2057+1)</f>
        <v/>
      </c>
      <c r="F2058" s="18" t="str">
        <f t="shared" si="2398"/>
        <v/>
      </c>
      <c r="G2058" s="8"/>
    </row>
    <row r="2059">
      <c r="A2059" s="12" t="str">
        <f t="shared" si="2396"/>
        <v/>
      </c>
      <c r="B2059" s="12" t="str">
        <f>IF(ISBLANK(A2054),"",LEFT(B2058,27)&amp;VALUE(RIGHT(B2058,1)+1))</f>
        <v/>
      </c>
      <c r="C2059" s="13" t="str">
        <f t="shared" ref="C2059:D2059" si="2401">C2058</f>
        <v/>
      </c>
      <c r="D2059" s="13" t="str">
        <f t="shared" si="2401"/>
        <v/>
      </c>
      <c r="E2059" s="14" t="str">
        <f>IF(ISBLANK(A2054),"",E2058+1)</f>
        <v/>
      </c>
      <c r="F2059" s="19" t="str">
        <f t="shared" si="2398"/>
        <v/>
      </c>
      <c r="G2059" s="16"/>
    </row>
    <row r="2060">
      <c r="A2060" s="5"/>
      <c r="B2060" s="6" t="str">
        <f>IF(ISBLANK(A2060),"",VLOOKUP($A2060,'Data Feed (20C)'!$A$1:$G$14,2,FALSE))</f>
        <v/>
      </c>
      <c r="C2060" s="6" t="str">
        <f>IF(ISBLANK(A2060),"",VLOOKUP($A2060,'Data Feed (20C)'!$A$1:$G$14,3,FALSE))</f>
        <v/>
      </c>
      <c r="D2060" s="6" t="str">
        <f>IF(ISBLANK(A2060),"",VLOOKUP($A2060,'Data Feed (20C)'!$A$1:$G$14,4,FALSE))</f>
        <v/>
      </c>
      <c r="E2060" s="6" t="str">
        <f>IF(ISBLANK(A2060),"",VLOOKUP($A2060,'Data Feed (20C)'!$A$1:$G$14,7,FALSE))</f>
        <v/>
      </c>
      <c r="F2060" s="17"/>
      <c r="G2060" s="8"/>
    </row>
    <row r="2061">
      <c r="A2061" s="9" t="str">
        <f t="shared" ref="A2061:A2065" si="2403">A2060</f>
        <v/>
      </c>
      <c r="B2061" s="9" t="str">
        <f>IF(ISBLANK(A2060),"",LEFT(B2060,27)&amp;VALUE(RIGHT(B2060,1)+1))</f>
        <v/>
      </c>
      <c r="C2061" s="6" t="str">
        <f t="shared" ref="C2061:D2061" si="2402">C2060</f>
        <v/>
      </c>
      <c r="D2061" s="6" t="str">
        <f t="shared" si="2402"/>
        <v/>
      </c>
      <c r="E2061" s="10" t="str">
        <f>IF(ISBLANK(A2060),"",E2060+1)</f>
        <v/>
      </c>
      <c r="F2061" s="18" t="str">
        <f t="shared" ref="F2061:F2065" si="2405">F2060</f>
        <v/>
      </c>
      <c r="G2061" s="8"/>
    </row>
    <row r="2062">
      <c r="A2062" s="9" t="str">
        <f t="shared" si="2403"/>
        <v/>
      </c>
      <c r="B2062" s="9" t="str">
        <f>IF(ISBLANK(A2060),"",LEFT(B2061,27)&amp;VALUE(RIGHT(B2061,1)+1))</f>
        <v/>
      </c>
      <c r="C2062" s="6" t="str">
        <f t="shared" ref="C2062:D2062" si="2404">C2061</f>
        <v/>
      </c>
      <c r="D2062" s="6" t="str">
        <f t="shared" si="2404"/>
        <v/>
      </c>
      <c r="E2062" s="10" t="str">
        <f>IF(ISBLANK(A2060),"",E2061+1)</f>
        <v/>
      </c>
      <c r="F2062" s="18" t="str">
        <f t="shared" si="2405"/>
        <v/>
      </c>
      <c r="G2062" s="8"/>
    </row>
    <row r="2063">
      <c r="A2063" s="9" t="str">
        <f t="shared" si="2403"/>
        <v/>
      </c>
      <c r="B2063" s="9" t="str">
        <f>IF(ISBLANK(A2060),"",LEFT(B2062,27)&amp;VALUE(RIGHT(B2062,1)+1))</f>
        <v/>
      </c>
      <c r="C2063" s="6" t="str">
        <f t="shared" ref="C2063:D2063" si="2406">C2062</f>
        <v/>
      </c>
      <c r="D2063" s="6" t="str">
        <f t="shared" si="2406"/>
        <v/>
      </c>
      <c r="E2063" s="10" t="str">
        <f>IF(ISBLANK(A2060),"",E2062+1)</f>
        <v/>
      </c>
      <c r="F2063" s="18" t="str">
        <f t="shared" si="2405"/>
        <v/>
      </c>
      <c r="G2063" s="8"/>
    </row>
    <row r="2064">
      <c r="A2064" s="9" t="str">
        <f t="shared" si="2403"/>
        <v/>
      </c>
      <c r="B2064" s="9" t="str">
        <f>IF(ISBLANK(A2060),"",LEFT(B2063,27)&amp;VALUE(RIGHT(B2063,1)+1))</f>
        <v/>
      </c>
      <c r="C2064" s="6" t="str">
        <f t="shared" ref="C2064:D2064" si="2407">C2063</f>
        <v/>
      </c>
      <c r="D2064" s="6" t="str">
        <f t="shared" si="2407"/>
        <v/>
      </c>
      <c r="E2064" s="10" t="str">
        <f>IF(ISBLANK(A2060),"",E2063+1)</f>
        <v/>
      </c>
      <c r="F2064" s="18" t="str">
        <f t="shared" si="2405"/>
        <v/>
      </c>
      <c r="G2064" s="8"/>
    </row>
    <row r="2065">
      <c r="A2065" s="12" t="str">
        <f t="shared" si="2403"/>
        <v/>
      </c>
      <c r="B2065" s="12" t="str">
        <f>IF(ISBLANK(A2060),"",LEFT(B2064,27)&amp;VALUE(RIGHT(B2064,1)+1))</f>
        <v/>
      </c>
      <c r="C2065" s="13" t="str">
        <f t="shared" ref="C2065:D2065" si="2408">C2064</f>
        <v/>
      </c>
      <c r="D2065" s="13" t="str">
        <f t="shared" si="2408"/>
        <v/>
      </c>
      <c r="E2065" s="14" t="str">
        <f>IF(ISBLANK(A2060),"",E2064+1)</f>
        <v/>
      </c>
      <c r="F2065" s="19" t="str">
        <f t="shared" si="2405"/>
        <v/>
      </c>
      <c r="G2065" s="16"/>
    </row>
    <row r="2066">
      <c r="A2066" s="5"/>
      <c r="B2066" s="6" t="str">
        <f>IF(ISBLANK(A2066),"",VLOOKUP($A2066,'Data Feed (20C)'!$A$1:$G$14,2,FALSE))</f>
        <v/>
      </c>
      <c r="C2066" s="6" t="str">
        <f>IF(ISBLANK(A2066),"",VLOOKUP($A2066,'Data Feed (20C)'!$A$1:$G$14,3,FALSE))</f>
        <v/>
      </c>
      <c r="D2066" s="6" t="str">
        <f>IF(ISBLANK(A2066),"",VLOOKUP($A2066,'Data Feed (20C)'!$A$1:$G$14,4,FALSE))</f>
        <v/>
      </c>
      <c r="E2066" s="6" t="str">
        <f>IF(ISBLANK(A2066),"",VLOOKUP($A2066,'Data Feed (20C)'!$A$1:$G$14,7,FALSE))</f>
        <v/>
      </c>
      <c r="F2066" s="17"/>
      <c r="G2066" s="8"/>
    </row>
    <row r="2067">
      <c r="A2067" s="9" t="str">
        <f t="shared" ref="A2067:A2071" si="2410">A2066</f>
        <v/>
      </c>
      <c r="B2067" s="9" t="str">
        <f>IF(ISBLANK(A2066),"",LEFT(B2066,27)&amp;VALUE(RIGHT(B2066,1)+1))</f>
        <v/>
      </c>
      <c r="C2067" s="6" t="str">
        <f t="shared" ref="C2067:D2067" si="2409">C2066</f>
        <v/>
      </c>
      <c r="D2067" s="6" t="str">
        <f t="shared" si="2409"/>
        <v/>
      </c>
      <c r="E2067" s="10" t="str">
        <f>IF(ISBLANK(A2066),"",E2066+1)</f>
        <v/>
      </c>
      <c r="F2067" s="18" t="str">
        <f t="shared" ref="F2067:F2071" si="2412">F2066</f>
        <v/>
      </c>
      <c r="G2067" s="8"/>
    </row>
    <row r="2068">
      <c r="A2068" s="9" t="str">
        <f t="shared" si="2410"/>
        <v/>
      </c>
      <c r="B2068" s="9" t="str">
        <f>IF(ISBLANK(A2066),"",LEFT(B2067,27)&amp;VALUE(RIGHT(B2067,1)+1))</f>
        <v/>
      </c>
      <c r="C2068" s="6" t="str">
        <f t="shared" ref="C2068:D2068" si="2411">C2067</f>
        <v/>
      </c>
      <c r="D2068" s="6" t="str">
        <f t="shared" si="2411"/>
        <v/>
      </c>
      <c r="E2068" s="10" t="str">
        <f>IF(ISBLANK(A2066),"",E2067+1)</f>
        <v/>
      </c>
      <c r="F2068" s="18" t="str">
        <f t="shared" si="2412"/>
        <v/>
      </c>
      <c r="G2068" s="8"/>
    </row>
    <row r="2069">
      <c r="A2069" s="9" t="str">
        <f t="shared" si="2410"/>
        <v/>
      </c>
      <c r="B2069" s="9" t="str">
        <f>IF(ISBLANK(A2066),"",LEFT(B2068,27)&amp;VALUE(RIGHT(B2068,1)+1))</f>
        <v/>
      </c>
      <c r="C2069" s="6" t="str">
        <f t="shared" ref="C2069:D2069" si="2413">C2068</f>
        <v/>
      </c>
      <c r="D2069" s="6" t="str">
        <f t="shared" si="2413"/>
        <v/>
      </c>
      <c r="E2069" s="10" t="str">
        <f>IF(ISBLANK(A2066),"",E2068+1)</f>
        <v/>
      </c>
      <c r="F2069" s="18" t="str">
        <f t="shared" si="2412"/>
        <v/>
      </c>
      <c r="G2069" s="8"/>
    </row>
    <row r="2070">
      <c r="A2070" s="9" t="str">
        <f t="shared" si="2410"/>
        <v/>
      </c>
      <c r="B2070" s="9" t="str">
        <f>IF(ISBLANK(A2066),"",LEFT(B2069,27)&amp;VALUE(RIGHT(B2069,1)+1))</f>
        <v/>
      </c>
      <c r="C2070" s="6" t="str">
        <f t="shared" ref="C2070:D2070" si="2414">C2069</f>
        <v/>
      </c>
      <c r="D2070" s="6" t="str">
        <f t="shared" si="2414"/>
        <v/>
      </c>
      <c r="E2070" s="10" t="str">
        <f>IF(ISBLANK(A2066),"",E2069+1)</f>
        <v/>
      </c>
      <c r="F2070" s="18" t="str">
        <f t="shared" si="2412"/>
        <v/>
      </c>
      <c r="G2070" s="8"/>
    </row>
    <row r="2071">
      <c r="A2071" s="12" t="str">
        <f t="shared" si="2410"/>
        <v/>
      </c>
      <c r="B2071" s="12" t="str">
        <f>IF(ISBLANK(A2066),"",LEFT(B2070,27)&amp;VALUE(RIGHT(B2070,1)+1))</f>
        <v/>
      </c>
      <c r="C2071" s="13" t="str">
        <f t="shared" ref="C2071:D2071" si="2415">C2070</f>
        <v/>
      </c>
      <c r="D2071" s="13" t="str">
        <f t="shared" si="2415"/>
        <v/>
      </c>
      <c r="E2071" s="14" t="str">
        <f>IF(ISBLANK(A2066),"",E2070+1)</f>
        <v/>
      </c>
      <c r="F2071" s="19" t="str">
        <f t="shared" si="2412"/>
        <v/>
      </c>
      <c r="G2071" s="16"/>
    </row>
    <row r="2072">
      <c r="A2072" s="5"/>
      <c r="B2072" s="6" t="str">
        <f>IF(ISBLANK(A2072),"",VLOOKUP($A2072,'Data Feed (20C)'!$A$1:$G$14,2,FALSE))</f>
        <v/>
      </c>
      <c r="C2072" s="6" t="str">
        <f>IF(ISBLANK(A2072),"",VLOOKUP($A2072,'Data Feed (20C)'!$A$1:$G$14,3,FALSE))</f>
        <v/>
      </c>
      <c r="D2072" s="6" t="str">
        <f>IF(ISBLANK(A2072),"",VLOOKUP($A2072,'Data Feed (20C)'!$A$1:$G$14,4,FALSE))</f>
        <v/>
      </c>
      <c r="E2072" s="6" t="str">
        <f>IF(ISBLANK(A2072),"",VLOOKUP($A2072,'Data Feed (20C)'!$A$1:$G$14,7,FALSE))</f>
        <v/>
      </c>
      <c r="F2072" s="17"/>
      <c r="G2072" s="8"/>
    </row>
    <row r="2073">
      <c r="A2073" s="9" t="str">
        <f t="shared" ref="A2073:A2077" si="2417">A2072</f>
        <v/>
      </c>
      <c r="B2073" s="9" t="str">
        <f>IF(ISBLANK(A2072),"",LEFT(B2072,27)&amp;VALUE(RIGHT(B2072,1)+1))</f>
        <v/>
      </c>
      <c r="C2073" s="6" t="str">
        <f t="shared" ref="C2073:D2073" si="2416">C2072</f>
        <v/>
      </c>
      <c r="D2073" s="6" t="str">
        <f t="shared" si="2416"/>
        <v/>
      </c>
      <c r="E2073" s="10" t="str">
        <f>IF(ISBLANK(A2072),"",E2072+1)</f>
        <v/>
      </c>
      <c r="F2073" s="18" t="str">
        <f t="shared" ref="F2073:F2077" si="2419">F2072</f>
        <v/>
      </c>
      <c r="G2073" s="8"/>
    </row>
    <row r="2074">
      <c r="A2074" s="9" t="str">
        <f t="shared" si="2417"/>
        <v/>
      </c>
      <c r="B2074" s="9" t="str">
        <f>IF(ISBLANK(A2072),"",LEFT(B2073,27)&amp;VALUE(RIGHT(B2073,1)+1))</f>
        <v/>
      </c>
      <c r="C2074" s="6" t="str">
        <f t="shared" ref="C2074:D2074" si="2418">C2073</f>
        <v/>
      </c>
      <c r="D2074" s="6" t="str">
        <f t="shared" si="2418"/>
        <v/>
      </c>
      <c r="E2074" s="10" t="str">
        <f>IF(ISBLANK(A2072),"",E2073+1)</f>
        <v/>
      </c>
      <c r="F2074" s="18" t="str">
        <f t="shared" si="2419"/>
        <v/>
      </c>
      <c r="G2074" s="8"/>
    </row>
    <row r="2075">
      <c r="A2075" s="9" t="str">
        <f t="shared" si="2417"/>
        <v/>
      </c>
      <c r="B2075" s="9" t="str">
        <f>IF(ISBLANK(A2072),"",LEFT(B2074,27)&amp;VALUE(RIGHT(B2074,1)+1))</f>
        <v/>
      </c>
      <c r="C2075" s="6" t="str">
        <f t="shared" ref="C2075:D2075" si="2420">C2074</f>
        <v/>
      </c>
      <c r="D2075" s="6" t="str">
        <f t="shared" si="2420"/>
        <v/>
      </c>
      <c r="E2075" s="10" t="str">
        <f>IF(ISBLANK(A2072),"",E2074+1)</f>
        <v/>
      </c>
      <c r="F2075" s="18" t="str">
        <f t="shared" si="2419"/>
        <v/>
      </c>
      <c r="G2075" s="8"/>
    </row>
    <row r="2076">
      <c r="A2076" s="9" t="str">
        <f t="shared" si="2417"/>
        <v/>
      </c>
      <c r="B2076" s="9" t="str">
        <f>IF(ISBLANK(A2072),"",LEFT(B2075,27)&amp;VALUE(RIGHT(B2075,1)+1))</f>
        <v/>
      </c>
      <c r="C2076" s="6" t="str">
        <f t="shared" ref="C2076:D2076" si="2421">C2075</f>
        <v/>
      </c>
      <c r="D2076" s="6" t="str">
        <f t="shared" si="2421"/>
        <v/>
      </c>
      <c r="E2076" s="10" t="str">
        <f>IF(ISBLANK(A2072),"",E2075+1)</f>
        <v/>
      </c>
      <c r="F2076" s="18" t="str">
        <f t="shared" si="2419"/>
        <v/>
      </c>
      <c r="G2076" s="8"/>
    </row>
    <row r="2077">
      <c r="A2077" s="12" t="str">
        <f t="shared" si="2417"/>
        <v/>
      </c>
      <c r="B2077" s="12" t="str">
        <f>IF(ISBLANK(A2072),"",LEFT(B2076,27)&amp;VALUE(RIGHT(B2076,1)+1))</f>
        <v/>
      </c>
      <c r="C2077" s="13" t="str">
        <f t="shared" ref="C2077:D2077" si="2422">C2076</f>
        <v/>
      </c>
      <c r="D2077" s="13" t="str">
        <f t="shared" si="2422"/>
        <v/>
      </c>
      <c r="E2077" s="14" t="str">
        <f>IF(ISBLANK(A2072),"",E2076+1)</f>
        <v/>
      </c>
      <c r="F2077" s="19" t="str">
        <f t="shared" si="2419"/>
        <v/>
      </c>
      <c r="G2077" s="16"/>
    </row>
    <row r="2078">
      <c r="A2078" s="5"/>
      <c r="B2078" s="6" t="str">
        <f>IF(ISBLANK(A2078),"",VLOOKUP($A2078,'Data Feed (20C)'!$A$1:$G$14,2,FALSE))</f>
        <v/>
      </c>
      <c r="C2078" s="6" t="str">
        <f>IF(ISBLANK(A2078),"",VLOOKUP($A2078,'Data Feed (20C)'!$A$1:$G$14,3,FALSE))</f>
        <v/>
      </c>
      <c r="D2078" s="6" t="str">
        <f>IF(ISBLANK(A2078),"",VLOOKUP($A2078,'Data Feed (20C)'!$A$1:$G$14,4,FALSE))</f>
        <v/>
      </c>
      <c r="E2078" s="6" t="str">
        <f>IF(ISBLANK(A2078),"",VLOOKUP($A2078,'Data Feed (20C)'!$A$1:$G$14,7,FALSE))</f>
        <v/>
      </c>
      <c r="F2078" s="17"/>
      <c r="G2078" s="8"/>
    </row>
    <row r="2079">
      <c r="A2079" s="9" t="str">
        <f t="shared" ref="A2079:A2083" si="2424">A2078</f>
        <v/>
      </c>
      <c r="B2079" s="9" t="str">
        <f>IF(ISBLANK(A2078),"",LEFT(B2078,27)&amp;VALUE(RIGHT(B2078,1)+1))</f>
        <v/>
      </c>
      <c r="C2079" s="6" t="str">
        <f t="shared" ref="C2079:D2079" si="2423">C2078</f>
        <v/>
      </c>
      <c r="D2079" s="6" t="str">
        <f t="shared" si="2423"/>
        <v/>
      </c>
      <c r="E2079" s="10" t="str">
        <f>IF(ISBLANK(A2078),"",E2078+1)</f>
        <v/>
      </c>
      <c r="F2079" s="18" t="str">
        <f t="shared" ref="F2079:F2083" si="2426">F2078</f>
        <v/>
      </c>
      <c r="G2079" s="8"/>
    </row>
    <row r="2080">
      <c r="A2080" s="9" t="str">
        <f t="shared" si="2424"/>
        <v/>
      </c>
      <c r="B2080" s="9" t="str">
        <f>IF(ISBLANK(A2078),"",LEFT(B2079,27)&amp;VALUE(RIGHT(B2079,1)+1))</f>
        <v/>
      </c>
      <c r="C2080" s="6" t="str">
        <f t="shared" ref="C2080:D2080" si="2425">C2079</f>
        <v/>
      </c>
      <c r="D2080" s="6" t="str">
        <f t="shared" si="2425"/>
        <v/>
      </c>
      <c r="E2080" s="10" t="str">
        <f>IF(ISBLANK(A2078),"",E2079+1)</f>
        <v/>
      </c>
      <c r="F2080" s="18" t="str">
        <f t="shared" si="2426"/>
        <v/>
      </c>
      <c r="G2080" s="8"/>
    </row>
    <row r="2081">
      <c r="A2081" s="9" t="str">
        <f t="shared" si="2424"/>
        <v/>
      </c>
      <c r="B2081" s="9" t="str">
        <f>IF(ISBLANK(A2078),"",LEFT(B2080,27)&amp;VALUE(RIGHT(B2080,1)+1))</f>
        <v/>
      </c>
      <c r="C2081" s="6" t="str">
        <f t="shared" ref="C2081:D2081" si="2427">C2080</f>
        <v/>
      </c>
      <c r="D2081" s="6" t="str">
        <f t="shared" si="2427"/>
        <v/>
      </c>
      <c r="E2081" s="10" t="str">
        <f>IF(ISBLANK(A2078),"",E2080+1)</f>
        <v/>
      </c>
      <c r="F2081" s="18" t="str">
        <f t="shared" si="2426"/>
        <v/>
      </c>
      <c r="G2081" s="8"/>
    </row>
    <row r="2082">
      <c r="A2082" s="9" t="str">
        <f t="shared" si="2424"/>
        <v/>
      </c>
      <c r="B2082" s="9" t="str">
        <f>IF(ISBLANK(A2078),"",LEFT(B2081,27)&amp;VALUE(RIGHT(B2081,1)+1))</f>
        <v/>
      </c>
      <c r="C2082" s="6" t="str">
        <f t="shared" ref="C2082:D2082" si="2428">C2081</f>
        <v/>
      </c>
      <c r="D2082" s="6" t="str">
        <f t="shared" si="2428"/>
        <v/>
      </c>
      <c r="E2082" s="10" t="str">
        <f>IF(ISBLANK(A2078),"",E2081+1)</f>
        <v/>
      </c>
      <c r="F2082" s="18" t="str">
        <f t="shared" si="2426"/>
        <v/>
      </c>
      <c r="G2082" s="8"/>
    </row>
    <row r="2083">
      <c r="A2083" s="12" t="str">
        <f t="shared" si="2424"/>
        <v/>
      </c>
      <c r="B2083" s="12" t="str">
        <f>IF(ISBLANK(A2078),"",LEFT(B2082,27)&amp;VALUE(RIGHT(B2082,1)+1))</f>
        <v/>
      </c>
      <c r="C2083" s="13" t="str">
        <f t="shared" ref="C2083:D2083" si="2429">C2082</f>
        <v/>
      </c>
      <c r="D2083" s="13" t="str">
        <f t="shared" si="2429"/>
        <v/>
      </c>
      <c r="E2083" s="14" t="str">
        <f>IF(ISBLANK(A2078),"",E2082+1)</f>
        <v/>
      </c>
      <c r="F2083" s="19" t="str">
        <f t="shared" si="2426"/>
        <v/>
      </c>
      <c r="G2083" s="16"/>
    </row>
    <row r="2084">
      <c r="A2084" s="5"/>
      <c r="B2084" s="6" t="str">
        <f>IF(ISBLANK(A2084),"",VLOOKUP($A2084,'Data Feed (20C)'!$A$1:$G$14,2,FALSE))</f>
        <v/>
      </c>
      <c r="C2084" s="6" t="str">
        <f>IF(ISBLANK(A2084),"",VLOOKUP($A2084,'Data Feed (20C)'!$A$1:$G$14,3,FALSE))</f>
        <v/>
      </c>
      <c r="D2084" s="6" t="str">
        <f>IF(ISBLANK(A2084),"",VLOOKUP($A2084,'Data Feed (20C)'!$A$1:$G$14,4,FALSE))</f>
        <v/>
      </c>
      <c r="E2084" s="6" t="str">
        <f>IF(ISBLANK(A2084),"",VLOOKUP($A2084,'Data Feed (20C)'!$A$1:$G$14,7,FALSE))</f>
        <v/>
      </c>
      <c r="F2084" s="17"/>
      <c r="G2084" s="8"/>
    </row>
    <row r="2085">
      <c r="A2085" s="9" t="str">
        <f t="shared" ref="A2085:A2089" si="2431">A2084</f>
        <v/>
      </c>
      <c r="B2085" s="9" t="str">
        <f>IF(ISBLANK(A2084),"",LEFT(B2084,27)&amp;VALUE(RIGHT(B2084,1)+1))</f>
        <v/>
      </c>
      <c r="C2085" s="6" t="str">
        <f t="shared" ref="C2085:D2085" si="2430">C2084</f>
        <v/>
      </c>
      <c r="D2085" s="6" t="str">
        <f t="shared" si="2430"/>
        <v/>
      </c>
      <c r="E2085" s="10" t="str">
        <f>IF(ISBLANK(A2084),"",E2084+1)</f>
        <v/>
      </c>
      <c r="F2085" s="18" t="str">
        <f t="shared" ref="F2085:F2089" si="2433">F2084</f>
        <v/>
      </c>
      <c r="G2085" s="8"/>
    </row>
    <row r="2086">
      <c r="A2086" s="9" t="str">
        <f t="shared" si="2431"/>
        <v/>
      </c>
      <c r="B2086" s="9" t="str">
        <f>IF(ISBLANK(A2084),"",LEFT(B2085,27)&amp;VALUE(RIGHT(B2085,1)+1))</f>
        <v/>
      </c>
      <c r="C2086" s="6" t="str">
        <f t="shared" ref="C2086:D2086" si="2432">C2085</f>
        <v/>
      </c>
      <c r="D2086" s="6" t="str">
        <f t="shared" si="2432"/>
        <v/>
      </c>
      <c r="E2086" s="10" t="str">
        <f>IF(ISBLANK(A2084),"",E2085+1)</f>
        <v/>
      </c>
      <c r="F2086" s="18" t="str">
        <f t="shared" si="2433"/>
        <v/>
      </c>
      <c r="G2086" s="8"/>
    </row>
    <row r="2087">
      <c r="A2087" s="9" t="str">
        <f t="shared" si="2431"/>
        <v/>
      </c>
      <c r="B2087" s="9" t="str">
        <f>IF(ISBLANK(A2084),"",LEFT(B2086,27)&amp;VALUE(RIGHT(B2086,1)+1))</f>
        <v/>
      </c>
      <c r="C2087" s="6" t="str">
        <f t="shared" ref="C2087:D2087" si="2434">C2086</f>
        <v/>
      </c>
      <c r="D2087" s="6" t="str">
        <f t="shared" si="2434"/>
        <v/>
      </c>
      <c r="E2087" s="10" t="str">
        <f>IF(ISBLANK(A2084),"",E2086+1)</f>
        <v/>
      </c>
      <c r="F2087" s="18" t="str">
        <f t="shared" si="2433"/>
        <v/>
      </c>
      <c r="G2087" s="8"/>
    </row>
    <row r="2088">
      <c r="A2088" s="9" t="str">
        <f t="shared" si="2431"/>
        <v/>
      </c>
      <c r="B2088" s="9" t="str">
        <f>IF(ISBLANK(A2084),"",LEFT(B2087,27)&amp;VALUE(RIGHT(B2087,1)+1))</f>
        <v/>
      </c>
      <c r="C2088" s="6" t="str">
        <f t="shared" ref="C2088:D2088" si="2435">C2087</f>
        <v/>
      </c>
      <c r="D2088" s="6" t="str">
        <f t="shared" si="2435"/>
        <v/>
      </c>
      <c r="E2088" s="10" t="str">
        <f>IF(ISBLANK(A2084),"",E2087+1)</f>
        <v/>
      </c>
      <c r="F2088" s="18" t="str">
        <f t="shared" si="2433"/>
        <v/>
      </c>
      <c r="G2088" s="8"/>
    </row>
    <row r="2089">
      <c r="A2089" s="12" t="str">
        <f t="shared" si="2431"/>
        <v/>
      </c>
      <c r="B2089" s="12" t="str">
        <f>IF(ISBLANK(A2084),"",LEFT(B2088,27)&amp;VALUE(RIGHT(B2088,1)+1))</f>
        <v/>
      </c>
      <c r="C2089" s="13" t="str">
        <f t="shared" ref="C2089:D2089" si="2436">C2088</f>
        <v/>
      </c>
      <c r="D2089" s="13" t="str">
        <f t="shared" si="2436"/>
        <v/>
      </c>
      <c r="E2089" s="14" t="str">
        <f>IF(ISBLANK(A2084),"",E2088+1)</f>
        <v/>
      </c>
      <c r="F2089" s="19" t="str">
        <f t="shared" si="2433"/>
        <v/>
      </c>
      <c r="G2089" s="16"/>
    </row>
    <row r="2090">
      <c r="A2090" s="5"/>
      <c r="B2090" s="6" t="str">
        <f>IF(ISBLANK(A2090),"",VLOOKUP($A2090,'Data Feed (20C)'!$A$1:$G$14,2,FALSE))</f>
        <v/>
      </c>
      <c r="C2090" s="6" t="str">
        <f>IF(ISBLANK(A2090),"",VLOOKUP($A2090,'Data Feed (20C)'!$A$1:$G$14,3,FALSE))</f>
        <v/>
      </c>
      <c r="D2090" s="6" t="str">
        <f>IF(ISBLANK(A2090),"",VLOOKUP($A2090,'Data Feed (20C)'!$A$1:$G$14,4,FALSE))</f>
        <v/>
      </c>
      <c r="E2090" s="6" t="str">
        <f>IF(ISBLANK(A2090),"",VLOOKUP($A2090,'Data Feed (20C)'!$A$1:$G$14,7,FALSE))</f>
        <v/>
      </c>
      <c r="F2090" s="17"/>
      <c r="G2090" s="8"/>
    </row>
    <row r="2091">
      <c r="A2091" s="9" t="str">
        <f t="shared" ref="A2091:A2095" si="2438">A2090</f>
        <v/>
      </c>
      <c r="B2091" s="9" t="str">
        <f>IF(ISBLANK(A2090),"",LEFT(B2090,27)&amp;VALUE(RIGHT(B2090,1)+1))</f>
        <v/>
      </c>
      <c r="C2091" s="6" t="str">
        <f t="shared" ref="C2091:D2091" si="2437">C2090</f>
        <v/>
      </c>
      <c r="D2091" s="6" t="str">
        <f t="shared" si="2437"/>
        <v/>
      </c>
      <c r="E2091" s="10" t="str">
        <f>IF(ISBLANK(A2090),"",E2090+1)</f>
        <v/>
      </c>
      <c r="F2091" s="18" t="str">
        <f t="shared" ref="F2091:F2095" si="2440">F2090</f>
        <v/>
      </c>
      <c r="G2091" s="8"/>
    </row>
    <row r="2092">
      <c r="A2092" s="9" t="str">
        <f t="shared" si="2438"/>
        <v/>
      </c>
      <c r="B2092" s="9" t="str">
        <f>IF(ISBLANK(A2090),"",LEFT(B2091,27)&amp;VALUE(RIGHT(B2091,1)+1))</f>
        <v/>
      </c>
      <c r="C2092" s="6" t="str">
        <f t="shared" ref="C2092:D2092" si="2439">C2091</f>
        <v/>
      </c>
      <c r="D2092" s="6" t="str">
        <f t="shared" si="2439"/>
        <v/>
      </c>
      <c r="E2092" s="10" t="str">
        <f>IF(ISBLANK(A2090),"",E2091+1)</f>
        <v/>
      </c>
      <c r="F2092" s="18" t="str">
        <f t="shared" si="2440"/>
        <v/>
      </c>
      <c r="G2092" s="8"/>
    </row>
    <row r="2093">
      <c r="A2093" s="9" t="str">
        <f t="shared" si="2438"/>
        <v/>
      </c>
      <c r="B2093" s="9" t="str">
        <f>IF(ISBLANK(A2090),"",LEFT(B2092,27)&amp;VALUE(RIGHT(B2092,1)+1))</f>
        <v/>
      </c>
      <c r="C2093" s="6" t="str">
        <f t="shared" ref="C2093:D2093" si="2441">C2092</f>
        <v/>
      </c>
      <c r="D2093" s="6" t="str">
        <f t="shared" si="2441"/>
        <v/>
      </c>
      <c r="E2093" s="10" t="str">
        <f>IF(ISBLANK(A2090),"",E2092+1)</f>
        <v/>
      </c>
      <c r="F2093" s="18" t="str">
        <f t="shared" si="2440"/>
        <v/>
      </c>
      <c r="G2093" s="8"/>
    </row>
    <row r="2094">
      <c r="A2094" s="9" t="str">
        <f t="shared" si="2438"/>
        <v/>
      </c>
      <c r="B2094" s="9" t="str">
        <f>IF(ISBLANK(A2090),"",LEFT(B2093,27)&amp;VALUE(RIGHT(B2093,1)+1))</f>
        <v/>
      </c>
      <c r="C2094" s="6" t="str">
        <f t="shared" ref="C2094:D2094" si="2442">C2093</f>
        <v/>
      </c>
      <c r="D2094" s="6" t="str">
        <f t="shared" si="2442"/>
        <v/>
      </c>
      <c r="E2094" s="10" t="str">
        <f>IF(ISBLANK(A2090),"",E2093+1)</f>
        <v/>
      </c>
      <c r="F2094" s="18" t="str">
        <f t="shared" si="2440"/>
        <v/>
      </c>
      <c r="G2094" s="8"/>
    </row>
    <row r="2095">
      <c r="A2095" s="12" t="str">
        <f t="shared" si="2438"/>
        <v/>
      </c>
      <c r="B2095" s="12" t="str">
        <f>IF(ISBLANK(A2090),"",LEFT(B2094,27)&amp;VALUE(RIGHT(B2094,1)+1))</f>
        <v/>
      </c>
      <c r="C2095" s="13" t="str">
        <f t="shared" ref="C2095:D2095" si="2443">C2094</f>
        <v/>
      </c>
      <c r="D2095" s="13" t="str">
        <f t="shared" si="2443"/>
        <v/>
      </c>
      <c r="E2095" s="14" t="str">
        <f>IF(ISBLANK(A2090),"",E2094+1)</f>
        <v/>
      </c>
      <c r="F2095" s="19" t="str">
        <f t="shared" si="2440"/>
        <v/>
      </c>
      <c r="G2095" s="16"/>
    </row>
    <row r="2096">
      <c r="A2096" s="5"/>
      <c r="B2096" s="6" t="str">
        <f>IF(ISBLANK(A2096),"",VLOOKUP($A2096,'Data Feed (20C)'!$A$1:$G$14,2,FALSE))</f>
        <v/>
      </c>
      <c r="C2096" s="6" t="str">
        <f>IF(ISBLANK(A2096),"",VLOOKUP($A2096,'Data Feed (20C)'!$A$1:$G$14,3,FALSE))</f>
        <v/>
      </c>
      <c r="D2096" s="6" t="str">
        <f>IF(ISBLANK(A2096),"",VLOOKUP($A2096,'Data Feed (20C)'!$A$1:$G$14,4,FALSE))</f>
        <v/>
      </c>
      <c r="E2096" s="6" t="str">
        <f>IF(ISBLANK(A2096),"",VLOOKUP($A2096,'Data Feed (20C)'!$A$1:$G$14,7,FALSE))</f>
        <v/>
      </c>
      <c r="F2096" s="7"/>
      <c r="G2096" s="8"/>
    </row>
    <row r="2097">
      <c r="A2097" s="9" t="str">
        <f t="shared" ref="A2097:A2099" si="2445">A2096</f>
        <v/>
      </c>
      <c r="B2097" s="9" t="str">
        <f>IF(ISBLANK(A2096),"",LEFT(B2096,27)&amp;VALUE(RIGHT(B2096,1)+1))</f>
        <v/>
      </c>
      <c r="C2097" s="6" t="str">
        <f t="shared" ref="C2097:D2097" si="2444">C2096</f>
        <v/>
      </c>
      <c r="D2097" s="6" t="str">
        <f t="shared" si="2444"/>
        <v/>
      </c>
      <c r="E2097" s="10" t="str">
        <f>IF(ISBLANK(A2096),"",E2096+1)</f>
        <v/>
      </c>
      <c r="F2097" s="20"/>
      <c r="G2097" s="8"/>
    </row>
    <row r="2098">
      <c r="A2098" s="9" t="str">
        <f t="shared" si="2445"/>
        <v/>
      </c>
      <c r="B2098" s="9" t="str">
        <f>IF(ISBLANK(A2096),"",LEFT(B2097,27)&amp;VALUE(RIGHT(B2097,1)+1))</f>
        <v/>
      </c>
      <c r="C2098" s="6" t="str">
        <f t="shared" ref="C2098:D2098" si="2446">C2097</f>
        <v/>
      </c>
      <c r="D2098" s="6" t="str">
        <f t="shared" si="2446"/>
        <v/>
      </c>
      <c r="E2098" s="10" t="str">
        <f>IF(ISBLANK(A2096),"",E2097+1)</f>
        <v/>
      </c>
      <c r="F2098" s="20"/>
      <c r="G2098" s="8"/>
    </row>
    <row r="2099">
      <c r="A2099" s="9" t="str">
        <f t="shared" si="2445"/>
        <v/>
      </c>
      <c r="B2099" s="9" t="str">
        <f>IF(ISBLANK(A2096),"",LEFT(B2098,27)&amp;VALUE(RIGHT(B2098,1)+1))</f>
        <v/>
      </c>
      <c r="C2099" s="6" t="str">
        <f t="shared" ref="C2099:D2099" si="2447">C2098</f>
        <v/>
      </c>
      <c r="D2099" s="6" t="str">
        <f t="shared" si="2447"/>
        <v/>
      </c>
      <c r="E2099" s="10" t="str">
        <f>IF(ISBLANK(A2096),"",E2098+1)</f>
        <v/>
      </c>
      <c r="F2099" s="20"/>
      <c r="G2099" s="8"/>
    </row>
  </sheetData>
  <dataValidations>
    <dataValidation type="list" allowBlank="1" showErrorMessage="1" sqref="A2 A8 A14 A20 A26 A32 A38 A44 A50 A56 A62 A68 A74 A80 A86 A92 A98 A104 A110 A116 A122 A128 A134 A140 A146 A152 A158 A164 A170 A176 A182 A188 A194 A200 A206 A212 A218 A224 A230 A236 A242 A248 A254 A260 A266 A272 A278 A284 A290 A296 A302 A308 A314 A320 A326 A332 A338 A344 A350 A356 A362 A368 A374 A380 A386 A392 A398 A404 A410 A416 A422 A428 A434 A440 A446 A452 A458 A464 A470 A476 A482 A488 A494 A500 A506 A512 A518 A524 A530 A536 A542 A548 A554 A560 A566 A572 A578 A584 A590 A596 A602 A608 A614 A620 A626 A632 A638 A644 A650 A656 A662 A668 A674 A680 A686 A692 A698 A704 A710 A716 A722 A728 A734 A740 A746 A752 A758 A764 A770 A776 A782 A788 A794 A800 A806 A812 A818 A824 A830 A836 A842 A848 A854 A860 A866 A872 A878 A884 A890 A896 A902 A908 A914 A920 A926 A932 A938 A944 A950 A956 A962 A968 A974 A980 A986 A992 A998 A1004 A1010 A1016 A1022 A1028 A1034 A1040 A1046 A1052 A1058 A1064 A1070 A1076 A1082 A1088 A1094 A1100 A1106 A1112 A1118 A1124 A1130 A1136 A1142 A1148 A1154 A1160 A1166 A1172 A1178 A1184 A1190 A1196 A1202 A1208 A1214 A1220 A1226 A1232 A1238 A1244 A1250 A1256 A1262 A1268 A1274 A1280 A1286 A1292 A1298 A1304 A1310 A1316 A1322 A1328 A1334 A1340 A1346 A1352 A1358 A1364 A1370 A1376 A1382 A1388 A1394 A1400 A1406 A1412 A1418 A1424 A1430 A1436 A1442 A1448 A1454 A1460 A1466 A1472 A1478 A1484 A1490 A1496 A1502 A1508 A1514 A1520 A1526 A1532 A1538 A1544 A1550 A1556 A1562 A1568 A1574 A1580 A1586 A1592 A1598 A1604 A1610 A1616 A1622 A1628 A1634 A1640 A1646 A1652 A1658 A1664 A1670 A1676 A1682 A1688 A1694 A1700 A1706 A1712 A1718 A1724 A1730 A1736 A1742 A1748 A1754 A1760 A1766 A1772 A1778 A1784 A1790 A1796 A1802 A1808 A1814 A1820 A1826 A1832 A1838 A1844 A1850 A1856 A1862 A1868 A1874 A1880 A1886 A1892 A1898 A1904 A1910 A1916 A1922 A1928 A1934 A1940 A1946 A1952 A1958 A1964 A1970 A1976 A1982 A1988 A1994 A2000 A2006 A2012 A2018 A2024 A2030 A2036 A2042 A2048 A2054 A2060 A2066 A2072 A2078 A2084 A2090 A2096">
      <formula1>'Data Feed (40C)'!$A$2:$A$14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19.75"/>
  </cols>
  <sheetData>
    <row r="1">
      <c r="A1" s="21" t="s">
        <v>0</v>
      </c>
      <c r="B1" s="2" t="s">
        <v>1</v>
      </c>
      <c r="C1" s="2" t="s">
        <v>2</v>
      </c>
      <c r="D1" s="2" t="s">
        <v>3</v>
      </c>
      <c r="E1" s="2" t="s">
        <v>20</v>
      </c>
      <c r="F1" s="2" t="s">
        <v>21</v>
      </c>
      <c r="G1" s="2" t="s">
        <v>22</v>
      </c>
    </row>
    <row r="2">
      <c r="A2" s="22" t="str">
        <f t="shared" ref="A2:A14" si="1">UPPER(LEFT(C2,3) &amp; MID(C2,FIND(" ",C2)+1,3))</f>
        <v>AGACAP</v>
      </c>
      <c r="B2" s="23" t="str">
        <f t="shared" ref="B2:B14" si="2">CONCATENATE("DK", UPPER(LEFT(E2,1)), "25", UPPER(TEXT(F2,"mm")), UPPER(TEXT(F2,"dd")), UPPER(LEFT(C2,3)), UPPER(MID(C2,FIND(" ",C2)+1,3)),"_",D2,"_sample_",G2)</f>
        <v>DKF250911AGACAP_20C_sample_1</v>
      </c>
      <c r="C2" s="21" t="s">
        <v>23</v>
      </c>
      <c r="D2" s="24" t="s">
        <v>24</v>
      </c>
      <c r="E2" s="8" t="s">
        <v>25</v>
      </c>
      <c r="F2" s="25">
        <v>45911.0</v>
      </c>
      <c r="G2" s="26">
        <v>1.0</v>
      </c>
    </row>
    <row r="3">
      <c r="A3" s="22" t="str">
        <f t="shared" si="1"/>
        <v>ASPSHA</v>
      </c>
      <c r="B3" s="23" t="str">
        <f t="shared" si="2"/>
        <v>DKF250911ASPSHA_20C_sample_1</v>
      </c>
      <c r="C3" s="8" t="s">
        <v>26</v>
      </c>
      <c r="D3" s="24" t="s">
        <v>24</v>
      </c>
      <c r="E3" s="8" t="s">
        <v>25</v>
      </c>
      <c r="F3" s="25">
        <v>45911.0</v>
      </c>
      <c r="G3" s="26">
        <v>1.0</v>
      </c>
    </row>
    <row r="4">
      <c r="A4" s="22" t="str">
        <f t="shared" si="1"/>
        <v>CLURUB</v>
      </c>
      <c r="B4" s="23" t="str">
        <f t="shared" si="2"/>
        <v>DKR250911CLURUB_20C_sample_1</v>
      </c>
      <c r="C4" s="8" t="s">
        <v>27</v>
      </c>
      <c r="D4" s="24" t="s">
        <v>24</v>
      </c>
      <c r="E4" s="23" t="s">
        <v>28</v>
      </c>
      <c r="F4" s="25">
        <v>45911.0</v>
      </c>
      <c r="G4" s="26">
        <v>1.0</v>
      </c>
    </row>
    <row r="5">
      <c r="A5" s="22" t="str">
        <f t="shared" si="1"/>
        <v>ELYRHI</v>
      </c>
      <c r="B5" s="23" t="str">
        <f t="shared" si="2"/>
        <v>DKR250911ELYRHI_20C_sample_1</v>
      </c>
      <c r="C5" s="8" t="s">
        <v>29</v>
      </c>
      <c r="D5" s="24" t="s">
        <v>24</v>
      </c>
      <c r="E5" s="8" t="s">
        <v>28</v>
      </c>
      <c r="F5" s="25">
        <v>45911.0</v>
      </c>
      <c r="G5" s="26">
        <v>1.0</v>
      </c>
    </row>
    <row r="6">
      <c r="A6" s="22" t="str">
        <f t="shared" si="1"/>
        <v>LOBDEC</v>
      </c>
      <c r="B6" s="23" t="str">
        <f t="shared" si="2"/>
        <v>DKF250911LOBDEC_20C_sample_1</v>
      </c>
      <c r="C6" s="8" t="s">
        <v>30</v>
      </c>
      <c r="D6" s="24" t="s">
        <v>24</v>
      </c>
      <c r="E6" s="8" t="s">
        <v>25</v>
      </c>
      <c r="F6" s="25">
        <v>45911.0</v>
      </c>
      <c r="G6" s="26">
        <v>1.0</v>
      </c>
    </row>
    <row r="7">
      <c r="A7" s="22" t="str">
        <f t="shared" si="1"/>
        <v>MICPOL</v>
      </c>
      <c r="B7" s="23" t="str">
        <f t="shared" si="2"/>
        <v>DKR250911MICPOL_20C_sample_1</v>
      </c>
      <c r="C7" s="21" t="s">
        <v>31</v>
      </c>
      <c r="D7" s="24" t="s">
        <v>24</v>
      </c>
      <c r="E7" s="21" t="s">
        <v>28</v>
      </c>
      <c r="F7" s="25">
        <v>45911.0</v>
      </c>
      <c r="G7" s="21">
        <v>1.0</v>
      </c>
    </row>
    <row r="8">
      <c r="A8" s="22" t="str">
        <f t="shared" si="1"/>
        <v>OEDSQU</v>
      </c>
      <c r="B8" s="23" t="str">
        <f t="shared" si="2"/>
        <v>DKR250911OEDSQU_20C_sample_1</v>
      </c>
      <c r="C8" s="21" t="s">
        <v>32</v>
      </c>
      <c r="D8" s="24" t="s">
        <v>24</v>
      </c>
      <c r="E8" s="8" t="s">
        <v>28</v>
      </c>
      <c r="F8" s="25">
        <v>45911.0</v>
      </c>
      <c r="G8" s="26">
        <v>1.0</v>
      </c>
    </row>
    <row r="9">
      <c r="A9" s="22" t="str">
        <f t="shared" si="1"/>
        <v>PASOBT</v>
      </c>
      <c r="B9" s="23" t="str">
        <f t="shared" si="2"/>
        <v>DKR250911PASOBT_20C_sample_1</v>
      </c>
      <c r="C9" s="21" t="s">
        <v>33</v>
      </c>
      <c r="D9" s="24" t="s">
        <v>24</v>
      </c>
      <c r="E9" s="8" t="s">
        <v>28</v>
      </c>
      <c r="F9" s="25">
        <v>45911.0</v>
      </c>
      <c r="G9" s="26">
        <v>1.0</v>
      </c>
    </row>
    <row r="10">
      <c r="A10" s="22" t="str">
        <f t="shared" si="1"/>
        <v>PROLAU</v>
      </c>
      <c r="B10" s="23" t="str">
        <f t="shared" si="2"/>
        <v>DKR250911PROLAU_20C_sample_1</v>
      </c>
      <c r="C10" s="21" t="s">
        <v>34</v>
      </c>
      <c r="D10" s="24" t="s">
        <v>24</v>
      </c>
      <c r="E10" s="8" t="s">
        <v>28</v>
      </c>
      <c r="F10" s="25">
        <v>45911.0</v>
      </c>
      <c r="G10" s="26">
        <v>1.0</v>
      </c>
    </row>
    <row r="11">
      <c r="A11" s="22" t="str">
        <f t="shared" si="1"/>
        <v>PROLOR</v>
      </c>
      <c r="B11" s="23" t="str">
        <f t="shared" si="2"/>
        <v>DKF250911PROLOR_20C_sample_1</v>
      </c>
      <c r="C11" s="21" t="s">
        <v>35</v>
      </c>
      <c r="D11" s="24" t="s">
        <v>24</v>
      </c>
      <c r="E11" s="8" t="s">
        <v>25</v>
      </c>
      <c r="F11" s="25">
        <v>45911.0</v>
      </c>
      <c r="G11" s="26">
        <v>1.0</v>
      </c>
    </row>
    <row r="12">
      <c r="A12" s="22" t="str">
        <f t="shared" si="1"/>
        <v>RUSMUL</v>
      </c>
      <c r="B12" s="23" t="str">
        <f t="shared" si="2"/>
        <v>DKR250911RUSMUL_20C_sample_1</v>
      </c>
      <c r="C12" s="21" t="s">
        <v>36</v>
      </c>
      <c r="D12" s="24" t="s">
        <v>24</v>
      </c>
      <c r="E12" s="8" t="s">
        <v>28</v>
      </c>
      <c r="F12" s="25">
        <v>45911.0</v>
      </c>
      <c r="G12" s="26">
        <v>1.0</v>
      </c>
    </row>
    <row r="13">
      <c r="A13" s="22" t="str">
        <f t="shared" si="1"/>
        <v>SELDOL</v>
      </c>
      <c r="B13" s="23" t="str">
        <f t="shared" si="2"/>
        <v>DKF250911SELDOL_20C_sample_1</v>
      </c>
      <c r="C13" s="21" t="s">
        <v>37</v>
      </c>
      <c r="D13" s="24" t="s">
        <v>24</v>
      </c>
      <c r="E13" s="8" t="s">
        <v>25</v>
      </c>
      <c r="F13" s="25">
        <v>45911.0</v>
      </c>
      <c r="G13" s="26">
        <v>1.0</v>
      </c>
    </row>
    <row r="14">
      <c r="A14" s="22" t="str">
        <f t="shared" si="1"/>
        <v>WAHNOD</v>
      </c>
      <c r="B14" s="23" t="str">
        <f t="shared" si="2"/>
        <v>DKR250911WAHNOD_20C_sample_1</v>
      </c>
      <c r="C14" s="8" t="s">
        <v>38</v>
      </c>
      <c r="D14" s="24" t="s">
        <v>24</v>
      </c>
      <c r="E14" s="23" t="s">
        <v>28</v>
      </c>
      <c r="F14" s="25">
        <v>45911.0</v>
      </c>
      <c r="G14" s="26">
        <v>1.0</v>
      </c>
    </row>
    <row r="15">
      <c r="A15" s="27"/>
    </row>
    <row r="16">
      <c r="A16" s="27"/>
    </row>
    <row r="17">
      <c r="A17" s="27"/>
    </row>
    <row r="18">
      <c r="A18" s="27"/>
    </row>
    <row r="19">
      <c r="A19" s="27"/>
    </row>
    <row r="20">
      <c r="A20" s="27"/>
    </row>
    <row r="21">
      <c r="A21" s="27"/>
    </row>
    <row r="22">
      <c r="A22" s="27"/>
    </row>
    <row r="23">
      <c r="A23" s="27"/>
    </row>
    <row r="24">
      <c r="A24" s="27"/>
    </row>
    <row r="25">
      <c r="A25" s="27"/>
    </row>
    <row r="26">
      <c r="A26" s="27"/>
    </row>
    <row r="27">
      <c r="A27" s="27"/>
    </row>
    <row r="28">
      <c r="A28" s="2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19.75"/>
  </cols>
  <sheetData>
    <row r="1">
      <c r="A1" s="21" t="s">
        <v>0</v>
      </c>
      <c r="B1" s="2" t="s">
        <v>1</v>
      </c>
      <c r="C1" s="2" t="s">
        <v>2</v>
      </c>
      <c r="D1" s="2" t="s">
        <v>3</v>
      </c>
      <c r="E1" s="2" t="s">
        <v>20</v>
      </c>
      <c r="F1" s="2" t="s">
        <v>21</v>
      </c>
      <c r="G1" s="2" t="s">
        <v>22</v>
      </c>
    </row>
    <row r="2">
      <c r="A2" s="22" t="str">
        <f t="shared" ref="A2:A14" si="1">UPPER(LEFT(C2,3) &amp; MID(C2,FIND(" ",C2)+1,3))</f>
        <v>AGACAP</v>
      </c>
      <c r="B2" s="23" t="str">
        <f t="shared" ref="B2:B14" si="2">CONCATENATE("DK", UPPER(LEFT(E2,1)), "25", UPPER(TEXT(F2,"mm")), UPPER(TEXT(F2,"dd")), UPPER(LEFT(C2,3)), UPPER(MID(C2,FIND(" ",C2)+1,3)),"_",D2,"_sample_",G2)</f>
        <v>DKF250911AGACAP_20C_sample_1</v>
      </c>
      <c r="C2" s="21" t="s">
        <v>23</v>
      </c>
      <c r="D2" s="24" t="s">
        <v>24</v>
      </c>
      <c r="E2" s="8" t="s">
        <v>25</v>
      </c>
      <c r="F2" s="25">
        <v>45911.0</v>
      </c>
      <c r="G2" s="26">
        <v>1.0</v>
      </c>
    </row>
    <row r="3">
      <c r="A3" s="22" t="str">
        <f t="shared" si="1"/>
        <v>ASPSHA</v>
      </c>
      <c r="B3" s="23" t="str">
        <f t="shared" si="2"/>
        <v>DKF250911ASPSHA_20C_sample_1</v>
      </c>
      <c r="C3" s="8" t="s">
        <v>26</v>
      </c>
      <c r="D3" s="24" t="s">
        <v>24</v>
      </c>
      <c r="E3" s="8" t="s">
        <v>25</v>
      </c>
      <c r="F3" s="25">
        <v>45911.0</v>
      </c>
      <c r="G3" s="26">
        <v>1.0</v>
      </c>
    </row>
    <row r="4">
      <c r="A4" s="22" t="str">
        <f t="shared" si="1"/>
        <v>CLURUB</v>
      </c>
      <c r="B4" s="23" t="str">
        <f t="shared" si="2"/>
        <v>DKR250911CLURUB_20C_sample_1</v>
      </c>
      <c r="C4" s="8" t="s">
        <v>27</v>
      </c>
      <c r="D4" s="24" t="s">
        <v>24</v>
      </c>
      <c r="E4" s="23" t="s">
        <v>28</v>
      </c>
      <c r="F4" s="25">
        <v>45911.0</v>
      </c>
      <c r="G4" s="26">
        <v>1.0</v>
      </c>
    </row>
    <row r="5">
      <c r="A5" s="22" t="str">
        <f t="shared" si="1"/>
        <v>ELYRHI</v>
      </c>
      <c r="B5" s="23" t="str">
        <f t="shared" si="2"/>
        <v>DKR250911ELYRHI_20C_sample_1</v>
      </c>
      <c r="C5" s="8" t="s">
        <v>29</v>
      </c>
      <c r="D5" s="24" t="s">
        <v>24</v>
      </c>
      <c r="E5" s="8" t="s">
        <v>28</v>
      </c>
      <c r="F5" s="25">
        <v>45911.0</v>
      </c>
      <c r="G5" s="26">
        <v>1.0</v>
      </c>
    </row>
    <row r="6">
      <c r="A6" s="22" t="str">
        <f t="shared" si="1"/>
        <v>LOBDEC</v>
      </c>
      <c r="B6" s="23" t="str">
        <f t="shared" si="2"/>
        <v>DKF250911LOBDEC_20C_sample_1</v>
      </c>
      <c r="C6" s="8" t="s">
        <v>30</v>
      </c>
      <c r="D6" s="24" t="s">
        <v>24</v>
      </c>
      <c r="E6" s="8" t="s">
        <v>25</v>
      </c>
      <c r="F6" s="25">
        <v>45911.0</v>
      </c>
      <c r="G6" s="26">
        <v>1.0</v>
      </c>
    </row>
    <row r="7">
      <c r="A7" s="22" t="str">
        <f t="shared" si="1"/>
        <v>MICPOL</v>
      </c>
      <c r="B7" s="23" t="str">
        <f t="shared" si="2"/>
        <v>DKR250911MICPOL_20C_sample_1</v>
      </c>
      <c r="C7" s="21" t="s">
        <v>31</v>
      </c>
      <c r="D7" s="24" t="s">
        <v>24</v>
      </c>
      <c r="E7" s="21" t="s">
        <v>28</v>
      </c>
      <c r="F7" s="25">
        <v>45911.0</v>
      </c>
      <c r="G7" s="21">
        <v>1.0</v>
      </c>
    </row>
    <row r="8">
      <c r="A8" s="22" t="str">
        <f t="shared" si="1"/>
        <v>OEDSQU</v>
      </c>
      <c r="B8" s="23" t="str">
        <f t="shared" si="2"/>
        <v>DKR250911OEDSQU_20C_sample_1</v>
      </c>
      <c r="C8" s="21" t="s">
        <v>32</v>
      </c>
      <c r="D8" s="24" t="s">
        <v>24</v>
      </c>
      <c r="E8" s="8" t="s">
        <v>28</v>
      </c>
      <c r="F8" s="25">
        <v>45911.0</v>
      </c>
      <c r="G8" s="26">
        <v>1.0</v>
      </c>
    </row>
    <row r="9">
      <c r="A9" s="22" t="str">
        <f t="shared" si="1"/>
        <v>PASOBT</v>
      </c>
      <c r="B9" s="23" t="str">
        <f t="shared" si="2"/>
        <v>DKR250911PASOBT_20C_sample_1</v>
      </c>
      <c r="C9" s="21" t="s">
        <v>33</v>
      </c>
      <c r="D9" s="24" t="s">
        <v>24</v>
      </c>
      <c r="E9" s="8" t="s">
        <v>28</v>
      </c>
      <c r="F9" s="25">
        <v>45911.0</v>
      </c>
      <c r="G9" s="26">
        <v>1.0</v>
      </c>
    </row>
    <row r="10">
      <c r="A10" s="22" t="str">
        <f t="shared" si="1"/>
        <v>PROLAU</v>
      </c>
      <c r="B10" s="23" t="str">
        <f t="shared" si="2"/>
        <v>DKR250911PROLAU_20C_sample_1</v>
      </c>
      <c r="C10" s="21" t="s">
        <v>34</v>
      </c>
      <c r="D10" s="24" t="s">
        <v>24</v>
      </c>
      <c r="E10" s="8" t="s">
        <v>28</v>
      </c>
      <c r="F10" s="25">
        <v>45911.0</v>
      </c>
      <c r="G10" s="26">
        <v>1.0</v>
      </c>
    </row>
    <row r="11">
      <c r="A11" s="22" t="str">
        <f t="shared" si="1"/>
        <v>PROLOR</v>
      </c>
      <c r="B11" s="23" t="str">
        <f t="shared" si="2"/>
        <v>DKF250911PROLOR_20C_sample_1</v>
      </c>
      <c r="C11" s="21" t="s">
        <v>35</v>
      </c>
      <c r="D11" s="24" t="s">
        <v>24</v>
      </c>
      <c r="E11" s="8" t="s">
        <v>25</v>
      </c>
      <c r="F11" s="25">
        <v>45911.0</v>
      </c>
      <c r="G11" s="26">
        <v>1.0</v>
      </c>
    </row>
    <row r="12">
      <c r="A12" s="22" t="str">
        <f t="shared" si="1"/>
        <v>RUSMUL</v>
      </c>
      <c r="B12" s="23" t="str">
        <f t="shared" si="2"/>
        <v>DKR250911RUSMUL_20C_sample_1</v>
      </c>
      <c r="C12" s="21" t="s">
        <v>36</v>
      </c>
      <c r="D12" s="24" t="s">
        <v>24</v>
      </c>
      <c r="E12" s="8" t="s">
        <v>28</v>
      </c>
      <c r="F12" s="25">
        <v>45911.0</v>
      </c>
      <c r="G12" s="26">
        <v>1.0</v>
      </c>
    </row>
    <row r="13">
      <c r="A13" s="22" t="str">
        <f t="shared" si="1"/>
        <v>SELDOL</v>
      </c>
      <c r="B13" s="23" t="str">
        <f t="shared" si="2"/>
        <v>DKF250911SELDOL_20C_sample_1</v>
      </c>
      <c r="C13" s="21" t="s">
        <v>37</v>
      </c>
      <c r="D13" s="24" t="s">
        <v>24</v>
      </c>
      <c r="E13" s="8" t="s">
        <v>25</v>
      </c>
      <c r="F13" s="25">
        <v>45911.0</v>
      </c>
      <c r="G13" s="26">
        <v>1.0</v>
      </c>
    </row>
    <row r="14">
      <c r="A14" s="22" t="str">
        <f t="shared" si="1"/>
        <v>WAHNOD</v>
      </c>
      <c r="B14" s="23" t="str">
        <f t="shared" si="2"/>
        <v>DKR250911WAHNOD_20C_sample_1</v>
      </c>
      <c r="C14" s="8" t="s">
        <v>38</v>
      </c>
      <c r="D14" s="24" t="s">
        <v>24</v>
      </c>
      <c r="E14" s="23" t="s">
        <v>28</v>
      </c>
      <c r="F14" s="25">
        <v>45911.0</v>
      </c>
      <c r="G14" s="26">
        <v>1.0</v>
      </c>
    </row>
  </sheetData>
  <drawing r:id="rId1"/>
</worksheet>
</file>