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01424892_wf_uct_ac_za/Documents/Adam Data OneDrive/Adam Manuscripts/irlam/gmin_methodology_paper-main/data/raw/"/>
    </mc:Choice>
  </mc:AlternateContent>
  <xr:revisionPtr revIDLastSave="6" documentId="13_ncr:1_{558DED8C-ED2B-43B2-894D-7A7B1884551B}" xr6:coauthVersionLast="47" xr6:coauthVersionMax="47" xr10:uidLastSave="{B32E4447-02C3-A142-B0C9-ABE182670B1C}"/>
  <bookViews>
    <workbookView xWindow="37320" yWindow="600" windowWidth="33140" windowHeight="19820" xr2:uid="{C416B5F1-D903-498C-983A-F0F8E0771570}"/>
  </bookViews>
  <sheets>
    <sheet name="LeafArea_Corrections+Transform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C3" i="1"/>
  <c r="C4" i="1"/>
  <c r="C5" i="1"/>
  <c r="C6" i="1"/>
  <c r="C7" i="1"/>
  <c r="C8" i="1"/>
  <c r="C9" i="1"/>
  <c r="C10" i="1"/>
  <c r="C11" i="1"/>
  <c r="C12" i="1"/>
  <c r="C13" i="1"/>
  <c r="C14" i="1"/>
  <c r="C2" i="1"/>
  <c r="B5" i="1"/>
  <c r="B3" i="1"/>
  <c r="B7" i="1"/>
  <c r="B9" i="1"/>
</calcChain>
</file>

<file path=xl/sharedStrings.xml><?xml version="1.0" encoding="utf-8"?>
<sst xmlns="http://schemas.openxmlformats.org/spreadsheetml/2006/main" count="47" uniqueCount="38">
  <si>
    <t>ELYRHI</t>
  </si>
  <si>
    <t>PROLAU</t>
  </si>
  <si>
    <t>RUSMUL</t>
  </si>
  <si>
    <t>PASOBT</t>
  </si>
  <si>
    <t>OEDSQU</t>
  </si>
  <si>
    <t>MICPOL</t>
  </si>
  <si>
    <t>WAHNOD</t>
  </si>
  <si>
    <t>CLURUB</t>
  </si>
  <si>
    <t>LOBDEC</t>
  </si>
  <si>
    <t>ASPSHA</t>
  </si>
  <si>
    <t>SELDOL</t>
  </si>
  <si>
    <t>AGACAP</t>
  </si>
  <si>
    <t>PROLOR</t>
  </si>
  <si>
    <t>motivation</t>
  </si>
  <si>
    <t>trans_total</t>
  </si>
  <si>
    <t>trans_onesided</t>
  </si>
  <si>
    <t>ovular, 3D</t>
  </si>
  <si>
    <t>needle, 3D but hairy</t>
  </si>
  <si>
    <t>description</t>
  </si>
  <si>
    <t>fineleaf, flat</t>
  </si>
  <si>
    <t>fineleaf, adpressed to stem </t>
  </si>
  <si>
    <t>broadleaf, flat but extra SA from spikes?</t>
  </si>
  <si>
    <t>needle, 3D</t>
  </si>
  <si>
    <t>creased &amp; curved</t>
  </si>
  <si>
    <t>broadleaf, flat</t>
  </si>
  <si>
    <t>roughly triangular?, 3D</t>
  </si>
  <si>
    <t>^^Need to do these on LMA images instead?</t>
  </si>
  <si>
    <t>^NO, want to get generic conversion factor</t>
  </si>
  <si>
    <t>x3 (planimetric gives you Area of 1 of 3 faces, assuming equilateral triangle)</t>
  </si>
  <si>
    <t>xPI (cylinder (pi.d.h))</t>
  </si>
  <si>
    <t>flat</t>
  </si>
  <si>
    <t>flat?</t>
  </si>
  <si>
    <t>close enough to flat?</t>
  </si>
  <si>
    <t>^^apply these transformations after lma</t>
  </si>
  <si>
    <t>GENSPP</t>
  </si>
  <si>
    <t>almost circular so just less than pi?</t>
  </si>
  <si>
    <t>chevron so x4, but some fall more flat so x3.5</t>
  </si>
  <si>
    <t>Effectively cylindrical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</si>
</sst>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3D7D-4FBB-46B3-B362-F786A39B04D3}">
  <dimension ref="A1:E19"/>
  <sheetViews>
    <sheetView tabSelected="1" zoomScale="160" zoomScaleNormal="160" workbookViewId="0">
      <selection activeCell="C16" sqref="C16"/>
    </sheetView>
  </sheetViews>
  <sheetFormatPr baseColWidth="10" defaultColWidth="8.83203125" defaultRowHeight="15" x14ac:dyDescent="0.2"/>
  <cols>
    <col min="2" max="2" width="9.5" bestFit="1" customWidth="1"/>
    <col min="3" max="3" width="13.33203125" bestFit="1" customWidth="1"/>
    <col min="4" max="4" width="61.6640625" bestFit="1" customWidth="1"/>
    <col min="5" max="5" width="35.83203125" bestFit="1" customWidth="1"/>
  </cols>
  <sheetData>
    <row r="1" spans="1:5" x14ac:dyDescent="0.2">
      <c r="A1" t="s">
        <v>34</v>
      </c>
      <c r="B1" t="s">
        <v>14</v>
      </c>
      <c r="C1" t="s">
        <v>15</v>
      </c>
      <c r="D1" t="s">
        <v>13</v>
      </c>
      <c r="E1" t="s">
        <v>18</v>
      </c>
    </row>
    <row r="2" spans="1:5" x14ac:dyDescent="0.2">
      <c r="A2" t="s">
        <v>11</v>
      </c>
      <c r="B2">
        <v>2</v>
      </c>
      <c r="C2">
        <f>B2</f>
        <v>2</v>
      </c>
      <c r="D2" t="s">
        <v>30</v>
      </c>
      <c r="E2" s="1" t="s">
        <v>16</v>
      </c>
    </row>
    <row r="3" spans="1:5" x14ac:dyDescent="0.2">
      <c r="A3" t="s">
        <v>9</v>
      </c>
      <c r="B3">
        <f>PI()</f>
        <v>3.1415926535897931</v>
      </c>
      <c r="C3">
        <f t="shared" ref="C3:C14" si="0">B3</f>
        <v>3.1415926535897931</v>
      </c>
      <c r="D3" t="s">
        <v>29</v>
      </c>
      <c r="E3" s="1" t="s">
        <v>17</v>
      </c>
    </row>
    <row r="4" spans="1:5" x14ac:dyDescent="0.2">
      <c r="A4" t="s">
        <v>7</v>
      </c>
      <c r="B4">
        <v>2</v>
      </c>
      <c r="C4">
        <f t="shared" si="0"/>
        <v>2</v>
      </c>
      <c r="D4" t="s">
        <v>30</v>
      </c>
      <c r="E4" s="1" t="s">
        <v>19</v>
      </c>
    </row>
    <row r="5" spans="1:5" x14ac:dyDescent="0.2">
      <c r="A5" t="s">
        <v>0</v>
      </c>
      <c r="B5">
        <f>PI()</f>
        <v>3.1415926535897931</v>
      </c>
      <c r="C5">
        <f t="shared" si="0"/>
        <v>3.1415926535897931</v>
      </c>
      <c r="D5" t="s">
        <v>37</v>
      </c>
      <c r="E5" s="1" t="s">
        <v>20</v>
      </c>
    </row>
    <row r="6" spans="1:5" x14ac:dyDescent="0.2">
      <c r="A6" t="s">
        <v>8</v>
      </c>
      <c r="B6">
        <v>2</v>
      </c>
      <c r="C6">
        <f t="shared" si="0"/>
        <v>2</v>
      </c>
      <c r="D6" t="s">
        <v>31</v>
      </c>
      <c r="E6" s="1" t="s">
        <v>21</v>
      </c>
    </row>
    <row r="7" spans="1:5" x14ac:dyDescent="0.2">
      <c r="A7" t="s">
        <v>5</v>
      </c>
      <c r="B7">
        <f>PI()</f>
        <v>3.1415926535897931</v>
      </c>
      <c r="C7">
        <f t="shared" si="0"/>
        <v>3.1415926535897931</v>
      </c>
      <c r="D7" t="s">
        <v>29</v>
      </c>
      <c r="E7" s="1" t="s">
        <v>22</v>
      </c>
    </row>
    <row r="8" spans="1:5" x14ac:dyDescent="0.2">
      <c r="A8" t="s">
        <v>4</v>
      </c>
      <c r="B8">
        <v>2</v>
      </c>
      <c r="C8">
        <f t="shared" si="0"/>
        <v>2</v>
      </c>
      <c r="D8" t="s">
        <v>32</v>
      </c>
      <c r="E8" s="1" t="s">
        <v>23</v>
      </c>
    </row>
    <row r="9" spans="1:5" x14ac:dyDescent="0.2">
      <c r="A9" t="s">
        <v>3</v>
      </c>
      <c r="B9">
        <f>PI()</f>
        <v>3.1415926535897931</v>
      </c>
      <c r="C9">
        <f t="shared" si="0"/>
        <v>3.1415926535897931</v>
      </c>
      <c r="D9" t="s">
        <v>29</v>
      </c>
      <c r="E9" s="1" t="s">
        <v>22</v>
      </c>
    </row>
    <row r="10" spans="1:5" x14ac:dyDescent="0.2">
      <c r="A10" t="s">
        <v>1</v>
      </c>
      <c r="B10">
        <v>2</v>
      </c>
      <c r="C10">
        <f t="shared" si="0"/>
        <v>2</v>
      </c>
      <c r="D10" t="s">
        <v>30</v>
      </c>
      <c r="E10" s="1" t="s">
        <v>24</v>
      </c>
    </row>
    <row r="11" spans="1:5" x14ac:dyDescent="0.2">
      <c r="A11" t="s">
        <v>12</v>
      </c>
      <c r="B11">
        <v>2</v>
      </c>
      <c r="C11">
        <f t="shared" si="0"/>
        <v>2</v>
      </c>
      <c r="D11" t="s">
        <v>30</v>
      </c>
      <c r="E11" s="1" t="s">
        <v>24</v>
      </c>
    </row>
    <row r="12" spans="1:5" x14ac:dyDescent="0.2">
      <c r="A12" t="s">
        <v>2</v>
      </c>
      <c r="B12">
        <f>PI()</f>
        <v>3.1415926535897931</v>
      </c>
      <c r="C12">
        <f t="shared" si="0"/>
        <v>3.1415926535897931</v>
      </c>
      <c r="D12" t="s">
        <v>28</v>
      </c>
      <c r="E12" s="1" t="s">
        <v>25</v>
      </c>
    </row>
    <row r="13" spans="1:5" x14ac:dyDescent="0.2">
      <c r="A13" t="s">
        <v>10</v>
      </c>
      <c r="B13">
        <f>PI()</f>
        <v>3.1415926535897931</v>
      </c>
      <c r="C13">
        <f t="shared" si="0"/>
        <v>3.1415926535897931</v>
      </c>
      <c r="D13" t="s">
        <v>35</v>
      </c>
      <c r="E13" s="1" t="s">
        <v>16</v>
      </c>
    </row>
    <row r="14" spans="1:5" x14ac:dyDescent="0.2">
      <c r="A14" t="s">
        <v>6</v>
      </c>
      <c r="B14">
        <f>PI()</f>
        <v>3.1415926535897931</v>
      </c>
      <c r="C14">
        <f t="shared" si="0"/>
        <v>3.1415926535897931</v>
      </c>
      <c r="D14" t="s">
        <v>36</v>
      </c>
      <c r="E14" s="1" t="s">
        <v>23</v>
      </c>
    </row>
    <row r="16" spans="1:5" x14ac:dyDescent="0.2">
      <c r="D16" t="s">
        <v>26</v>
      </c>
    </row>
    <row r="17" spans="4:4" x14ac:dyDescent="0.2">
      <c r="D17" t="s">
        <v>27</v>
      </c>
    </row>
    <row r="19" spans="4:4" x14ac:dyDescent="0.2">
      <c r="D19" t="s">
        <v>33</v>
      </c>
    </row>
  </sheetData>
  <sortState xmlns:xlrd2="http://schemas.microsoft.com/office/spreadsheetml/2017/richdata2" ref="A1:A14">
    <sortCondition ref="A1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LeafArea_Corrections+Transforma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West</cp:lastModifiedBy>
  <dcterms:created xsi:type="dcterms:W3CDTF">2024-05-27T19:57:59Z</dcterms:created>
  <dcterms:modified xsi:type="dcterms:W3CDTF">2026-03-19T11:27:27Z</dcterms:modified>
</cp:coreProperties>
</file>